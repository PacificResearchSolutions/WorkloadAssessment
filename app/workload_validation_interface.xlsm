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Schuetz\Downloads\Regulatory Workload Assessment\app\"/>
    </mc:Choice>
  </mc:AlternateContent>
  <bookViews>
    <workbookView xWindow="0" yWindow="0" windowWidth="19170" windowHeight="6345"/>
  </bookViews>
  <sheets>
    <sheet name="vdata_regressors" sheetId="8" r:id="rId1"/>
    <sheet name="variables" sheetId="3" state="hidden" r:id="rId2"/>
    <sheet name="vdata_hours" sheetId="9" r:id="rId3"/>
    <sheet name="export" sheetId="11" state="hidden" r:id="rId4"/>
    <sheet name="generated_coeffecients" sheetId="5" state="hidden" r:id="rId5"/>
    <sheet name="v_data" sheetId="4" r:id="rId6"/>
    <sheet name="visualization" sheetId="2" r:id="rId7"/>
    <sheet name="final_coeffecients" sheetId="10" r:id="rId8"/>
  </sheets>
  <definedNames>
    <definedName name="_xlnm._FilterDatabase" localSheetId="2" hidden="1">vdata_hours!$A$1:$B$1</definedName>
    <definedName name="_xlnm._FilterDatabase" localSheetId="6" hidden="1">visualization!$A$3:$AD$300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I2" i="2"/>
  <c r="K2" i="2"/>
  <c r="M2" i="2"/>
  <c r="O2" i="2"/>
  <c r="Q2" i="2"/>
  <c r="S2" i="2"/>
  <c r="U2" i="2"/>
  <c r="W2" i="2"/>
  <c r="Y2" i="2"/>
  <c r="AA2" i="2"/>
  <c r="B11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B10" i="3"/>
  <c r="A23" i="2"/>
  <c r="G22" i="4"/>
  <c r="P23" i="2"/>
  <c r="Q23" i="2"/>
  <c r="C23" i="2"/>
  <c r="B22" i="4"/>
  <c r="F23" i="2"/>
  <c r="G23" i="2"/>
  <c r="C22" i="4"/>
  <c r="H23" i="2"/>
  <c r="E22" i="4"/>
  <c r="L23" i="2"/>
  <c r="M23" i="2"/>
  <c r="F22" i="4"/>
  <c r="N23" i="2"/>
  <c r="O23" i="2"/>
  <c r="H22" i="4"/>
  <c r="R23" i="2"/>
  <c r="S23" i="2"/>
  <c r="I22" i="4"/>
  <c r="T23" i="2"/>
  <c r="K22" i="4"/>
  <c r="X23" i="2"/>
  <c r="Y23" i="2"/>
  <c r="L22" i="4"/>
  <c r="Z23" i="2"/>
  <c r="AA23" i="2"/>
  <c r="I23" i="2"/>
  <c r="D22" i="4"/>
  <c r="J23" i="2"/>
  <c r="K23" i="2"/>
  <c r="U23" i="2"/>
  <c r="J22" i="4"/>
  <c r="V23" i="2"/>
  <c r="W23" i="2"/>
  <c r="AB23" i="2"/>
  <c r="M22" i="4"/>
  <c r="AD23" i="2"/>
  <c r="A24" i="2"/>
  <c r="G23" i="4"/>
  <c r="P24" i="2"/>
  <c r="C24" i="2"/>
  <c r="A25" i="2"/>
  <c r="B24" i="4"/>
  <c r="F25" i="2"/>
  <c r="C25" i="2"/>
  <c r="G25" i="2"/>
  <c r="C24" i="4"/>
  <c r="H25" i="2"/>
  <c r="I25" i="2"/>
  <c r="D24" i="4"/>
  <c r="J25" i="2"/>
  <c r="K25" i="2"/>
  <c r="E24" i="4"/>
  <c r="L25" i="2"/>
  <c r="M25" i="2"/>
  <c r="F24" i="4"/>
  <c r="N25" i="2"/>
  <c r="O25" i="2"/>
  <c r="G24" i="4"/>
  <c r="P25" i="2"/>
  <c r="Q25" i="2"/>
  <c r="H24" i="4"/>
  <c r="R25" i="2"/>
  <c r="S25" i="2"/>
  <c r="I24" i="4"/>
  <c r="T25" i="2"/>
  <c r="U25" i="2"/>
  <c r="J24" i="4"/>
  <c r="V25" i="2"/>
  <c r="W25" i="2"/>
  <c r="K24" i="4"/>
  <c r="X25" i="2"/>
  <c r="Y25" i="2"/>
  <c r="L24" i="4"/>
  <c r="Z25" i="2"/>
  <c r="AA25" i="2"/>
  <c r="AB25" i="2"/>
  <c r="A26" i="2"/>
  <c r="G25" i="4"/>
  <c r="P26" i="2"/>
  <c r="C26" i="2"/>
  <c r="B25" i="4"/>
  <c r="F26" i="2"/>
  <c r="C25" i="4"/>
  <c r="H26" i="2"/>
  <c r="I26" i="2"/>
  <c r="D25" i="4"/>
  <c r="J26" i="2"/>
  <c r="K26" i="2"/>
  <c r="H25" i="4"/>
  <c r="R26" i="2"/>
  <c r="S26" i="2"/>
  <c r="I25" i="4"/>
  <c r="T26" i="2"/>
  <c r="J25" i="4"/>
  <c r="V26" i="2"/>
  <c r="W26" i="2"/>
  <c r="G26" i="2"/>
  <c r="E25" i="4"/>
  <c r="L26" i="2"/>
  <c r="M26" i="2"/>
  <c r="F25" i="4"/>
  <c r="N26" i="2"/>
  <c r="O26" i="2"/>
  <c r="Q26" i="2"/>
  <c r="U26" i="2"/>
  <c r="K25" i="4"/>
  <c r="X26" i="2"/>
  <c r="Y26" i="2"/>
  <c r="L25" i="4"/>
  <c r="Z26" i="2"/>
  <c r="AA26" i="2"/>
  <c r="AB26" i="2"/>
  <c r="M25" i="4"/>
  <c r="AD26" i="2"/>
  <c r="A27" i="2"/>
  <c r="E26" i="4"/>
  <c r="L27" i="2"/>
  <c r="M27" i="2"/>
  <c r="C27" i="2"/>
  <c r="D26" i="4"/>
  <c r="J27" i="2"/>
  <c r="K27" i="2"/>
  <c r="G26" i="4"/>
  <c r="P27" i="2"/>
  <c r="J26" i="4"/>
  <c r="V27" i="2"/>
  <c r="W27" i="2"/>
  <c r="A28" i="2"/>
  <c r="C28" i="2"/>
  <c r="C27" i="4"/>
  <c r="H28" i="2"/>
  <c r="D27" i="4"/>
  <c r="J28" i="2"/>
  <c r="E27" i="4"/>
  <c r="L28" i="2"/>
  <c r="M28" i="2"/>
  <c r="F27" i="4"/>
  <c r="N28" i="2"/>
  <c r="O28" i="2"/>
  <c r="I27" i="4"/>
  <c r="T28" i="2"/>
  <c r="J27" i="4"/>
  <c r="V28" i="2"/>
  <c r="K27" i="4"/>
  <c r="X28" i="2"/>
  <c r="Y28" i="2"/>
  <c r="L27" i="4"/>
  <c r="Z28" i="2"/>
  <c r="AA28" i="2"/>
  <c r="B27" i="4"/>
  <c r="F28" i="2"/>
  <c r="G28" i="2"/>
  <c r="I28" i="2"/>
  <c r="K28" i="2"/>
  <c r="G27" i="4"/>
  <c r="P28" i="2"/>
  <c r="Q28" i="2"/>
  <c r="H27" i="4"/>
  <c r="R28" i="2"/>
  <c r="S28" i="2"/>
  <c r="U28" i="2"/>
  <c r="W28" i="2"/>
  <c r="AB28" i="2"/>
  <c r="A29" i="2"/>
  <c r="B28" i="4"/>
  <c r="F29" i="2"/>
  <c r="C29" i="2"/>
  <c r="G29" i="2"/>
  <c r="C28" i="4"/>
  <c r="H29" i="2"/>
  <c r="I29" i="2"/>
  <c r="D28" i="4"/>
  <c r="J29" i="2"/>
  <c r="K29" i="2"/>
  <c r="E28" i="4"/>
  <c r="L29" i="2"/>
  <c r="M29" i="2"/>
  <c r="F28" i="4"/>
  <c r="N29" i="2"/>
  <c r="O29" i="2"/>
  <c r="G28" i="4"/>
  <c r="P29" i="2"/>
  <c r="Q29" i="2"/>
  <c r="H28" i="4"/>
  <c r="R29" i="2"/>
  <c r="S29" i="2"/>
  <c r="I28" i="4"/>
  <c r="T29" i="2"/>
  <c r="U29" i="2"/>
  <c r="J28" i="4"/>
  <c r="V29" i="2"/>
  <c r="W29" i="2"/>
  <c r="K28" i="4"/>
  <c r="X29" i="2"/>
  <c r="Y29" i="2"/>
  <c r="L28" i="4"/>
  <c r="Z29" i="2"/>
  <c r="AA29" i="2"/>
  <c r="AB29" i="2"/>
  <c r="A30" i="2"/>
  <c r="M29" i="4"/>
  <c r="AD30" i="2"/>
  <c r="C30" i="2"/>
  <c r="B29" i="4"/>
  <c r="F30" i="2"/>
  <c r="G29" i="4"/>
  <c r="P30" i="2"/>
  <c r="J29" i="4"/>
  <c r="V30" i="2"/>
  <c r="W30" i="2"/>
  <c r="A31" i="2"/>
  <c r="J30" i="4"/>
  <c r="V31" i="2"/>
  <c r="W31" i="2"/>
  <c r="C31" i="2"/>
  <c r="A32" i="2"/>
  <c r="J31" i="4"/>
  <c r="V32" i="2"/>
  <c r="C32" i="2"/>
  <c r="B31" i="4"/>
  <c r="F32" i="2"/>
  <c r="C31" i="4"/>
  <c r="H32" i="2"/>
  <c r="D31" i="4"/>
  <c r="J32" i="2"/>
  <c r="E31" i="4"/>
  <c r="L32" i="2"/>
  <c r="M32" i="2"/>
  <c r="F31" i="4"/>
  <c r="N32" i="2"/>
  <c r="O32" i="2"/>
  <c r="G31" i="4"/>
  <c r="P32" i="2"/>
  <c r="Q32" i="2"/>
  <c r="H31" i="4"/>
  <c r="R32" i="2"/>
  <c r="I31" i="4"/>
  <c r="T32" i="2"/>
  <c r="K31" i="4"/>
  <c r="X32" i="2"/>
  <c r="Y32" i="2"/>
  <c r="L31" i="4"/>
  <c r="Z32" i="2"/>
  <c r="AA32" i="2"/>
  <c r="G32" i="2"/>
  <c r="I32" i="2"/>
  <c r="K32" i="2"/>
  <c r="S32" i="2"/>
  <c r="U32" i="2"/>
  <c r="W32" i="2"/>
  <c r="AB32" i="2"/>
  <c r="M31" i="4"/>
  <c r="AD32" i="2"/>
  <c r="A33" i="2"/>
  <c r="B32" i="4"/>
  <c r="F33" i="2"/>
  <c r="C33" i="2"/>
  <c r="G33" i="2"/>
  <c r="C32" i="4"/>
  <c r="H33" i="2"/>
  <c r="I33" i="2"/>
  <c r="D32" i="4"/>
  <c r="J33" i="2"/>
  <c r="K33" i="2"/>
  <c r="E32" i="4"/>
  <c r="L33" i="2"/>
  <c r="M33" i="2"/>
  <c r="F32" i="4"/>
  <c r="N33" i="2"/>
  <c r="O33" i="2"/>
  <c r="G32" i="4"/>
  <c r="P33" i="2"/>
  <c r="Q33" i="2"/>
  <c r="H32" i="4"/>
  <c r="R33" i="2"/>
  <c r="S33" i="2"/>
  <c r="I32" i="4"/>
  <c r="T33" i="2"/>
  <c r="U33" i="2"/>
  <c r="J32" i="4"/>
  <c r="V33" i="2"/>
  <c r="W33" i="2"/>
  <c r="K32" i="4"/>
  <c r="X33" i="2"/>
  <c r="Y33" i="2"/>
  <c r="L32" i="4"/>
  <c r="Z33" i="2"/>
  <c r="AA33" i="2"/>
  <c r="AB33" i="2"/>
  <c r="A34" i="2"/>
  <c r="C34" i="2"/>
  <c r="J33" i="4"/>
  <c r="V34" i="2"/>
  <c r="A35" i="2"/>
  <c r="C35" i="2"/>
  <c r="B34" i="4"/>
  <c r="F35" i="2"/>
  <c r="G35" i="2"/>
  <c r="C34" i="4"/>
  <c r="H35" i="2"/>
  <c r="I35" i="2"/>
  <c r="D34" i="4"/>
  <c r="J35" i="2"/>
  <c r="K35" i="2"/>
  <c r="E34" i="4"/>
  <c r="L35" i="2"/>
  <c r="M35" i="2"/>
  <c r="G34" i="4"/>
  <c r="P35" i="2"/>
  <c r="Q35" i="2"/>
  <c r="H34" i="4"/>
  <c r="R35" i="2"/>
  <c r="S35" i="2"/>
  <c r="I34" i="4"/>
  <c r="T35" i="2"/>
  <c r="U35" i="2"/>
  <c r="J34" i="4"/>
  <c r="V35" i="2"/>
  <c r="W35" i="2"/>
  <c r="K34" i="4"/>
  <c r="X35" i="2"/>
  <c r="Y35" i="2"/>
  <c r="L34" i="4"/>
  <c r="Z35" i="2"/>
  <c r="AA35" i="2"/>
  <c r="F34" i="4"/>
  <c r="N35" i="2"/>
  <c r="O35" i="2"/>
  <c r="AB35" i="2"/>
  <c r="A36" i="2"/>
  <c r="C36" i="2"/>
  <c r="B35" i="4"/>
  <c r="F36" i="2"/>
  <c r="C35" i="4"/>
  <c r="H36" i="2"/>
  <c r="D35" i="4"/>
  <c r="J36" i="2"/>
  <c r="E35" i="4"/>
  <c r="L36" i="2"/>
  <c r="M36" i="2"/>
  <c r="F35" i="4"/>
  <c r="N36" i="2"/>
  <c r="O36" i="2"/>
  <c r="G35" i="4"/>
  <c r="P36" i="2"/>
  <c r="Q36" i="2"/>
  <c r="H35" i="4"/>
  <c r="R36" i="2"/>
  <c r="I35" i="4"/>
  <c r="T36" i="2"/>
  <c r="J35" i="4"/>
  <c r="V36" i="2"/>
  <c r="K35" i="4"/>
  <c r="X36" i="2"/>
  <c r="Y36" i="2"/>
  <c r="L35" i="4"/>
  <c r="Z36" i="2"/>
  <c r="AA36" i="2"/>
  <c r="G36" i="2"/>
  <c r="I36" i="2"/>
  <c r="K36" i="2"/>
  <c r="S36" i="2"/>
  <c r="U36" i="2"/>
  <c r="W36" i="2"/>
  <c r="AB36" i="2"/>
  <c r="M35" i="4"/>
  <c r="AD36" i="2"/>
  <c r="A37" i="2"/>
  <c r="B36" i="4"/>
  <c r="F37" i="2"/>
  <c r="C37" i="2"/>
  <c r="G37" i="2"/>
  <c r="C36" i="4"/>
  <c r="H37" i="2"/>
  <c r="I37" i="2"/>
  <c r="D36" i="4"/>
  <c r="J37" i="2"/>
  <c r="K37" i="2"/>
  <c r="E36" i="4"/>
  <c r="L37" i="2"/>
  <c r="M37" i="2"/>
  <c r="F36" i="4"/>
  <c r="N37" i="2"/>
  <c r="O37" i="2"/>
  <c r="G36" i="4"/>
  <c r="P37" i="2"/>
  <c r="Q37" i="2"/>
  <c r="H36" i="4"/>
  <c r="R37" i="2"/>
  <c r="S37" i="2"/>
  <c r="I36" i="4"/>
  <c r="T37" i="2"/>
  <c r="U37" i="2"/>
  <c r="J36" i="4"/>
  <c r="V37" i="2"/>
  <c r="W37" i="2"/>
  <c r="K36" i="4"/>
  <c r="X37" i="2"/>
  <c r="Y37" i="2"/>
  <c r="L36" i="4"/>
  <c r="Z37" i="2"/>
  <c r="AA37" i="2"/>
  <c r="AB37" i="2"/>
  <c r="A38" i="2"/>
  <c r="B37" i="4"/>
  <c r="F38" i="2"/>
  <c r="C38" i="2"/>
  <c r="G38" i="2"/>
  <c r="D37" i="4"/>
  <c r="J38" i="2"/>
  <c r="K38" i="2"/>
  <c r="F37" i="4"/>
  <c r="N38" i="2"/>
  <c r="G37" i="4"/>
  <c r="P38" i="2"/>
  <c r="H37" i="4"/>
  <c r="R38" i="2"/>
  <c r="S38" i="2"/>
  <c r="I37" i="4"/>
  <c r="T38" i="2"/>
  <c r="U38" i="2"/>
  <c r="J37" i="4"/>
  <c r="V38" i="2"/>
  <c r="L37" i="4"/>
  <c r="Z38" i="2"/>
  <c r="A39" i="2"/>
  <c r="B38" i="4"/>
  <c r="F39" i="2"/>
  <c r="C39" i="2"/>
  <c r="C38" i="4"/>
  <c r="H39" i="2"/>
  <c r="G38" i="4"/>
  <c r="P39" i="2"/>
  <c r="Q39" i="2"/>
  <c r="J38" i="4"/>
  <c r="V39" i="2"/>
  <c r="W39" i="2"/>
  <c r="K38" i="4"/>
  <c r="X39" i="2"/>
  <c r="Y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A21" i="2"/>
  <c r="G20" i="4"/>
  <c r="P21" i="2"/>
  <c r="Q21" i="2"/>
  <c r="C21" i="2"/>
  <c r="B20" i="4"/>
  <c r="F21" i="2"/>
  <c r="G21" i="2"/>
  <c r="C20" i="4"/>
  <c r="H21" i="2"/>
  <c r="I21" i="2"/>
  <c r="E20" i="4"/>
  <c r="L21" i="2"/>
  <c r="F20" i="4"/>
  <c r="N21" i="2"/>
  <c r="O21" i="2"/>
  <c r="H20" i="4"/>
  <c r="R21" i="2"/>
  <c r="S21" i="2"/>
  <c r="I20" i="4"/>
  <c r="T21" i="2"/>
  <c r="U21" i="2"/>
  <c r="K20" i="4"/>
  <c r="X21" i="2"/>
  <c r="L20" i="4"/>
  <c r="Z21" i="2"/>
  <c r="AA21" i="2"/>
  <c r="D20" i="4"/>
  <c r="J21" i="2"/>
  <c r="K21" i="2"/>
  <c r="M21" i="2"/>
  <c r="J20" i="4"/>
  <c r="V21" i="2"/>
  <c r="W21" i="2"/>
  <c r="Y21" i="2"/>
  <c r="AB21" i="2"/>
  <c r="M20" i="4"/>
  <c r="AD21" i="2"/>
  <c r="A22" i="2"/>
  <c r="E21" i="4"/>
  <c r="L22" i="2"/>
  <c r="M22" i="2"/>
  <c r="C22" i="2"/>
  <c r="G21" i="4"/>
  <c r="P22" i="2"/>
  <c r="K21" i="4"/>
  <c r="X22" i="2"/>
  <c r="B21" i="4"/>
  <c r="F22" i="2"/>
  <c r="G22" i="2"/>
  <c r="C21" i="4"/>
  <c r="H22" i="2"/>
  <c r="I22" i="2"/>
  <c r="D21" i="4"/>
  <c r="J22" i="2"/>
  <c r="K22" i="2"/>
  <c r="F21" i="4"/>
  <c r="N22" i="2"/>
  <c r="O22" i="2"/>
  <c r="Q22" i="2"/>
  <c r="H21" i="4"/>
  <c r="R22" i="2"/>
  <c r="S22" i="2"/>
  <c r="I21" i="4"/>
  <c r="T22" i="2"/>
  <c r="U22" i="2"/>
  <c r="J21" i="4"/>
  <c r="V22" i="2"/>
  <c r="W22" i="2"/>
  <c r="Y22" i="2"/>
  <c r="L21" i="4"/>
  <c r="Z22" i="2"/>
  <c r="AA22" i="2"/>
  <c r="AB22" i="2"/>
  <c r="A20" i="2"/>
  <c r="B19" i="4"/>
  <c r="F20" i="2"/>
  <c r="G20" i="2"/>
  <c r="C19" i="4"/>
  <c r="H20" i="2"/>
  <c r="I20" i="2"/>
  <c r="D19" i="4"/>
  <c r="J20" i="2"/>
  <c r="K20" i="2"/>
  <c r="E19" i="4"/>
  <c r="L20" i="2"/>
  <c r="M20" i="2"/>
  <c r="F19" i="4"/>
  <c r="N20" i="2"/>
  <c r="O20" i="2"/>
  <c r="G19" i="4"/>
  <c r="P20" i="2"/>
  <c r="Q20" i="2"/>
  <c r="H19" i="4"/>
  <c r="R20" i="2"/>
  <c r="S20" i="2"/>
  <c r="I19" i="4"/>
  <c r="T20" i="2"/>
  <c r="U20" i="2"/>
  <c r="J19" i="4"/>
  <c r="V20" i="2"/>
  <c r="W20" i="2"/>
  <c r="K19" i="4"/>
  <c r="X20" i="2"/>
  <c r="Y20" i="2"/>
  <c r="L19" i="4"/>
  <c r="Z20" i="2"/>
  <c r="AA20" i="2"/>
  <c r="AB20" i="2"/>
  <c r="A19" i="2"/>
  <c r="B18" i="4"/>
  <c r="F19" i="2"/>
  <c r="G19" i="2"/>
  <c r="C18" i="4"/>
  <c r="H19" i="2"/>
  <c r="I19" i="2"/>
  <c r="D18" i="4"/>
  <c r="J19" i="2"/>
  <c r="K19" i="2"/>
  <c r="E18" i="4"/>
  <c r="L19" i="2"/>
  <c r="M19" i="2"/>
  <c r="F18" i="4"/>
  <c r="N19" i="2"/>
  <c r="O19" i="2"/>
  <c r="G18" i="4"/>
  <c r="P19" i="2"/>
  <c r="Q19" i="2"/>
  <c r="H18" i="4"/>
  <c r="R19" i="2"/>
  <c r="S19" i="2"/>
  <c r="I18" i="4"/>
  <c r="T19" i="2"/>
  <c r="U19" i="2"/>
  <c r="J18" i="4"/>
  <c r="V19" i="2"/>
  <c r="W19" i="2"/>
  <c r="K18" i="4"/>
  <c r="X19" i="2"/>
  <c r="Y19" i="2"/>
  <c r="L18" i="4"/>
  <c r="Z19" i="2"/>
  <c r="AA19" i="2"/>
  <c r="AB19" i="2"/>
  <c r="A18" i="2"/>
  <c r="B17" i="4"/>
  <c r="F18" i="2"/>
  <c r="G18" i="2"/>
  <c r="C17" i="4"/>
  <c r="H18" i="2"/>
  <c r="I18" i="2"/>
  <c r="D17" i="4"/>
  <c r="J18" i="2"/>
  <c r="K18" i="2"/>
  <c r="E17" i="4"/>
  <c r="L18" i="2"/>
  <c r="M18" i="2"/>
  <c r="F17" i="4"/>
  <c r="N18" i="2"/>
  <c r="O18" i="2"/>
  <c r="G17" i="4"/>
  <c r="P18" i="2"/>
  <c r="Q18" i="2"/>
  <c r="H17" i="4"/>
  <c r="R18" i="2"/>
  <c r="S18" i="2"/>
  <c r="I17" i="4"/>
  <c r="T18" i="2"/>
  <c r="U18" i="2"/>
  <c r="J17" i="4"/>
  <c r="V18" i="2"/>
  <c r="W18" i="2"/>
  <c r="K17" i="4"/>
  <c r="X18" i="2"/>
  <c r="Y18" i="2"/>
  <c r="L17" i="4"/>
  <c r="Z18" i="2"/>
  <c r="AA18" i="2"/>
  <c r="AB18" i="2"/>
  <c r="A17" i="2"/>
  <c r="B16" i="4"/>
  <c r="F17" i="2"/>
  <c r="G17" i="2"/>
  <c r="C16" i="4"/>
  <c r="H17" i="2"/>
  <c r="I17" i="2"/>
  <c r="D16" i="4"/>
  <c r="J17" i="2"/>
  <c r="K17" i="2"/>
  <c r="E16" i="4"/>
  <c r="L17" i="2"/>
  <c r="M17" i="2"/>
  <c r="F16" i="4"/>
  <c r="N17" i="2"/>
  <c r="O17" i="2"/>
  <c r="G16" i="4"/>
  <c r="P17" i="2"/>
  <c r="Q17" i="2"/>
  <c r="H16" i="4"/>
  <c r="R17" i="2"/>
  <c r="S17" i="2"/>
  <c r="I16" i="4"/>
  <c r="T17" i="2"/>
  <c r="U17" i="2"/>
  <c r="J16" i="4"/>
  <c r="V17" i="2"/>
  <c r="W17" i="2"/>
  <c r="K16" i="4"/>
  <c r="X17" i="2"/>
  <c r="Y17" i="2"/>
  <c r="L16" i="4"/>
  <c r="Z17" i="2"/>
  <c r="AA17" i="2"/>
  <c r="AB17" i="2"/>
  <c r="A16" i="2"/>
  <c r="B15" i="4"/>
  <c r="F16" i="2"/>
  <c r="G16" i="2"/>
  <c r="C15" i="4"/>
  <c r="H16" i="2"/>
  <c r="I16" i="2"/>
  <c r="D15" i="4"/>
  <c r="J16" i="2"/>
  <c r="K16" i="2"/>
  <c r="E15" i="4"/>
  <c r="L16" i="2"/>
  <c r="M16" i="2"/>
  <c r="F15" i="4"/>
  <c r="N16" i="2"/>
  <c r="O16" i="2"/>
  <c r="G15" i="4"/>
  <c r="P16" i="2"/>
  <c r="Q16" i="2"/>
  <c r="H15" i="4"/>
  <c r="R16" i="2"/>
  <c r="S16" i="2"/>
  <c r="I15" i="4"/>
  <c r="T16" i="2"/>
  <c r="U16" i="2"/>
  <c r="J15" i="4"/>
  <c r="V16" i="2"/>
  <c r="W16" i="2"/>
  <c r="K15" i="4"/>
  <c r="X16" i="2"/>
  <c r="Y16" i="2"/>
  <c r="L15" i="4"/>
  <c r="Z16" i="2"/>
  <c r="AA16" i="2"/>
  <c r="AB16" i="2"/>
  <c r="A15" i="2"/>
  <c r="B14" i="4"/>
  <c r="F15" i="2"/>
  <c r="G15" i="2"/>
  <c r="C14" i="4"/>
  <c r="H15" i="2"/>
  <c r="I15" i="2"/>
  <c r="D14" i="4"/>
  <c r="J15" i="2"/>
  <c r="K15" i="2"/>
  <c r="E14" i="4"/>
  <c r="L15" i="2"/>
  <c r="M15" i="2"/>
  <c r="F14" i="4"/>
  <c r="N15" i="2"/>
  <c r="O15" i="2"/>
  <c r="G14" i="4"/>
  <c r="P15" i="2"/>
  <c r="Q15" i="2"/>
  <c r="H14" i="4"/>
  <c r="R15" i="2"/>
  <c r="S15" i="2"/>
  <c r="I14" i="4"/>
  <c r="T15" i="2"/>
  <c r="U15" i="2"/>
  <c r="J14" i="4"/>
  <c r="V15" i="2"/>
  <c r="W15" i="2"/>
  <c r="K14" i="4"/>
  <c r="X15" i="2"/>
  <c r="Y15" i="2"/>
  <c r="L14" i="4"/>
  <c r="Z15" i="2"/>
  <c r="AA15" i="2"/>
  <c r="AB15" i="2"/>
  <c r="A14" i="2"/>
  <c r="B13" i="4"/>
  <c r="F14" i="2"/>
  <c r="G14" i="2"/>
  <c r="C13" i="4"/>
  <c r="H14" i="2"/>
  <c r="I14" i="2"/>
  <c r="D13" i="4"/>
  <c r="J14" i="2"/>
  <c r="K14" i="2"/>
  <c r="E13" i="4"/>
  <c r="L14" i="2"/>
  <c r="M14" i="2"/>
  <c r="F13" i="4"/>
  <c r="N14" i="2"/>
  <c r="O14" i="2"/>
  <c r="G13" i="4"/>
  <c r="P14" i="2"/>
  <c r="Q14" i="2"/>
  <c r="H13" i="4"/>
  <c r="R14" i="2"/>
  <c r="S14" i="2"/>
  <c r="I13" i="4"/>
  <c r="T14" i="2"/>
  <c r="U14" i="2"/>
  <c r="J13" i="4"/>
  <c r="V14" i="2"/>
  <c r="W14" i="2"/>
  <c r="K13" i="4"/>
  <c r="X14" i="2"/>
  <c r="Y14" i="2"/>
  <c r="L13" i="4"/>
  <c r="Z14" i="2"/>
  <c r="AA14" i="2"/>
  <c r="AB14" i="2"/>
  <c r="A13" i="2"/>
  <c r="B12" i="4"/>
  <c r="F13" i="2"/>
  <c r="G13" i="2"/>
  <c r="C12" i="4"/>
  <c r="H13" i="2"/>
  <c r="I13" i="2"/>
  <c r="D12" i="4"/>
  <c r="J13" i="2"/>
  <c r="K13" i="2"/>
  <c r="E12" i="4"/>
  <c r="L13" i="2"/>
  <c r="M13" i="2"/>
  <c r="F12" i="4"/>
  <c r="N13" i="2"/>
  <c r="O13" i="2"/>
  <c r="G12" i="4"/>
  <c r="P13" i="2"/>
  <c r="Q13" i="2"/>
  <c r="H12" i="4"/>
  <c r="R13" i="2"/>
  <c r="S13" i="2"/>
  <c r="I12" i="4"/>
  <c r="T13" i="2"/>
  <c r="U13" i="2"/>
  <c r="J12" i="4"/>
  <c r="V13" i="2"/>
  <c r="W13" i="2"/>
  <c r="K12" i="4"/>
  <c r="X13" i="2"/>
  <c r="Y13" i="2"/>
  <c r="L12" i="4"/>
  <c r="Z13" i="2"/>
  <c r="AA13" i="2"/>
  <c r="AB13" i="2"/>
  <c r="A12" i="2"/>
  <c r="B11" i="4"/>
  <c r="F12" i="2"/>
  <c r="G12" i="2"/>
  <c r="C11" i="4"/>
  <c r="H12" i="2"/>
  <c r="I12" i="2"/>
  <c r="D11" i="4"/>
  <c r="J12" i="2"/>
  <c r="K12" i="2"/>
  <c r="E11" i="4"/>
  <c r="L12" i="2"/>
  <c r="M12" i="2"/>
  <c r="F11" i="4"/>
  <c r="N12" i="2"/>
  <c r="O12" i="2"/>
  <c r="G11" i="4"/>
  <c r="P12" i="2"/>
  <c r="Q12" i="2"/>
  <c r="H11" i="4"/>
  <c r="R12" i="2"/>
  <c r="S12" i="2"/>
  <c r="I11" i="4"/>
  <c r="T12" i="2"/>
  <c r="U12" i="2"/>
  <c r="J11" i="4"/>
  <c r="V12" i="2"/>
  <c r="W12" i="2"/>
  <c r="K11" i="4"/>
  <c r="X12" i="2"/>
  <c r="Y12" i="2"/>
  <c r="L11" i="4"/>
  <c r="Z12" i="2"/>
  <c r="AA12" i="2"/>
  <c r="AB12" i="2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1" i="4"/>
  <c r="M23" i="4"/>
  <c r="M24" i="4"/>
  <c r="M26" i="4"/>
  <c r="M27" i="4"/>
  <c r="M28" i="4"/>
  <c r="M30" i="4"/>
  <c r="M32" i="4"/>
  <c r="M33" i="4"/>
  <c r="M34" i="4"/>
  <c r="M36" i="4"/>
  <c r="M37" i="4"/>
  <c r="M38" i="4"/>
  <c r="M3" i="4"/>
  <c r="E782" i="4"/>
  <c r="L754" i="4"/>
  <c r="L714" i="4"/>
  <c r="H698" i="4"/>
  <c r="L660" i="4"/>
  <c r="B651" i="4"/>
  <c r="C641" i="4"/>
  <c r="B632" i="4"/>
  <c r="F619" i="4"/>
  <c r="G607" i="4"/>
  <c r="C597" i="4"/>
  <c r="C593" i="4"/>
  <c r="D586" i="4"/>
  <c r="H582" i="4"/>
  <c r="I579" i="4"/>
  <c r="F576" i="4"/>
  <c r="E573" i="4"/>
  <c r="F570" i="4"/>
  <c r="G569" i="4"/>
  <c r="L566" i="4"/>
  <c r="H566" i="4"/>
  <c r="D561" i="4"/>
  <c r="K560" i="4"/>
  <c r="I558" i="4"/>
  <c r="F558" i="4"/>
  <c r="D556" i="4"/>
  <c r="G555" i="4"/>
  <c r="E554" i="4"/>
  <c r="K550" i="4"/>
  <c r="L548" i="4"/>
  <c r="C548" i="4"/>
  <c r="G546" i="4"/>
  <c r="H545" i="4"/>
  <c r="E545" i="4"/>
  <c r="J543" i="4"/>
  <c r="C543" i="4"/>
  <c r="F542" i="4"/>
  <c r="H540" i="4"/>
  <c r="K538" i="4"/>
  <c r="K537" i="4"/>
  <c r="D537" i="4"/>
  <c r="K536" i="4"/>
  <c r="G535" i="4"/>
  <c r="B535" i="4"/>
  <c r="B534" i="4"/>
  <c r="G533" i="4"/>
  <c r="E533" i="4"/>
  <c r="E532" i="4"/>
  <c r="G531" i="4"/>
  <c r="E531" i="4"/>
  <c r="E530" i="4"/>
  <c r="G528" i="4"/>
  <c r="L525" i="4"/>
  <c r="J525" i="4"/>
  <c r="J524" i="4"/>
  <c r="C524" i="4"/>
  <c r="J523" i="4"/>
  <c r="J522" i="4"/>
  <c r="G522" i="4"/>
  <c r="F522" i="4"/>
  <c r="L521" i="4"/>
  <c r="L520" i="4"/>
  <c r="G520" i="4"/>
  <c r="F520" i="4"/>
  <c r="D520" i="4"/>
  <c r="D519" i="4"/>
  <c r="I518" i="4"/>
  <c r="F518" i="4"/>
  <c r="D518" i="4"/>
  <c r="L516" i="4"/>
  <c r="H516" i="4"/>
  <c r="D516" i="4"/>
  <c r="K514" i="4"/>
  <c r="F514" i="4"/>
  <c r="I513" i="4"/>
  <c r="L512" i="4"/>
  <c r="K512" i="4"/>
  <c r="I512" i="4"/>
  <c r="B511" i="4"/>
  <c r="I510" i="4"/>
  <c r="I509" i="4"/>
  <c r="F509" i="4"/>
  <c r="E509" i="4"/>
  <c r="K508" i="4"/>
  <c r="K507" i="4"/>
  <c r="F507" i="4"/>
  <c r="E507" i="4"/>
  <c r="C507" i="4"/>
  <c r="C506" i="4"/>
  <c r="C504" i="4"/>
  <c r="C503" i="4"/>
  <c r="E502" i="4"/>
  <c r="I478" i="4"/>
  <c r="G404" i="4"/>
  <c r="I311" i="4"/>
  <c r="B286" i="4"/>
  <c r="D270" i="4"/>
  <c r="C251" i="4"/>
  <c r="I244" i="4"/>
  <c r="K239" i="4"/>
  <c r="C238" i="4"/>
  <c r="L234" i="4"/>
  <c r="F229" i="4"/>
  <c r="L226" i="4"/>
  <c r="D222" i="4"/>
  <c r="C215" i="4"/>
  <c r="B214" i="4"/>
  <c r="F205" i="4"/>
  <c r="H203" i="4"/>
  <c r="E200" i="4"/>
  <c r="K198" i="4"/>
  <c r="B196" i="4"/>
  <c r="F191" i="4"/>
  <c r="G190" i="4"/>
  <c r="G188" i="4"/>
  <c r="I186" i="4"/>
  <c r="B181" i="4"/>
  <c r="D179" i="4"/>
  <c r="F176" i="4"/>
  <c r="E172" i="4"/>
  <c r="K169" i="4"/>
  <c r="B169" i="4"/>
  <c r="F167" i="4"/>
  <c r="K164" i="4"/>
  <c r="I160" i="4"/>
  <c r="H160" i="4"/>
  <c r="L157" i="4"/>
  <c r="G155" i="4"/>
  <c r="F155" i="4"/>
  <c r="F154" i="4"/>
  <c r="J152" i="4"/>
  <c r="G150" i="4"/>
  <c r="F150" i="4"/>
  <c r="J148" i="4"/>
  <c r="D148" i="4"/>
  <c r="D145" i="4"/>
  <c r="K143" i="4"/>
  <c r="J142" i="4"/>
  <c r="D142" i="4"/>
  <c r="C142" i="4"/>
  <c r="J140" i="4"/>
  <c r="C140" i="4"/>
  <c r="G138" i="4"/>
  <c r="D138" i="4"/>
  <c r="L136" i="4"/>
  <c r="K136" i="4"/>
  <c r="F136" i="4"/>
  <c r="K133" i="4"/>
  <c r="D133" i="4"/>
  <c r="J131" i="4"/>
  <c r="I131" i="4"/>
  <c r="D131" i="4"/>
  <c r="J130" i="4"/>
  <c r="G130" i="4"/>
  <c r="H128" i="4"/>
  <c r="E128" i="4"/>
  <c r="K126" i="4"/>
  <c r="F126" i="4"/>
  <c r="C126" i="4"/>
  <c r="I124" i="4"/>
  <c r="D124" i="4"/>
  <c r="G122" i="4"/>
  <c r="J121" i="4"/>
  <c r="D121" i="4"/>
  <c r="E120" i="4"/>
  <c r="K119" i="4"/>
  <c r="H119" i="4"/>
  <c r="B119" i="4"/>
  <c r="H118" i="4"/>
  <c r="G118" i="4"/>
  <c r="C118" i="4"/>
  <c r="K116" i="4"/>
  <c r="F116" i="4"/>
  <c r="E116" i="4"/>
  <c r="I114" i="4"/>
  <c r="D114" i="4"/>
  <c r="C114" i="4"/>
  <c r="G112" i="4"/>
  <c r="B112" i="4"/>
  <c r="K109" i="4"/>
  <c r="J109" i="4"/>
  <c r="F109" i="4"/>
  <c r="I107" i="4"/>
  <c r="H107" i="4"/>
  <c r="D107" i="4"/>
  <c r="J106" i="4"/>
  <c r="G106" i="4"/>
  <c r="H104" i="4"/>
  <c r="E104" i="4"/>
  <c r="K102" i="4"/>
  <c r="F102" i="4"/>
  <c r="C102" i="4"/>
  <c r="I100" i="4"/>
  <c r="D100" i="4"/>
  <c r="G98" i="4"/>
  <c r="J97" i="4"/>
  <c r="D97" i="4"/>
  <c r="I96" i="4"/>
  <c r="E96" i="4"/>
  <c r="K95" i="4"/>
  <c r="H95" i="4"/>
  <c r="B95" i="4"/>
  <c r="H94" i="4"/>
  <c r="G94" i="4"/>
  <c r="C94" i="4"/>
  <c r="K92" i="4"/>
  <c r="F92" i="4"/>
  <c r="E92" i="4"/>
  <c r="L91" i="4"/>
  <c r="I90" i="4"/>
  <c r="D90" i="4"/>
  <c r="C90" i="4"/>
  <c r="G88" i="4"/>
  <c r="C88" i="4"/>
  <c r="B88" i="4"/>
  <c r="J87" i="4"/>
  <c r="I86" i="4"/>
  <c r="F86" i="4"/>
  <c r="L85" i="4"/>
  <c r="I85" i="4"/>
  <c r="F85" i="4"/>
  <c r="E85" i="4"/>
  <c r="C85" i="4"/>
  <c r="I84" i="4"/>
  <c r="B84" i="4"/>
  <c r="J83" i="4"/>
  <c r="H83" i="4"/>
  <c r="F83" i="4"/>
  <c r="B83" i="4"/>
  <c r="J82" i="4"/>
  <c r="I82" i="4"/>
  <c r="G82" i="4"/>
  <c r="E82" i="4"/>
  <c r="B82" i="4"/>
  <c r="L80" i="4"/>
  <c r="J80" i="4"/>
  <c r="F80" i="4"/>
  <c r="D80" i="4"/>
  <c r="C80" i="4"/>
  <c r="K79" i="4"/>
  <c r="K78" i="4"/>
  <c r="J78" i="4"/>
  <c r="H78" i="4"/>
  <c r="E78" i="4"/>
  <c r="C78" i="4"/>
  <c r="K76" i="4"/>
  <c r="G76" i="4"/>
  <c r="D76" i="4"/>
  <c r="C76" i="4"/>
  <c r="L75" i="4"/>
  <c r="K74" i="4"/>
  <c r="G74" i="4"/>
  <c r="L73" i="4"/>
  <c r="J73" i="4"/>
  <c r="H73" i="4"/>
  <c r="F73" i="4"/>
  <c r="C73" i="4"/>
  <c r="K72" i="4"/>
  <c r="I72" i="4"/>
  <c r="E72" i="4"/>
  <c r="K71" i="4"/>
  <c r="J71" i="4"/>
  <c r="H71" i="4"/>
  <c r="F71" i="4"/>
  <c r="D71" i="4"/>
  <c r="L70" i="4"/>
  <c r="J70" i="4"/>
  <c r="I70" i="4"/>
  <c r="G70" i="4"/>
  <c r="E70" i="4"/>
  <c r="C70" i="4"/>
  <c r="J68" i="4"/>
  <c r="H68" i="4"/>
  <c r="G68" i="4"/>
  <c r="E68" i="4"/>
  <c r="C68" i="4"/>
  <c r="L67" i="4"/>
  <c r="D67" i="4"/>
  <c r="K66" i="4"/>
  <c r="H66" i="4"/>
  <c r="F66" i="4"/>
  <c r="E66" i="4"/>
  <c r="C66" i="4"/>
  <c r="K64" i="4"/>
  <c r="I64" i="4"/>
  <c r="F64" i="4"/>
  <c r="D64" i="4"/>
  <c r="C64" i="4"/>
  <c r="L63" i="4"/>
  <c r="H63" i="4"/>
  <c r="K62" i="4"/>
  <c r="G62" i="4"/>
  <c r="L61" i="4"/>
  <c r="J61" i="4"/>
  <c r="H61" i="4"/>
  <c r="F61" i="4"/>
  <c r="C61" i="4"/>
  <c r="K60" i="4"/>
  <c r="I60" i="4"/>
  <c r="G60" i="4"/>
  <c r="E60" i="4"/>
  <c r="K59" i="4"/>
  <c r="J59" i="4"/>
  <c r="H59" i="4"/>
  <c r="F59" i="4"/>
  <c r="D59" i="4"/>
  <c r="L58" i="4"/>
  <c r="J58" i="4"/>
  <c r="I58" i="4"/>
  <c r="G58" i="4"/>
  <c r="E58" i="4"/>
  <c r="C58" i="4"/>
  <c r="J56" i="4"/>
  <c r="H56" i="4"/>
  <c r="G56" i="4"/>
  <c r="E56" i="4"/>
  <c r="C56" i="4"/>
  <c r="L55" i="4"/>
  <c r="D55" i="4"/>
  <c r="K54" i="4"/>
  <c r="H54" i="4"/>
  <c r="F54" i="4"/>
  <c r="E54" i="4"/>
  <c r="C54" i="4"/>
  <c r="K52" i="4"/>
  <c r="I52" i="4"/>
  <c r="F52" i="4"/>
  <c r="D52" i="4"/>
  <c r="C52" i="4"/>
  <c r="L51" i="4"/>
  <c r="H51" i="4"/>
  <c r="K50" i="4"/>
  <c r="I50" i="4"/>
  <c r="G50" i="4"/>
  <c r="L49" i="4"/>
  <c r="J49" i="4"/>
  <c r="H49" i="4"/>
  <c r="F49" i="4"/>
  <c r="C49" i="4"/>
  <c r="L48" i="4"/>
  <c r="K48" i="4"/>
  <c r="I48" i="4"/>
  <c r="G48" i="4"/>
  <c r="E48" i="4"/>
  <c r="K47" i="4"/>
  <c r="J47" i="4"/>
  <c r="H47" i="4"/>
  <c r="F47" i="4"/>
  <c r="D47" i="4"/>
  <c r="L46" i="4"/>
  <c r="J46" i="4"/>
  <c r="I46" i="4"/>
  <c r="G46" i="4"/>
  <c r="E46" i="4"/>
  <c r="C46" i="4"/>
  <c r="F45" i="4"/>
  <c r="J44" i="4"/>
  <c r="H44" i="4"/>
  <c r="G44" i="4"/>
  <c r="E44" i="4"/>
  <c r="C44" i="4"/>
  <c r="L43" i="4"/>
  <c r="F43" i="4"/>
  <c r="D43" i="4"/>
  <c r="K42" i="4"/>
  <c r="H42" i="4"/>
  <c r="F42" i="4"/>
  <c r="E42" i="4"/>
  <c r="C42" i="4"/>
  <c r="K40" i="4"/>
  <c r="I40" i="4"/>
  <c r="F40" i="4"/>
  <c r="D40" i="4"/>
  <c r="C40" i="4"/>
  <c r="L39" i="4"/>
  <c r="H39" i="4"/>
  <c r="L38" i="4"/>
  <c r="I38" i="4"/>
  <c r="H38" i="4"/>
  <c r="F38" i="4"/>
  <c r="E38" i="4"/>
  <c r="D38" i="4"/>
  <c r="K37" i="4"/>
  <c r="E37" i="4"/>
  <c r="C37" i="4"/>
  <c r="L33" i="4"/>
  <c r="K33" i="4"/>
  <c r="I33" i="4"/>
  <c r="H33" i="4"/>
  <c r="G33" i="4"/>
  <c r="F33" i="4"/>
  <c r="E33" i="4"/>
  <c r="D33" i="4"/>
  <c r="C33" i="4"/>
  <c r="B33" i="4"/>
  <c r="L30" i="4"/>
  <c r="K30" i="4"/>
  <c r="I30" i="4"/>
  <c r="H30" i="4"/>
  <c r="G30" i="4"/>
  <c r="F30" i="4"/>
  <c r="E30" i="4"/>
  <c r="D30" i="4"/>
  <c r="C30" i="4"/>
  <c r="B30" i="4"/>
  <c r="L29" i="4"/>
  <c r="K29" i="4"/>
  <c r="I29" i="4"/>
  <c r="H29" i="4"/>
  <c r="F29" i="4"/>
  <c r="E29" i="4"/>
  <c r="D29" i="4"/>
  <c r="C29" i="4"/>
  <c r="L26" i="4"/>
  <c r="K26" i="4"/>
  <c r="I26" i="4"/>
  <c r="H26" i="4"/>
  <c r="F26" i="4"/>
  <c r="C26" i="4"/>
  <c r="B26" i="4"/>
  <c r="L23" i="4"/>
  <c r="K23" i="4"/>
  <c r="J23" i="4"/>
  <c r="I23" i="4"/>
  <c r="H23" i="4"/>
  <c r="F23" i="4"/>
  <c r="E23" i="4"/>
  <c r="D23" i="4"/>
  <c r="C23" i="4"/>
  <c r="B23" i="4"/>
  <c r="L10" i="4"/>
  <c r="K10" i="4"/>
  <c r="J10" i="4"/>
  <c r="I10" i="4"/>
  <c r="H10" i="4"/>
  <c r="G10" i="4"/>
  <c r="F10" i="4"/>
  <c r="E10" i="4"/>
  <c r="D10" i="4"/>
  <c r="C10" i="4"/>
  <c r="B10" i="4"/>
  <c r="L9" i="4"/>
  <c r="K9" i="4"/>
  <c r="J9" i="4"/>
  <c r="I9" i="4"/>
  <c r="H9" i="4"/>
  <c r="G9" i="4"/>
  <c r="F9" i="4"/>
  <c r="E9" i="4"/>
  <c r="D9" i="4"/>
  <c r="C9" i="4"/>
  <c r="B9" i="4"/>
  <c r="L8" i="4"/>
  <c r="K8" i="4"/>
  <c r="J8" i="4"/>
  <c r="I8" i="4"/>
  <c r="H8" i="4"/>
  <c r="G8" i="4"/>
  <c r="F8" i="4"/>
  <c r="E8" i="4"/>
  <c r="D8" i="4"/>
  <c r="C8" i="4"/>
  <c r="B8" i="4"/>
  <c r="L7" i="4"/>
  <c r="K7" i="4"/>
  <c r="J7" i="4"/>
  <c r="I7" i="4"/>
  <c r="H7" i="4"/>
  <c r="G7" i="4"/>
  <c r="F7" i="4"/>
  <c r="E7" i="4"/>
  <c r="D7" i="4"/>
  <c r="C7" i="4"/>
  <c r="B7" i="4"/>
  <c r="L6" i="4"/>
  <c r="K6" i="4"/>
  <c r="J6" i="4"/>
  <c r="I6" i="4"/>
  <c r="H6" i="4"/>
  <c r="G6" i="4"/>
  <c r="F6" i="4"/>
  <c r="E6" i="4"/>
  <c r="D6" i="4"/>
  <c r="C6" i="4"/>
  <c r="B6" i="4"/>
  <c r="L5" i="4"/>
  <c r="K5" i="4"/>
  <c r="J5" i="4"/>
  <c r="I5" i="4"/>
  <c r="H5" i="4"/>
  <c r="G5" i="4"/>
  <c r="F5" i="4"/>
  <c r="E5" i="4"/>
  <c r="D5" i="4"/>
  <c r="C5" i="4"/>
  <c r="B5" i="4"/>
  <c r="L4" i="4"/>
  <c r="K4" i="4"/>
  <c r="J4" i="4"/>
  <c r="I4" i="4"/>
  <c r="H4" i="4"/>
  <c r="G4" i="4"/>
  <c r="F4" i="4"/>
  <c r="E4" i="4"/>
  <c r="D4" i="4"/>
  <c r="C4" i="4"/>
  <c r="B4" i="4"/>
  <c r="L3" i="4"/>
  <c r="K3" i="4"/>
  <c r="J3" i="4"/>
  <c r="I3" i="4"/>
  <c r="H3" i="4"/>
  <c r="G3" i="4"/>
  <c r="F3" i="4"/>
  <c r="E3" i="4"/>
  <c r="D3" i="4"/>
  <c r="C3" i="4"/>
  <c r="B3" i="4"/>
  <c r="D39" i="4"/>
  <c r="A40" i="4"/>
  <c r="A41" i="4"/>
  <c r="E41" i="4"/>
  <c r="A42" i="4"/>
  <c r="L42" i="4"/>
  <c r="A43" i="4"/>
  <c r="B43" i="4"/>
  <c r="A44" i="4"/>
  <c r="L44" i="4"/>
  <c r="A45" i="4"/>
  <c r="K45" i="4"/>
  <c r="A46" i="4"/>
  <c r="K46" i="4"/>
  <c r="A47" i="4"/>
  <c r="L47" i="4"/>
  <c r="A48" i="4"/>
  <c r="B48" i="4"/>
  <c r="A49" i="4"/>
  <c r="K49" i="4"/>
  <c r="A50" i="4"/>
  <c r="L50" i="4"/>
  <c r="A51" i="4"/>
  <c r="D51" i="4"/>
  <c r="A52" i="4"/>
  <c r="A53" i="4"/>
  <c r="C53" i="4"/>
  <c r="A54" i="4"/>
  <c r="L54" i="4"/>
  <c r="A55" i="4"/>
  <c r="K55" i="4"/>
  <c r="A56" i="4"/>
  <c r="L56" i="4"/>
  <c r="A57" i="4"/>
  <c r="C57" i="4"/>
  <c r="A58" i="4"/>
  <c r="K58" i="4"/>
  <c r="A59" i="4"/>
  <c r="L59" i="4"/>
  <c r="A60" i="4"/>
  <c r="L60" i="4"/>
  <c r="A61" i="4"/>
  <c r="K61" i="4"/>
  <c r="A62" i="4"/>
  <c r="L62" i="4"/>
  <c r="A63" i="4"/>
  <c r="D63" i="4"/>
  <c r="A64" i="4"/>
  <c r="A65" i="4"/>
  <c r="B65" i="4"/>
  <c r="A66" i="4"/>
  <c r="L66" i="4"/>
  <c r="A67" i="4"/>
  <c r="K67" i="4"/>
  <c r="A68" i="4"/>
  <c r="L68" i="4"/>
  <c r="A69" i="4"/>
  <c r="D69" i="4"/>
  <c r="A70" i="4"/>
  <c r="K70" i="4"/>
  <c r="A71" i="4"/>
  <c r="L71" i="4"/>
  <c r="A72" i="4"/>
  <c r="L72" i="4"/>
  <c r="A73" i="4"/>
  <c r="K73" i="4"/>
  <c r="A74" i="4"/>
  <c r="L74" i="4"/>
  <c r="A75" i="4"/>
  <c r="D75" i="4"/>
  <c r="A76" i="4"/>
  <c r="A77" i="4"/>
  <c r="H77" i="4"/>
  <c r="A78" i="4"/>
  <c r="D78" i="4"/>
  <c r="A79" i="4"/>
  <c r="I79" i="4"/>
  <c r="A80" i="4"/>
  <c r="H80" i="4"/>
  <c r="A81" i="4"/>
  <c r="L81" i="4"/>
  <c r="A82" i="4"/>
  <c r="L82" i="4"/>
  <c r="A83" i="4"/>
  <c r="K83" i="4"/>
  <c r="A84" i="4"/>
  <c r="E84" i="4"/>
  <c r="A85" i="4"/>
  <c r="D85" i="4"/>
  <c r="A86" i="4"/>
  <c r="G86" i="4"/>
  <c r="A87" i="4"/>
  <c r="L87" i="4"/>
  <c r="A88" i="4"/>
  <c r="A89" i="4"/>
  <c r="J89" i="4"/>
  <c r="A90" i="4"/>
  <c r="K90" i="4"/>
  <c r="A91" i="4"/>
  <c r="G91" i="4"/>
  <c r="A92" i="4"/>
  <c r="H92" i="4"/>
  <c r="A93" i="4"/>
  <c r="I93" i="4"/>
  <c r="A94" i="4"/>
  <c r="J94" i="4"/>
  <c r="A95" i="4"/>
  <c r="A96" i="4"/>
  <c r="L96" i="4"/>
  <c r="A97" i="4"/>
  <c r="A98" i="4"/>
  <c r="K98" i="4"/>
  <c r="A99" i="4"/>
  <c r="C99" i="4"/>
  <c r="A100" i="4"/>
  <c r="A101" i="4"/>
  <c r="B101" i="4"/>
  <c r="A102" i="4"/>
  <c r="D102" i="4"/>
  <c r="A103" i="4"/>
  <c r="L103" i="4"/>
  <c r="A104" i="4"/>
  <c r="C104" i="4"/>
  <c r="A105" i="4"/>
  <c r="L105" i="4"/>
  <c r="A106" i="4"/>
  <c r="C106" i="4"/>
  <c r="A107" i="4"/>
  <c r="K107" i="4"/>
  <c r="A108" i="4"/>
  <c r="C108" i="4"/>
  <c r="A109" i="4"/>
  <c r="H109" i="4"/>
  <c r="A110" i="4"/>
  <c r="A111" i="4"/>
  <c r="L111" i="4"/>
  <c r="A112" i="4"/>
  <c r="A113" i="4"/>
  <c r="L113" i="4"/>
  <c r="A114" i="4"/>
  <c r="K114" i="4"/>
  <c r="A115" i="4"/>
  <c r="E115" i="4"/>
  <c r="A116" i="4"/>
  <c r="H116" i="4"/>
  <c r="A117" i="4"/>
  <c r="G117" i="4"/>
  <c r="A118" i="4"/>
  <c r="J118" i="4"/>
  <c r="A119" i="4"/>
  <c r="A120" i="4"/>
  <c r="L120" i="4"/>
  <c r="A121" i="4"/>
  <c r="A122" i="4"/>
  <c r="L122" i="4"/>
  <c r="A123" i="4"/>
  <c r="C123" i="4"/>
  <c r="A124" i="4"/>
  <c r="A125" i="4"/>
  <c r="L125" i="4"/>
  <c r="A126" i="4"/>
  <c r="D126" i="4"/>
  <c r="A127" i="4"/>
  <c r="J127" i="4"/>
  <c r="A128" i="4"/>
  <c r="C128" i="4"/>
  <c r="A129" i="4"/>
  <c r="L129" i="4"/>
  <c r="A130" i="4"/>
  <c r="C130" i="4"/>
  <c r="A131" i="4"/>
  <c r="L131" i="4"/>
  <c r="A132" i="4"/>
  <c r="A133" i="4"/>
  <c r="A134" i="4"/>
  <c r="D134" i="4"/>
  <c r="A135" i="4"/>
  <c r="A136" i="4"/>
  <c r="A137" i="4"/>
  <c r="L137" i="4"/>
  <c r="A138" i="4"/>
  <c r="E138" i="4"/>
  <c r="A139" i="4"/>
  <c r="J139" i="4"/>
  <c r="A140" i="4"/>
  <c r="H140" i="4"/>
  <c r="A141" i="4"/>
  <c r="C141" i="4"/>
  <c r="A142" i="4"/>
  <c r="F142" i="4"/>
  <c r="A143" i="4"/>
  <c r="A144" i="4"/>
  <c r="A145" i="4"/>
  <c r="I145" i="4"/>
  <c r="A146" i="4"/>
  <c r="B146" i="4"/>
  <c r="A147" i="4"/>
  <c r="A148" i="4"/>
  <c r="A149" i="4"/>
  <c r="H149" i="4"/>
  <c r="A150" i="4"/>
  <c r="L150" i="4"/>
  <c r="A151" i="4"/>
  <c r="J151" i="4"/>
  <c r="A152" i="4"/>
  <c r="E152" i="4"/>
  <c r="A153" i="4"/>
  <c r="A154" i="4"/>
  <c r="L154" i="4"/>
  <c r="A155" i="4"/>
  <c r="A156" i="4"/>
  <c r="B156" i="4"/>
  <c r="A157" i="4"/>
  <c r="A158" i="4"/>
  <c r="A159" i="4"/>
  <c r="H159" i="4"/>
  <c r="A160" i="4"/>
  <c r="A161" i="4"/>
  <c r="L161" i="4"/>
  <c r="A162" i="4"/>
  <c r="J162" i="4"/>
  <c r="A163" i="4"/>
  <c r="E163" i="4"/>
  <c r="A164" i="4"/>
  <c r="A165" i="4"/>
  <c r="L165" i="4"/>
  <c r="A166" i="4"/>
  <c r="H166" i="4"/>
  <c r="A167" i="4"/>
  <c r="A168" i="4"/>
  <c r="A169" i="4"/>
  <c r="A170" i="4"/>
  <c r="A171" i="4"/>
  <c r="J171" i="4"/>
  <c r="A172" i="4"/>
  <c r="A173" i="4"/>
  <c r="A174" i="4"/>
  <c r="E174" i="4"/>
  <c r="A175" i="4"/>
  <c r="J175" i="4"/>
  <c r="A176" i="4"/>
  <c r="A177" i="4"/>
  <c r="J177" i="4"/>
  <c r="A178" i="4"/>
  <c r="H178" i="4"/>
  <c r="A179" i="4"/>
  <c r="F179" i="4"/>
  <c r="A180" i="4"/>
  <c r="C180" i="4"/>
  <c r="A181" i="4"/>
  <c r="A182" i="4"/>
  <c r="A183" i="4"/>
  <c r="A184" i="4"/>
  <c r="A185" i="4"/>
  <c r="D185" i="4"/>
  <c r="A186" i="4"/>
  <c r="K186" i="4"/>
  <c r="A187" i="4"/>
  <c r="H187" i="4"/>
  <c r="A188" i="4"/>
  <c r="A189" i="4"/>
  <c r="J189" i="4"/>
  <c r="A190" i="4"/>
  <c r="A191" i="4"/>
  <c r="A192" i="4"/>
  <c r="J192" i="4"/>
  <c r="A193" i="4"/>
  <c r="H193" i="4"/>
  <c r="A194" i="4"/>
  <c r="E194" i="4"/>
  <c r="A195" i="4"/>
  <c r="B195" i="4"/>
  <c r="A196" i="4"/>
  <c r="A197" i="4"/>
  <c r="L197" i="4"/>
  <c r="A198" i="4"/>
  <c r="C198" i="4"/>
  <c r="A199" i="4"/>
  <c r="A200" i="4"/>
  <c r="A201" i="4"/>
  <c r="J201" i="4"/>
  <c r="A202" i="4"/>
  <c r="H202" i="4"/>
  <c r="A203" i="4"/>
  <c r="A204" i="4"/>
  <c r="A205" i="4"/>
  <c r="A206" i="4"/>
  <c r="A207" i="4"/>
  <c r="L207" i="4"/>
  <c r="A208" i="4"/>
  <c r="A209" i="4"/>
  <c r="I209" i="4"/>
  <c r="A210" i="4"/>
  <c r="J210" i="4"/>
  <c r="A211" i="4"/>
  <c r="K211" i="4"/>
  <c r="A212" i="4"/>
  <c r="E212" i="4"/>
  <c r="A213" i="4"/>
  <c r="F213" i="4"/>
  <c r="A214" i="4"/>
  <c r="A215" i="4"/>
  <c r="A216" i="4"/>
  <c r="L216" i="4"/>
  <c r="A217" i="4"/>
  <c r="A218" i="4"/>
  <c r="B218" i="4"/>
  <c r="A219" i="4"/>
  <c r="E219" i="4"/>
  <c r="A220" i="4"/>
  <c r="A221" i="4"/>
  <c r="A222" i="4"/>
  <c r="L222" i="4"/>
  <c r="A223" i="4"/>
  <c r="A224" i="4"/>
  <c r="F224" i="4"/>
  <c r="A225" i="4"/>
  <c r="A226" i="4"/>
  <c r="A227" i="4"/>
  <c r="A228" i="4"/>
  <c r="A229" i="4"/>
  <c r="A230" i="4"/>
  <c r="H230" i="4"/>
  <c r="A231" i="4"/>
  <c r="K231" i="4"/>
  <c r="A232" i="4"/>
  <c r="A233" i="4"/>
  <c r="G233" i="4"/>
  <c r="A234" i="4"/>
  <c r="A235" i="4"/>
  <c r="L235" i="4"/>
  <c r="A236" i="4"/>
  <c r="A237" i="4"/>
  <c r="C237" i="4"/>
  <c r="A238" i="4"/>
  <c r="A239" i="4"/>
  <c r="A240" i="4"/>
  <c r="A241" i="4"/>
  <c r="A242" i="4"/>
  <c r="D242" i="4"/>
  <c r="A243" i="4"/>
  <c r="H243" i="4"/>
  <c r="A244" i="4"/>
  <c r="A245" i="4"/>
  <c r="A246" i="4"/>
  <c r="D246" i="4"/>
  <c r="A247" i="4"/>
  <c r="K247" i="4"/>
  <c r="A248" i="4"/>
  <c r="J248" i="4"/>
  <c r="A249" i="4"/>
  <c r="A250" i="4"/>
  <c r="A251" i="4"/>
  <c r="A252" i="4"/>
  <c r="A253" i="4"/>
  <c r="A254" i="4"/>
  <c r="L254" i="4"/>
  <c r="A255" i="4"/>
  <c r="A256" i="4"/>
  <c r="A257" i="4"/>
  <c r="J257" i="4"/>
  <c r="A258" i="4"/>
  <c r="L258" i="4"/>
  <c r="A259" i="4"/>
  <c r="A260" i="4"/>
  <c r="H260" i="4"/>
  <c r="A261" i="4"/>
  <c r="G261" i="4"/>
  <c r="A262" i="4"/>
  <c r="A263" i="4"/>
  <c r="A264" i="4"/>
  <c r="A265" i="4"/>
  <c r="A266" i="4"/>
  <c r="A267" i="4"/>
  <c r="K267" i="4"/>
  <c r="A268" i="4"/>
  <c r="A269" i="4"/>
  <c r="E269" i="4"/>
  <c r="A270" i="4"/>
  <c r="H270" i="4"/>
  <c r="A271" i="4"/>
  <c r="K271" i="4"/>
  <c r="A272" i="4"/>
  <c r="A273" i="4"/>
  <c r="G273" i="4"/>
  <c r="A274" i="4"/>
  <c r="D274" i="4"/>
  <c r="A275" i="4"/>
  <c r="A276" i="4"/>
  <c r="A277" i="4"/>
  <c r="A278" i="4"/>
  <c r="A279" i="4"/>
  <c r="A280" i="4"/>
  <c r="A281" i="4"/>
  <c r="I281" i="4"/>
  <c r="A282" i="4"/>
  <c r="A283" i="4"/>
  <c r="A284" i="4"/>
  <c r="D284" i="4"/>
  <c r="A285" i="4"/>
  <c r="A286" i="4"/>
  <c r="I286" i="4"/>
  <c r="A287" i="4"/>
  <c r="A288" i="4"/>
  <c r="A289" i="4"/>
  <c r="A290" i="4"/>
  <c r="A291" i="4"/>
  <c r="A292" i="4"/>
  <c r="A293" i="4"/>
  <c r="H293" i="4"/>
  <c r="A294" i="4"/>
  <c r="A295" i="4"/>
  <c r="C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E321" i="4"/>
  <c r="A322" i="4"/>
  <c r="A323" i="4"/>
  <c r="A324" i="4"/>
  <c r="A325" i="4"/>
  <c r="A326" i="4"/>
  <c r="A327" i="4"/>
  <c r="K327" i="4"/>
  <c r="A328" i="4"/>
  <c r="A329" i="4"/>
  <c r="A330" i="4"/>
  <c r="A331" i="4"/>
  <c r="A332" i="4"/>
  <c r="A333" i="4"/>
  <c r="A334" i="4"/>
  <c r="C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E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L501" i="4"/>
  <c r="A502" i="4"/>
  <c r="A503" i="4"/>
  <c r="L503" i="4"/>
  <c r="A504" i="4"/>
  <c r="L504" i="4"/>
  <c r="A505" i="4"/>
  <c r="I505" i="4"/>
  <c r="A506" i="4"/>
  <c r="I506" i="4"/>
  <c r="A507" i="4"/>
  <c r="J507" i="4"/>
  <c r="A508" i="4"/>
  <c r="G508" i="4"/>
  <c r="A509" i="4"/>
  <c r="L509" i="4"/>
  <c r="A510" i="4"/>
  <c r="A511" i="4"/>
  <c r="J511" i="4"/>
  <c r="A512" i="4"/>
  <c r="A513" i="4"/>
  <c r="A514" i="4"/>
  <c r="L514" i="4"/>
  <c r="A515" i="4"/>
  <c r="L515" i="4"/>
  <c r="A516" i="4"/>
  <c r="C516" i="4"/>
  <c r="A517" i="4"/>
  <c r="A518" i="4"/>
  <c r="B518" i="4"/>
  <c r="A519" i="4"/>
  <c r="G519" i="4"/>
  <c r="A520" i="4"/>
  <c r="K520" i="4"/>
  <c r="A521" i="4"/>
  <c r="E521" i="4"/>
  <c r="A522" i="4"/>
  <c r="I522" i="4"/>
  <c r="A523" i="4"/>
  <c r="B523" i="4"/>
  <c r="A524" i="4"/>
  <c r="H524" i="4"/>
  <c r="A525" i="4"/>
  <c r="A526" i="4"/>
  <c r="E526" i="4"/>
  <c r="A527" i="4"/>
  <c r="L527" i="4"/>
  <c r="A528" i="4"/>
  <c r="L528" i="4"/>
  <c r="A529" i="4"/>
  <c r="B529" i="4"/>
  <c r="A530" i="4"/>
  <c r="J530" i="4"/>
  <c r="A531" i="4"/>
  <c r="K531" i="4"/>
  <c r="A532" i="4"/>
  <c r="K532" i="4"/>
  <c r="A533" i="4"/>
  <c r="L533" i="4"/>
  <c r="A534" i="4"/>
  <c r="A535" i="4"/>
  <c r="K535" i="4"/>
  <c r="A536" i="4"/>
  <c r="A537" i="4"/>
  <c r="E537" i="4"/>
  <c r="A538" i="4"/>
  <c r="A539" i="4"/>
  <c r="A540" i="4"/>
  <c r="G540" i="4"/>
  <c r="A541" i="4"/>
  <c r="C541" i="4"/>
  <c r="A542" i="4"/>
  <c r="D542" i="4"/>
  <c r="A543" i="4"/>
  <c r="G543" i="4"/>
  <c r="A544" i="4"/>
  <c r="G544" i="4"/>
  <c r="A545" i="4"/>
  <c r="L545" i="4"/>
  <c r="A546" i="4"/>
  <c r="F546" i="4"/>
  <c r="A547" i="4"/>
  <c r="A548" i="4"/>
  <c r="I548" i="4"/>
  <c r="A549" i="4"/>
  <c r="A550" i="4"/>
  <c r="A551" i="4"/>
  <c r="L551" i="4"/>
  <c r="A552" i="4"/>
  <c r="L552" i="4"/>
  <c r="A553" i="4"/>
  <c r="E553" i="4"/>
  <c r="A554" i="4"/>
  <c r="I554" i="4"/>
  <c r="A555" i="4"/>
  <c r="C555" i="4"/>
  <c r="A556" i="4"/>
  <c r="K556" i="4"/>
  <c r="A557" i="4"/>
  <c r="E557" i="4"/>
  <c r="A558" i="4"/>
  <c r="J558" i="4"/>
  <c r="A559" i="4"/>
  <c r="J559" i="4"/>
  <c r="A560" i="4"/>
  <c r="A561" i="4"/>
  <c r="I561" i="4"/>
  <c r="A562" i="4"/>
  <c r="A563" i="4"/>
  <c r="B563" i="4"/>
  <c r="A564" i="4"/>
  <c r="H564" i="4"/>
  <c r="A565" i="4"/>
  <c r="H565" i="4"/>
  <c r="A566" i="4"/>
  <c r="A567" i="4"/>
  <c r="K567" i="4"/>
  <c r="A568" i="4"/>
  <c r="H568" i="4"/>
  <c r="A569" i="4"/>
  <c r="A570" i="4"/>
  <c r="K570" i="4"/>
  <c r="A571" i="4"/>
  <c r="I571" i="4"/>
  <c r="A572" i="4"/>
  <c r="A573" i="4"/>
  <c r="G573" i="4"/>
  <c r="A574" i="4"/>
  <c r="A575" i="4"/>
  <c r="A576" i="4"/>
  <c r="L576" i="4"/>
  <c r="A577" i="4"/>
  <c r="A578" i="4"/>
  <c r="H578" i="4"/>
  <c r="A579" i="4"/>
  <c r="K579" i="4"/>
  <c r="A580" i="4"/>
  <c r="L580" i="4"/>
  <c r="A581" i="4"/>
  <c r="A582" i="4"/>
  <c r="L582" i="4"/>
  <c r="A583" i="4"/>
  <c r="L583" i="4"/>
  <c r="A584" i="4"/>
  <c r="A585" i="4"/>
  <c r="A586" i="4"/>
  <c r="A587" i="4"/>
  <c r="K587" i="4"/>
  <c r="A588" i="4"/>
  <c r="G588" i="4"/>
  <c r="A589" i="4"/>
  <c r="A590" i="4"/>
  <c r="I590" i="4"/>
  <c r="A591" i="4"/>
  <c r="G591" i="4"/>
  <c r="A592" i="4"/>
  <c r="A593" i="4"/>
  <c r="J593" i="4"/>
  <c r="A594" i="4"/>
  <c r="E594" i="4"/>
  <c r="A595" i="4"/>
  <c r="A596" i="4"/>
  <c r="A597" i="4"/>
  <c r="I597" i="4"/>
  <c r="A598" i="4"/>
  <c r="A599" i="4"/>
  <c r="A600" i="4"/>
  <c r="L600" i="4"/>
  <c r="A601" i="4"/>
  <c r="A602" i="4"/>
  <c r="B602" i="4"/>
  <c r="A603" i="4"/>
  <c r="H603" i="4"/>
  <c r="A604" i="4"/>
  <c r="K604" i="4"/>
  <c r="A605" i="4"/>
  <c r="A606" i="4"/>
  <c r="A607" i="4"/>
  <c r="H607" i="4"/>
  <c r="A608" i="4"/>
  <c r="E608" i="4"/>
  <c r="A609" i="4"/>
  <c r="A610" i="4"/>
  <c r="A611" i="4"/>
  <c r="A612" i="4"/>
  <c r="J612" i="4"/>
  <c r="A613" i="4"/>
  <c r="G613" i="4"/>
  <c r="A614" i="4"/>
  <c r="C614" i="4"/>
  <c r="A615" i="4"/>
  <c r="G615" i="4"/>
  <c r="A616" i="4"/>
  <c r="J616" i="4"/>
  <c r="A617" i="4"/>
  <c r="A618" i="4"/>
  <c r="A619" i="4"/>
  <c r="A620" i="4"/>
  <c r="I620" i="4"/>
  <c r="A621" i="4"/>
  <c r="A622" i="4"/>
  <c r="A623" i="4"/>
  <c r="A624" i="4"/>
  <c r="I624" i="4"/>
  <c r="A625" i="4"/>
  <c r="A626" i="4"/>
  <c r="K626" i="4"/>
  <c r="A627" i="4"/>
  <c r="D627" i="4"/>
  <c r="A628" i="4"/>
  <c r="H628" i="4"/>
  <c r="A629" i="4"/>
  <c r="A630" i="4"/>
  <c r="A631" i="4"/>
  <c r="A632" i="4"/>
  <c r="G632" i="4"/>
  <c r="A633" i="4"/>
  <c r="A634" i="4"/>
  <c r="A635" i="4"/>
  <c r="D635" i="4"/>
  <c r="A636" i="4"/>
  <c r="L636" i="4"/>
  <c r="A637" i="4"/>
  <c r="A638" i="4"/>
  <c r="A639" i="4"/>
  <c r="A640" i="4"/>
  <c r="A641" i="4"/>
  <c r="E641" i="4"/>
  <c r="A642" i="4"/>
  <c r="J642" i="4"/>
  <c r="A643" i="4"/>
  <c r="G643" i="4"/>
  <c r="A644" i="4"/>
  <c r="A645" i="4"/>
  <c r="A646" i="4"/>
  <c r="A647" i="4"/>
  <c r="A648" i="4"/>
  <c r="A649" i="4"/>
  <c r="A650" i="4"/>
  <c r="A651" i="4"/>
  <c r="G651" i="4"/>
  <c r="A652" i="4"/>
  <c r="D652" i="4"/>
  <c r="A653" i="4"/>
  <c r="A654" i="4"/>
  <c r="F654" i="4"/>
  <c r="A655" i="4"/>
  <c r="F655" i="4"/>
  <c r="A656" i="4"/>
  <c r="A657" i="4"/>
  <c r="A658" i="4"/>
  <c r="A659" i="4"/>
  <c r="A660" i="4"/>
  <c r="A661" i="4"/>
  <c r="A662" i="4"/>
  <c r="L662" i="4"/>
  <c r="A663" i="4"/>
  <c r="C663" i="4"/>
  <c r="A664" i="4"/>
  <c r="H664" i="4"/>
  <c r="A665" i="4"/>
  <c r="E665" i="4"/>
  <c r="A666" i="4"/>
  <c r="A667" i="4"/>
  <c r="A668" i="4"/>
  <c r="A669" i="4"/>
  <c r="A670" i="4"/>
  <c r="A671" i="4"/>
  <c r="K671" i="4"/>
  <c r="A672" i="4"/>
  <c r="K672" i="4"/>
  <c r="A673" i="4"/>
  <c r="F673" i="4"/>
  <c r="A674" i="4"/>
  <c r="C674" i="4"/>
  <c r="A675" i="4"/>
  <c r="A676" i="4"/>
  <c r="J676" i="4"/>
  <c r="A677" i="4"/>
  <c r="A678" i="4"/>
  <c r="A679" i="4"/>
  <c r="A680" i="4"/>
  <c r="A681" i="4"/>
  <c r="A682" i="4"/>
  <c r="A683" i="4"/>
  <c r="F683" i="4"/>
  <c r="A684" i="4"/>
  <c r="D684" i="4"/>
  <c r="A685" i="4"/>
  <c r="A686" i="4"/>
  <c r="I686" i="4"/>
  <c r="A687" i="4"/>
  <c r="A688" i="4"/>
  <c r="L688" i="4"/>
  <c r="A689" i="4"/>
  <c r="A690" i="4"/>
  <c r="A691" i="4"/>
  <c r="A692" i="4"/>
  <c r="A693" i="4"/>
  <c r="A694" i="4"/>
  <c r="A695" i="4"/>
  <c r="A696" i="4"/>
  <c r="A697" i="4"/>
  <c r="A698" i="4"/>
  <c r="K698" i="4"/>
  <c r="A699" i="4"/>
  <c r="A700" i="4"/>
  <c r="J700" i="4"/>
  <c r="A701" i="4"/>
  <c r="H701" i="4"/>
  <c r="A702" i="4"/>
  <c r="A703" i="4"/>
  <c r="A704" i="4"/>
  <c r="A705" i="4"/>
  <c r="A706" i="4"/>
  <c r="A707" i="4"/>
  <c r="A708" i="4"/>
  <c r="B708" i="4"/>
  <c r="A709" i="4"/>
  <c r="A710" i="4"/>
  <c r="A711" i="4"/>
  <c r="A712" i="4"/>
  <c r="A713" i="4"/>
  <c r="A714" i="4"/>
  <c r="A715" i="4"/>
  <c r="L715" i="4"/>
  <c r="A716" i="4"/>
  <c r="K716" i="4"/>
  <c r="A717" i="4"/>
  <c r="A718" i="4"/>
  <c r="A719" i="4"/>
  <c r="A720" i="4"/>
  <c r="G720" i="4"/>
  <c r="A721" i="4"/>
  <c r="C721" i="4"/>
  <c r="A722" i="4"/>
  <c r="J722" i="4"/>
  <c r="A723" i="4"/>
  <c r="F723" i="4"/>
  <c r="A724" i="4"/>
  <c r="L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H737" i="4"/>
  <c r="A738" i="4"/>
  <c r="A739" i="4"/>
  <c r="A740" i="4"/>
  <c r="A741" i="4"/>
  <c r="A742" i="4"/>
  <c r="A743" i="4"/>
  <c r="A744" i="4"/>
  <c r="A745" i="4"/>
  <c r="A746" i="4"/>
  <c r="D746" i="4"/>
  <c r="A747" i="4"/>
  <c r="A748" i="4"/>
  <c r="G748" i="4"/>
  <c r="A749" i="4"/>
  <c r="A750" i="4"/>
  <c r="A751" i="4"/>
  <c r="A752" i="4"/>
  <c r="A753" i="4"/>
  <c r="A754" i="4"/>
  <c r="A755" i="4"/>
  <c r="A756" i="4"/>
  <c r="A757" i="4"/>
  <c r="H757" i="4"/>
  <c r="A758" i="4"/>
  <c r="C758" i="4"/>
  <c r="A759" i="4"/>
  <c r="J759" i="4"/>
  <c r="A760" i="4"/>
  <c r="A761" i="4"/>
  <c r="A762" i="4"/>
  <c r="A763" i="4"/>
  <c r="A764" i="4"/>
  <c r="A765" i="4"/>
  <c r="A766" i="4"/>
  <c r="A767" i="4"/>
  <c r="A768" i="4"/>
  <c r="H768" i="4"/>
  <c r="A769" i="4"/>
  <c r="A770" i="4"/>
  <c r="I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F784" i="4"/>
  <c r="A785" i="4"/>
  <c r="A786" i="4"/>
  <c r="A787" i="4"/>
  <c r="A788" i="4"/>
  <c r="A789" i="4"/>
  <c r="A790" i="4"/>
  <c r="A791" i="4"/>
  <c r="D791" i="4"/>
  <c r="A792" i="4"/>
  <c r="H792" i="4"/>
  <c r="A793" i="4"/>
  <c r="A794" i="4"/>
  <c r="A795" i="4"/>
  <c r="A796" i="4"/>
  <c r="E796" i="4"/>
  <c r="A797" i="4"/>
  <c r="G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G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B871" i="4"/>
  <c r="A872" i="4"/>
  <c r="A873" i="4"/>
  <c r="A874" i="4"/>
  <c r="A875" i="4"/>
  <c r="A876" i="4"/>
  <c r="A877" i="4"/>
  <c r="A878" i="4"/>
  <c r="A879" i="4"/>
  <c r="A880" i="4"/>
  <c r="A881" i="4"/>
  <c r="A882" i="4"/>
  <c r="J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M949" i="4"/>
  <c r="L949" i="4"/>
  <c r="H949" i="4"/>
  <c r="F949" i="4"/>
  <c r="I949" i="4"/>
  <c r="E949" i="4"/>
  <c r="J949" i="4"/>
  <c r="D949" i="4"/>
  <c r="K949" i="4"/>
  <c r="G949" i="4"/>
  <c r="B949" i="4"/>
  <c r="C949" i="4"/>
  <c r="M841" i="4"/>
  <c r="D841" i="4"/>
  <c r="J841" i="4"/>
  <c r="K841" i="4"/>
  <c r="E841" i="4"/>
  <c r="B841" i="4"/>
  <c r="L841" i="4"/>
  <c r="G841" i="4"/>
  <c r="H841" i="4"/>
  <c r="C841" i="4"/>
  <c r="I841" i="4"/>
  <c r="F841" i="4"/>
  <c r="M769" i="4"/>
  <c r="G769" i="4"/>
  <c r="E769" i="4"/>
  <c r="J769" i="4"/>
  <c r="I769" i="4"/>
  <c r="H769" i="4"/>
  <c r="D769" i="4"/>
  <c r="L769" i="4"/>
  <c r="F769" i="4"/>
  <c r="C769" i="4"/>
  <c r="B769" i="4"/>
  <c r="K769" i="4"/>
  <c r="M697" i="4"/>
  <c r="K697" i="4"/>
  <c r="E697" i="4"/>
  <c r="G697" i="4"/>
  <c r="F697" i="4"/>
  <c r="H697" i="4"/>
  <c r="D697" i="4"/>
  <c r="I697" i="4"/>
  <c r="L697" i="4"/>
  <c r="J697" i="4"/>
  <c r="C697" i="4"/>
  <c r="B697" i="4"/>
  <c r="M649" i="4"/>
  <c r="C649" i="4"/>
  <c r="J649" i="4"/>
  <c r="I649" i="4"/>
  <c r="B649" i="4"/>
  <c r="L649" i="4"/>
  <c r="H649" i="4"/>
  <c r="D649" i="4"/>
  <c r="G649" i="4"/>
  <c r="F649" i="4"/>
  <c r="E649" i="4"/>
  <c r="M589" i="4"/>
  <c r="J589" i="4"/>
  <c r="I589" i="4"/>
  <c r="D589" i="4"/>
  <c r="F589" i="4"/>
  <c r="B589" i="4"/>
  <c r="L589" i="4"/>
  <c r="K589" i="4"/>
  <c r="M517" i="4"/>
  <c r="L517" i="4"/>
  <c r="K517" i="4"/>
  <c r="J517" i="4"/>
  <c r="G517" i="4"/>
  <c r="F517" i="4"/>
  <c r="J959" i="4"/>
  <c r="F959" i="4"/>
  <c r="D959" i="4"/>
  <c r="C959" i="4"/>
  <c r="M959" i="4"/>
  <c r="L959" i="4"/>
  <c r="H959" i="4"/>
  <c r="E959" i="4"/>
  <c r="K959" i="4"/>
  <c r="B959" i="4"/>
  <c r="I959" i="4"/>
  <c r="G959" i="4"/>
  <c r="M887" i="4"/>
  <c r="B887" i="4"/>
  <c r="J887" i="4"/>
  <c r="H887" i="4"/>
  <c r="D887" i="4"/>
  <c r="G887" i="4"/>
  <c r="E887" i="4"/>
  <c r="K887" i="4"/>
  <c r="L887" i="4"/>
  <c r="I887" i="4"/>
  <c r="F887" i="4"/>
  <c r="C887" i="4"/>
  <c r="M839" i="4"/>
  <c r="B839" i="4"/>
  <c r="H839" i="4"/>
  <c r="D839" i="4"/>
  <c r="L839" i="4"/>
  <c r="G839" i="4"/>
  <c r="E839" i="4"/>
  <c r="C839" i="4"/>
  <c r="K839" i="4"/>
  <c r="J839" i="4"/>
  <c r="I839" i="4"/>
  <c r="F839" i="4"/>
  <c r="M779" i="4"/>
  <c r="E779" i="4"/>
  <c r="C779" i="4"/>
  <c r="K779" i="4"/>
  <c r="J779" i="4"/>
  <c r="F779" i="4"/>
  <c r="H779" i="4"/>
  <c r="D779" i="4"/>
  <c r="B779" i="4"/>
  <c r="I779" i="4"/>
  <c r="G779" i="4"/>
  <c r="L779" i="4"/>
  <c r="M707" i="4"/>
  <c r="I707" i="4"/>
  <c r="C707" i="4"/>
  <c r="G707" i="4"/>
  <c r="D707" i="4"/>
  <c r="L707" i="4"/>
  <c r="K707" i="4"/>
  <c r="F707" i="4"/>
  <c r="E707" i="4"/>
  <c r="J707" i="4"/>
  <c r="B707" i="4"/>
  <c r="M647" i="4"/>
  <c r="H647" i="4"/>
  <c r="G647" i="4"/>
  <c r="I647" i="4"/>
  <c r="F647" i="4"/>
  <c r="B647" i="4"/>
  <c r="L647" i="4"/>
  <c r="E647" i="4"/>
  <c r="J647" i="4"/>
  <c r="D647" i="4"/>
  <c r="M599" i="4"/>
  <c r="G599" i="4"/>
  <c r="L599" i="4"/>
  <c r="H599" i="4"/>
  <c r="E599" i="4"/>
  <c r="B599" i="4"/>
  <c r="K599" i="4"/>
  <c r="J599" i="4"/>
  <c r="M539" i="4"/>
  <c r="J539" i="4"/>
  <c r="I539" i="4"/>
  <c r="H539" i="4"/>
  <c r="E539" i="4"/>
  <c r="D539" i="4"/>
  <c r="G503" i="4"/>
  <c r="E505" i="4"/>
  <c r="I970" i="4"/>
  <c r="H970" i="4"/>
  <c r="E970" i="4"/>
  <c r="C970" i="4"/>
  <c r="M970" i="4"/>
  <c r="B970" i="4"/>
  <c r="K970" i="4"/>
  <c r="G970" i="4"/>
  <c r="F970" i="4"/>
  <c r="L970" i="4"/>
  <c r="J970" i="4"/>
  <c r="D970" i="4"/>
  <c r="M934" i="4"/>
  <c r="J934" i="4"/>
  <c r="E934" i="4"/>
  <c r="C934" i="4"/>
  <c r="D934" i="4"/>
  <c r="L934" i="4"/>
  <c r="I934" i="4"/>
  <c r="G934" i="4"/>
  <c r="K934" i="4"/>
  <c r="F934" i="4"/>
  <c r="B934" i="4"/>
  <c r="H934" i="4"/>
  <c r="M898" i="4"/>
  <c r="J898" i="4"/>
  <c r="C898" i="4"/>
  <c r="E898" i="4"/>
  <c r="L898" i="4"/>
  <c r="K898" i="4"/>
  <c r="G898" i="4"/>
  <c r="D898" i="4"/>
  <c r="B898" i="4"/>
  <c r="I898" i="4"/>
  <c r="H898" i="4"/>
  <c r="F898" i="4"/>
  <c r="M874" i="4"/>
  <c r="I874" i="4"/>
  <c r="G874" i="4"/>
  <c r="C874" i="4"/>
  <c r="L874" i="4"/>
  <c r="F874" i="4"/>
  <c r="D874" i="4"/>
  <c r="J874" i="4"/>
  <c r="K874" i="4"/>
  <c r="H874" i="4"/>
  <c r="E874" i="4"/>
  <c r="B874" i="4"/>
  <c r="M826" i="4"/>
  <c r="G826" i="4"/>
  <c r="C826" i="4"/>
  <c r="L826" i="4"/>
  <c r="J826" i="4"/>
  <c r="F826" i="4"/>
  <c r="H826" i="4"/>
  <c r="E826" i="4"/>
  <c r="D826" i="4"/>
  <c r="I826" i="4"/>
  <c r="B826" i="4"/>
  <c r="K826" i="4"/>
  <c r="M802" i="4"/>
  <c r="L802" i="4"/>
  <c r="I802" i="4"/>
  <c r="F802" i="4"/>
  <c r="G802" i="4"/>
  <c r="D802" i="4"/>
  <c r="H802" i="4"/>
  <c r="E802" i="4"/>
  <c r="B802" i="4"/>
  <c r="K802" i="4"/>
  <c r="J802" i="4"/>
  <c r="C802" i="4"/>
  <c r="M766" i="4"/>
  <c r="D766" i="4"/>
  <c r="J766" i="4"/>
  <c r="C766" i="4"/>
  <c r="L766" i="4"/>
  <c r="K766" i="4"/>
  <c r="G766" i="4"/>
  <c r="E766" i="4"/>
  <c r="B766" i="4"/>
  <c r="F766" i="4"/>
  <c r="I766" i="4"/>
  <c r="H766" i="4"/>
  <c r="M742" i="4"/>
  <c r="H742" i="4"/>
  <c r="C742" i="4"/>
  <c r="B742" i="4"/>
  <c r="D742" i="4"/>
  <c r="K742" i="4"/>
  <c r="I742" i="4"/>
  <c r="G742" i="4"/>
  <c r="L742" i="4"/>
  <c r="J742" i="4"/>
  <c r="F742" i="4"/>
  <c r="M718" i="4"/>
  <c r="H718" i="4"/>
  <c r="B718" i="4"/>
  <c r="L718" i="4"/>
  <c r="I718" i="4"/>
  <c r="F718" i="4"/>
  <c r="E718" i="4"/>
  <c r="J718" i="4"/>
  <c r="G718" i="4"/>
  <c r="D718" i="4"/>
  <c r="C718" i="4"/>
  <c r="K718" i="4"/>
  <c r="M694" i="4"/>
  <c r="H694" i="4"/>
  <c r="B694" i="4"/>
  <c r="C694" i="4"/>
  <c r="K694" i="4"/>
  <c r="J694" i="4"/>
  <c r="L694" i="4"/>
  <c r="I694" i="4"/>
  <c r="F694" i="4"/>
  <c r="D694" i="4"/>
  <c r="M670" i="4"/>
  <c r="L670" i="4"/>
  <c r="G670" i="4"/>
  <c r="F670" i="4"/>
  <c r="K670" i="4"/>
  <c r="J670" i="4"/>
  <c r="D670" i="4"/>
  <c r="B670" i="4"/>
  <c r="E670" i="4"/>
  <c r="C670" i="4"/>
  <c r="I670" i="4"/>
  <c r="H670" i="4"/>
  <c r="M646" i="4"/>
  <c r="L646" i="4"/>
  <c r="G646" i="4"/>
  <c r="F646" i="4"/>
  <c r="C646" i="4"/>
  <c r="B646" i="4"/>
  <c r="J646" i="4"/>
  <c r="K646" i="4"/>
  <c r="E646" i="4"/>
  <c r="D646" i="4"/>
  <c r="H646" i="4"/>
  <c r="M610" i="4"/>
  <c r="L610" i="4"/>
  <c r="F610" i="4"/>
  <c r="I610" i="4"/>
  <c r="H610" i="4"/>
  <c r="G610" i="4"/>
  <c r="E610" i="4"/>
  <c r="B610" i="4"/>
  <c r="J610" i="4"/>
  <c r="M586" i="4"/>
  <c r="G586" i="4"/>
  <c r="F586" i="4"/>
  <c r="H586" i="4"/>
  <c r="C586" i="4"/>
  <c r="B586" i="4"/>
  <c r="L586" i="4"/>
  <c r="K586" i="4"/>
  <c r="M562" i="4"/>
  <c r="L562" i="4"/>
  <c r="I562" i="4"/>
  <c r="H562" i="4"/>
  <c r="G562" i="4"/>
  <c r="F562" i="4"/>
  <c r="D562" i="4"/>
  <c r="C562" i="4"/>
  <c r="M538" i="4"/>
  <c r="I538" i="4"/>
  <c r="H538" i="4"/>
  <c r="G538" i="4"/>
  <c r="D538" i="4"/>
  <c r="C538" i="4"/>
  <c r="M502" i="4"/>
  <c r="I502" i="4"/>
  <c r="H502" i="4"/>
  <c r="G502" i="4"/>
  <c r="D502" i="4"/>
  <c r="C502" i="4"/>
  <c r="K503" i="4"/>
  <c r="H505" i="4"/>
  <c r="D524" i="4"/>
  <c r="B526" i="4"/>
  <c r="B528" i="4"/>
  <c r="B530" i="4"/>
  <c r="J531" i="4"/>
  <c r="H533" i="4"/>
  <c r="H535" i="4"/>
  <c r="C539" i="4"/>
  <c r="D543" i="4"/>
  <c r="I545" i="4"/>
  <c r="H548" i="4"/>
  <c r="B551" i="4"/>
  <c r="H553" i="4"/>
  <c r="E556" i="4"/>
  <c r="D564" i="4"/>
  <c r="D567" i="4"/>
  <c r="G570" i="4"/>
  <c r="E586" i="4"/>
  <c r="H589" i="4"/>
  <c r="I593" i="4"/>
  <c r="J613" i="4"/>
  <c r="H620" i="4"/>
  <c r="H626" i="4"/>
  <c r="G737" i="4"/>
  <c r="L973" i="4"/>
  <c r="K973" i="4"/>
  <c r="H973" i="4"/>
  <c r="F973" i="4"/>
  <c r="E973" i="4"/>
  <c r="D973" i="4"/>
  <c r="M973" i="4"/>
  <c r="B973" i="4"/>
  <c r="C973" i="4"/>
  <c r="I973" i="4"/>
  <c r="J973" i="4"/>
  <c r="G973" i="4"/>
  <c r="M913" i="4"/>
  <c r="F913" i="4"/>
  <c r="L913" i="4"/>
  <c r="H913" i="4"/>
  <c r="E913" i="4"/>
  <c r="K913" i="4"/>
  <c r="I913" i="4"/>
  <c r="D913" i="4"/>
  <c r="B913" i="4"/>
  <c r="J913" i="4"/>
  <c r="C913" i="4"/>
  <c r="G913" i="4"/>
  <c r="M853" i="4"/>
  <c r="D853" i="4"/>
  <c r="J853" i="4"/>
  <c r="H853" i="4"/>
  <c r="E853" i="4"/>
  <c r="B853" i="4"/>
  <c r="L853" i="4"/>
  <c r="I853" i="4"/>
  <c r="F853" i="4"/>
  <c r="C853" i="4"/>
  <c r="K853" i="4"/>
  <c r="M793" i="4"/>
  <c r="G793" i="4"/>
  <c r="E793" i="4"/>
  <c r="L793" i="4"/>
  <c r="K793" i="4"/>
  <c r="B793" i="4"/>
  <c r="J793" i="4"/>
  <c r="H793" i="4"/>
  <c r="C793" i="4"/>
  <c r="I793" i="4"/>
  <c r="F793" i="4"/>
  <c r="D793" i="4"/>
  <c r="M733" i="4"/>
  <c r="K733" i="4"/>
  <c r="F733" i="4"/>
  <c r="E733" i="4"/>
  <c r="G733" i="4"/>
  <c r="B733" i="4"/>
  <c r="L733" i="4"/>
  <c r="J733" i="4"/>
  <c r="C733" i="4"/>
  <c r="I733" i="4"/>
  <c r="D733" i="4"/>
  <c r="M661" i="4"/>
  <c r="C661" i="4"/>
  <c r="J661" i="4"/>
  <c r="I661" i="4"/>
  <c r="G661" i="4"/>
  <c r="E661" i="4"/>
  <c r="H661" i="4"/>
  <c r="F661" i="4"/>
  <c r="D661" i="4"/>
  <c r="B661" i="4"/>
  <c r="L661" i="4"/>
  <c r="K661" i="4"/>
  <c r="M625" i="4"/>
  <c r="C625" i="4"/>
  <c r="I625" i="4"/>
  <c r="F625" i="4"/>
  <c r="B625" i="4"/>
  <c r="J625" i="4"/>
  <c r="H625" i="4"/>
  <c r="G625" i="4"/>
  <c r="E625" i="4"/>
  <c r="D625" i="4"/>
  <c r="M577" i="4"/>
  <c r="J577" i="4"/>
  <c r="D577" i="4"/>
  <c r="C577" i="4"/>
  <c r="L577" i="4"/>
  <c r="K577" i="4"/>
  <c r="H577" i="4"/>
  <c r="G577" i="4"/>
  <c r="M541" i="4"/>
  <c r="L541" i="4"/>
  <c r="K541" i="4"/>
  <c r="J541" i="4"/>
  <c r="G541" i="4"/>
  <c r="F541" i="4"/>
  <c r="M911" i="4"/>
  <c r="K911" i="4"/>
  <c r="D911" i="4"/>
  <c r="F911" i="4"/>
  <c r="C911" i="4"/>
  <c r="J911" i="4"/>
  <c r="H911" i="4"/>
  <c r="L911" i="4"/>
  <c r="G911" i="4"/>
  <c r="B911" i="4"/>
  <c r="I911" i="4"/>
  <c r="E911" i="4"/>
  <c r="M695" i="4"/>
  <c r="I695" i="4"/>
  <c r="C695" i="4"/>
  <c r="F695" i="4"/>
  <c r="J695" i="4"/>
  <c r="H695" i="4"/>
  <c r="B695" i="4"/>
  <c r="L695" i="4"/>
  <c r="E695" i="4"/>
  <c r="G695" i="4"/>
  <c r="D695" i="4"/>
  <c r="I529" i="4"/>
  <c r="H733" i="4"/>
  <c r="G853" i="4"/>
  <c r="I994" i="4"/>
  <c r="H994" i="4"/>
  <c r="E994" i="4"/>
  <c r="C994" i="4"/>
  <c r="M994" i="4"/>
  <c r="B994" i="4"/>
  <c r="L994" i="4"/>
  <c r="K994" i="4"/>
  <c r="G994" i="4"/>
  <c r="F994" i="4"/>
  <c r="D994" i="4"/>
  <c r="J994" i="4"/>
  <c r="I958" i="4"/>
  <c r="E958" i="4"/>
  <c r="C958" i="4"/>
  <c r="M958" i="4"/>
  <c r="B958" i="4"/>
  <c r="K958" i="4"/>
  <c r="G958" i="4"/>
  <c r="F958" i="4"/>
  <c r="J958" i="4"/>
  <c r="H958" i="4"/>
  <c r="D958" i="4"/>
  <c r="L958" i="4"/>
  <c r="M910" i="4"/>
  <c r="J910" i="4"/>
  <c r="C910" i="4"/>
  <c r="B910" i="4"/>
  <c r="L910" i="4"/>
  <c r="I910" i="4"/>
  <c r="H910" i="4"/>
  <c r="F910" i="4"/>
  <c r="D910" i="4"/>
  <c r="K910" i="4"/>
  <c r="G910" i="4"/>
  <c r="E910" i="4"/>
  <c r="M850" i="4"/>
  <c r="G850" i="4"/>
  <c r="L850" i="4"/>
  <c r="I850" i="4"/>
  <c r="F850" i="4"/>
  <c r="B850" i="4"/>
  <c r="J850" i="4"/>
  <c r="D850" i="4"/>
  <c r="E850" i="4"/>
  <c r="C850" i="4"/>
  <c r="K850" i="4"/>
  <c r="H850" i="4"/>
  <c r="M790" i="4"/>
  <c r="D790" i="4"/>
  <c r="B790" i="4"/>
  <c r="J790" i="4"/>
  <c r="I790" i="4"/>
  <c r="H790" i="4"/>
  <c r="F790" i="4"/>
  <c r="E790" i="4"/>
  <c r="C790" i="4"/>
  <c r="L790" i="4"/>
  <c r="K790" i="4"/>
  <c r="G790" i="4"/>
  <c r="M634" i="4"/>
  <c r="L634" i="4"/>
  <c r="G634" i="4"/>
  <c r="F634" i="4"/>
  <c r="I634" i="4"/>
  <c r="D634" i="4"/>
  <c r="C634" i="4"/>
  <c r="B634" i="4"/>
  <c r="E634" i="4"/>
  <c r="K634" i="4"/>
  <c r="H993" i="4"/>
  <c r="G993" i="4"/>
  <c r="D993" i="4"/>
  <c r="M993" i="4"/>
  <c r="B993" i="4"/>
  <c r="L993" i="4"/>
  <c r="K993" i="4"/>
  <c r="J993" i="4"/>
  <c r="E993" i="4"/>
  <c r="F993" i="4"/>
  <c r="I993" i="4"/>
  <c r="C993" i="4"/>
  <c r="H981" i="4"/>
  <c r="G981" i="4"/>
  <c r="D981" i="4"/>
  <c r="M981" i="4"/>
  <c r="B981" i="4"/>
  <c r="L981" i="4"/>
  <c r="J981" i="4"/>
  <c r="C981" i="4"/>
  <c r="F981" i="4"/>
  <c r="K981" i="4"/>
  <c r="E981" i="4"/>
  <c r="I981" i="4"/>
  <c r="H969" i="4"/>
  <c r="G969" i="4"/>
  <c r="D969" i="4"/>
  <c r="M969" i="4"/>
  <c r="B969" i="4"/>
  <c r="L969" i="4"/>
  <c r="J969" i="4"/>
  <c r="F969" i="4"/>
  <c r="C969" i="4"/>
  <c r="I969" i="4"/>
  <c r="K969" i="4"/>
  <c r="E969" i="4"/>
  <c r="H957" i="4"/>
  <c r="D957" i="4"/>
  <c r="M957" i="4"/>
  <c r="B957" i="4"/>
  <c r="J957" i="4"/>
  <c r="I957" i="4"/>
  <c r="F957" i="4"/>
  <c r="K957" i="4"/>
  <c r="E957" i="4"/>
  <c r="L957" i="4"/>
  <c r="C957" i="4"/>
  <c r="G957" i="4"/>
  <c r="M945" i="4"/>
  <c r="I945" i="4"/>
  <c r="H945" i="4"/>
  <c r="D945" i="4"/>
  <c r="B945" i="4"/>
  <c r="E945" i="4"/>
  <c r="L945" i="4"/>
  <c r="J945" i="4"/>
  <c r="F945" i="4"/>
  <c r="K945" i="4"/>
  <c r="C945" i="4"/>
  <c r="G945" i="4"/>
  <c r="M933" i="4"/>
  <c r="I933" i="4"/>
  <c r="D933" i="4"/>
  <c r="B933" i="4"/>
  <c r="J933" i="4"/>
  <c r="G933" i="4"/>
  <c r="L933" i="4"/>
  <c r="F933" i="4"/>
  <c r="C933" i="4"/>
  <c r="H933" i="4"/>
  <c r="K933" i="4"/>
  <c r="E933" i="4"/>
  <c r="M921" i="4"/>
  <c r="I921" i="4"/>
  <c r="D921" i="4"/>
  <c r="B921" i="4"/>
  <c r="C921" i="4"/>
  <c r="K921" i="4"/>
  <c r="J921" i="4"/>
  <c r="G921" i="4"/>
  <c r="E921" i="4"/>
  <c r="L921" i="4"/>
  <c r="H921" i="4"/>
  <c r="F921" i="4"/>
  <c r="M909" i="4"/>
  <c r="I909" i="4"/>
  <c r="B909" i="4"/>
  <c r="H909" i="4"/>
  <c r="F909" i="4"/>
  <c r="E909" i="4"/>
  <c r="K909" i="4"/>
  <c r="L909" i="4"/>
  <c r="G909" i="4"/>
  <c r="D909" i="4"/>
  <c r="C909" i="4"/>
  <c r="J909" i="4"/>
  <c r="M897" i="4"/>
  <c r="I897" i="4"/>
  <c r="B897" i="4"/>
  <c r="K897" i="4"/>
  <c r="H897" i="4"/>
  <c r="D897" i="4"/>
  <c r="L897" i="4"/>
  <c r="G897" i="4"/>
  <c r="F897" i="4"/>
  <c r="E897" i="4"/>
  <c r="C897" i="4"/>
  <c r="J897" i="4"/>
  <c r="M885" i="4"/>
  <c r="L885" i="4"/>
  <c r="H885" i="4"/>
  <c r="F885" i="4"/>
  <c r="J885" i="4"/>
  <c r="E885" i="4"/>
  <c r="C885" i="4"/>
  <c r="B885" i="4"/>
  <c r="I885" i="4"/>
  <c r="K885" i="4"/>
  <c r="D885" i="4"/>
  <c r="G885" i="4"/>
  <c r="M873" i="4"/>
  <c r="L873" i="4"/>
  <c r="H873" i="4"/>
  <c r="F873" i="4"/>
  <c r="J873" i="4"/>
  <c r="G873" i="4"/>
  <c r="B873" i="4"/>
  <c r="K873" i="4"/>
  <c r="I873" i="4"/>
  <c r="E873" i="4"/>
  <c r="C873" i="4"/>
  <c r="D873" i="4"/>
  <c r="M861" i="4"/>
  <c r="L861" i="4"/>
  <c r="F861" i="4"/>
  <c r="G861" i="4"/>
  <c r="C861" i="4"/>
  <c r="J861" i="4"/>
  <c r="H861" i="4"/>
  <c r="D861" i="4"/>
  <c r="B861" i="4"/>
  <c r="K861" i="4"/>
  <c r="I861" i="4"/>
  <c r="E861" i="4"/>
  <c r="M849" i="4"/>
  <c r="L849" i="4"/>
  <c r="F849" i="4"/>
  <c r="I849" i="4"/>
  <c r="E849" i="4"/>
  <c r="C849" i="4"/>
  <c r="J849" i="4"/>
  <c r="G849" i="4"/>
  <c r="D849" i="4"/>
  <c r="B849" i="4"/>
  <c r="K849" i="4"/>
  <c r="H849" i="4"/>
  <c r="M837" i="4"/>
  <c r="L837" i="4"/>
  <c r="F837" i="4"/>
  <c r="K837" i="4"/>
  <c r="I837" i="4"/>
  <c r="H837" i="4"/>
  <c r="G837" i="4"/>
  <c r="D837" i="4"/>
  <c r="B837" i="4"/>
  <c r="C837" i="4"/>
  <c r="J837" i="4"/>
  <c r="E837" i="4"/>
  <c r="M825" i="4"/>
  <c r="L825" i="4"/>
  <c r="F825" i="4"/>
  <c r="K825" i="4"/>
  <c r="J825" i="4"/>
  <c r="I825" i="4"/>
  <c r="G825" i="4"/>
  <c r="C825" i="4"/>
  <c r="D825" i="4"/>
  <c r="H825" i="4"/>
  <c r="B825" i="4"/>
  <c r="M813" i="4"/>
  <c r="K813" i="4"/>
  <c r="I813" i="4"/>
  <c r="H813" i="4"/>
  <c r="G813" i="4"/>
  <c r="E813" i="4"/>
  <c r="B813" i="4"/>
  <c r="L813" i="4"/>
  <c r="C813" i="4"/>
  <c r="J813" i="4"/>
  <c r="F813" i="4"/>
  <c r="D813" i="4"/>
  <c r="M801" i="4"/>
  <c r="K801" i="4"/>
  <c r="D801" i="4"/>
  <c r="B801" i="4"/>
  <c r="J801" i="4"/>
  <c r="I801" i="4"/>
  <c r="H801" i="4"/>
  <c r="L801" i="4"/>
  <c r="G801" i="4"/>
  <c r="F801" i="4"/>
  <c r="E801" i="4"/>
  <c r="C801" i="4"/>
  <c r="M789" i="4"/>
  <c r="C789" i="4"/>
  <c r="I789" i="4"/>
  <c r="H789" i="4"/>
  <c r="G789" i="4"/>
  <c r="D789" i="4"/>
  <c r="L789" i="4"/>
  <c r="F789" i="4"/>
  <c r="B789" i="4"/>
  <c r="K789" i="4"/>
  <c r="J789" i="4"/>
  <c r="E789" i="4"/>
  <c r="M777" i="4"/>
  <c r="C777" i="4"/>
  <c r="I777" i="4"/>
  <c r="H777" i="4"/>
  <c r="J777" i="4"/>
  <c r="D777" i="4"/>
  <c r="B777" i="4"/>
  <c r="K777" i="4"/>
  <c r="E777" i="4"/>
  <c r="F777" i="4"/>
  <c r="L777" i="4"/>
  <c r="M765" i="4"/>
  <c r="C765" i="4"/>
  <c r="I765" i="4"/>
  <c r="H765" i="4"/>
  <c r="G765" i="4"/>
  <c r="J765" i="4"/>
  <c r="D765" i="4"/>
  <c r="L765" i="4"/>
  <c r="K765" i="4"/>
  <c r="F765" i="4"/>
  <c r="E765" i="4"/>
  <c r="M753" i="4"/>
  <c r="G753" i="4"/>
  <c r="B753" i="4"/>
  <c r="J753" i="4"/>
  <c r="F753" i="4"/>
  <c r="C753" i="4"/>
  <c r="D753" i="4"/>
  <c r="L753" i="4"/>
  <c r="E753" i="4"/>
  <c r="K753" i="4"/>
  <c r="I753" i="4"/>
  <c r="H753" i="4"/>
  <c r="M741" i="4"/>
  <c r="G741" i="4"/>
  <c r="B741" i="4"/>
  <c r="J741" i="4"/>
  <c r="F741" i="4"/>
  <c r="D741" i="4"/>
  <c r="C741" i="4"/>
  <c r="L741" i="4"/>
  <c r="K741" i="4"/>
  <c r="I741" i="4"/>
  <c r="E741" i="4"/>
  <c r="H741" i="4"/>
  <c r="M729" i="4"/>
  <c r="G729" i="4"/>
  <c r="B729" i="4"/>
  <c r="C729" i="4"/>
  <c r="J729" i="4"/>
  <c r="H729" i="4"/>
  <c r="F729" i="4"/>
  <c r="I729" i="4"/>
  <c r="E729" i="4"/>
  <c r="D729" i="4"/>
  <c r="L729" i="4"/>
  <c r="K729" i="4"/>
  <c r="M717" i="4"/>
  <c r="G717" i="4"/>
  <c r="L717" i="4"/>
  <c r="I717" i="4"/>
  <c r="E717" i="4"/>
  <c r="C717" i="4"/>
  <c r="B717" i="4"/>
  <c r="J717" i="4"/>
  <c r="H717" i="4"/>
  <c r="F717" i="4"/>
  <c r="K717" i="4"/>
  <c r="D717" i="4"/>
  <c r="M705" i="4"/>
  <c r="G705" i="4"/>
  <c r="K705" i="4"/>
  <c r="H705" i="4"/>
  <c r="E705" i="4"/>
  <c r="D705" i="4"/>
  <c r="C705" i="4"/>
  <c r="B705" i="4"/>
  <c r="L705" i="4"/>
  <c r="J705" i="4"/>
  <c r="M693" i="4"/>
  <c r="G693" i="4"/>
  <c r="H693" i="4"/>
  <c r="F693" i="4"/>
  <c r="L693" i="4"/>
  <c r="K693" i="4"/>
  <c r="D693" i="4"/>
  <c r="C693" i="4"/>
  <c r="B693" i="4"/>
  <c r="J693" i="4"/>
  <c r="I693" i="4"/>
  <c r="E693" i="4"/>
  <c r="M681" i="4"/>
  <c r="K681" i="4"/>
  <c r="F681" i="4"/>
  <c r="E681" i="4"/>
  <c r="B681" i="4"/>
  <c r="L681" i="4"/>
  <c r="J681" i="4"/>
  <c r="I681" i="4"/>
  <c r="D681" i="4"/>
  <c r="C681" i="4"/>
  <c r="M669" i="4"/>
  <c r="K669" i="4"/>
  <c r="F669" i="4"/>
  <c r="E669" i="4"/>
  <c r="G669" i="4"/>
  <c r="D669" i="4"/>
  <c r="L669" i="4"/>
  <c r="J669" i="4"/>
  <c r="C669" i="4"/>
  <c r="H669" i="4"/>
  <c r="B669" i="4"/>
  <c r="M657" i="4"/>
  <c r="K657" i="4"/>
  <c r="F657" i="4"/>
  <c r="E657" i="4"/>
  <c r="J657" i="4"/>
  <c r="I657" i="4"/>
  <c r="C657" i="4"/>
  <c r="L657" i="4"/>
  <c r="D657" i="4"/>
  <c r="B657" i="4"/>
  <c r="H657" i="4"/>
  <c r="G657" i="4"/>
  <c r="M645" i="4"/>
  <c r="K645" i="4"/>
  <c r="F645" i="4"/>
  <c r="E645" i="4"/>
  <c r="H645" i="4"/>
  <c r="D645" i="4"/>
  <c r="L645" i="4"/>
  <c r="J645" i="4"/>
  <c r="C645" i="4"/>
  <c r="B645" i="4"/>
  <c r="M633" i="4"/>
  <c r="K633" i="4"/>
  <c r="E633" i="4"/>
  <c r="D633" i="4"/>
  <c r="L633" i="4"/>
  <c r="H633" i="4"/>
  <c r="G633" i="4"/>
  <c r="F633" i="4"/>
  <c r="C633" i="4"/>
  <c r="B633" i="4"/>
  <c r="M621" i="4"/>
  <c r="K621" i="4"/>
  <c r="E621" i="4"/>
  <c r="G621" i="4"/>
  <c r="C621" i="4"/>
  <c r="B621" i="4"/>
  <c r="J621" i="4"/>
  <c r="D621" i="4"/>
  <c r="L621" i="4"/>
  <c r="I621" i="4"/>
  <c r="M609" i="4"/>
  <c r="K609" i="4"/>
  <c r="E609" i="4"/>
  <c r="I609" i="4"/>
  <c r="F609" i="4"/>
  <c r="D609" i="4"/>
  <c r="C609" i="4"/>
  <c r="B609" i="4"/>
  <c r="L609" i="4"/>
  <c r="J609" i="4"/>
  <c r="H609" i="4"/>
  <c r="G609" i="4"/>
  <c r="M597" i="4"/>
  <c r="K597" i="4"/>
  <c r="E597" i="4"/>
  <c r="H597" i="4"/>
  <c r="G597" i="4"/>
  <c r="F597" i="4"/>
  <c r="D597" i="4"/>
  <c r="L597" i="4"/>
  <c r="M585" i="4"/>
  <c r="F585" i="4"/>
  <c r="E585" i="4"/>
  <c r="L585" i="4"/>
  <c r="B585" i="4"/>
  <c r="K585" i="4"/>
  <c r="J585" i="4"/>
  <c r="H585" i="4"/>
  <c r="G585" i="4"/>
  <c r="M573" i="4"/>
  <c r="F573" i="4"/>
  <c r="L573" i="4"/>
  <c r="D573" i="4"/>
  <c r="K573" i="4"/>
  <c r="I573" i="4"/>
  <c r="H573" i="4"/>
  <c r="M561" i="4"/>
  <c r="K561" i="4"/>
  <c r="H561" i="4"/>
  <c r="G561" i="4"/>
  <c r="F561" i="4"/>
  <c r="E561" i="4"/>
  <c r="C561" i="4"/>
  <c r="B561" i="4"/>
  <c r="M549" i="4"/>
  <c r="K549" i="4"/>
  <c r="H549" i="4"/>
  <c r="G549" i="4"/>
  <c r="F549" i="4"/>
  <c r="E549" i="4"/>
  <c r="C549" i="4"/>
  <c r="B549" i="4"/>
  <c r="M537" i="4"/>
  <c r="H537" i="4"/>
  <c r="G537" i="4"/>
  <c r="F537" i="4"/>
  <c r="C537" i="4"/>
  <c r="B537" i="4"/>
  <c r="M525" i="4"/>
  <c r="H525" i="4"/>
  <c r="G525" i="4"/>
  <c r="F525" i="4"/>
  <c r="C525" i="4"/>
  <c r="B525" i="4"/>
  <c r="M513" i="4"/>
  <c r="H513" i="4"/>
  <c r="G513" i="4"/>
  <c r="F513" i="4"/>
  <c r="C513" i="4"/>
  <c r="B513" i="4"/>
  <c r="G507" i="4"/>
  <c r="G509" i="4"/>
  <c r="G511" i="4"/>
  <c r="D513" i="4"/>
  <c r="B515" i="4"/>
  <c r="B517" i="4"/>
  <c r="J518" i="4"/>
  <c r="H520" i="4"/>
  <c r="H522" i="4"/>
  <c r="C528" i="4"/>
  <c r="C530" i="4"/>
  <c r="I533" i="4"/>
  <c r="I535" i="4"/>
  <c r="I537" i="4"/>
  <c r="F539" i="4"/>
  <c r="D541" i="4"/>
  <c r="F543" i="4"/>
  <c r="C551" i="4"/>
  <c r="B554" i="4"/>
  <c r="G556" i="4"/>
  <c r="B559" i="4"/>
  <c r="J561" i="4"/>
  <c r="E564" i="4"/>
  <c r="J567" i="4"/>
  <c r="J570" i="4"/>
  <c r="J573" i="4"/>
  <c r="B577" i="4"/>
  <c r="B580" i="4"/>
  <c r="G583" i="4"/>
  <c r="I586" i="4"/>
  <c r="B590" i="4"/>
  <c r="J597" i="4"/>
  <c r="B603" i="4"/>
  <c r="I633" i="4"/>
  <c r="E642" i="4"/>
  <c r="H686" i="4"/>
  <c r="F700" i="4"/>
  <c r="M901" i="4"/>
  <c r="F901" i="4"/>
  <c r="J901" i="4"/>
  <c r="H901" i="4"/>
  <c r="L901" i="4"/>
  <c r="I901" i="4"/>
  <c r="E901" i="4"/>
  <c r="C901" i="4"/>
  <c r="B901" i="4"/>
  <c r="K901" i="4"/>
  <c r="D901" i="4"/>
  <c r="G901" i="4"/>
  <c r="M781" i="4"/>
  <c r="G781" i="4"/>
  <c r="E781" i="4"/>
  <c r="L781" i="4"/>
  <c r="B781" i="4"/>
  <c r="K781" i="4"/>
  <c r="J781" i="4"/>
  <c r="H781" i="4"/>
  <c r="F781" i="4"/>
  <c r="D781" i="4"/>
  <c r="C781" i="4"/>
  <c r="I781" i="4"/>
  <c r="M553" i="4"/>
  <c r="C553" i="4"/>
  <c r="L553" i="4"/>
  <c r="K553" i="4"/>
  <c r="J553" i="4"/>
  <c r="I553" i="4"/>
  <c r="G553" i="4"/>
  <c r="F553" i="4"/>
  <c r="I982" i="4"/>
  <c r="H982" i="4"/>
  <c r="E982" i="4"/>
  <c r="C982" i="4"/>
  <c r="M982" i="4"/>
  <c r="B982" i="4"/>
  <c r="K982" i="4"/>
  <c r="G982" i="4"/>
  <c r="D982" i="4"/>
  <c r="J982" i="4"/>
  <c r="L982" i="4"/>
  <c r="F982" i="4"/>
  <c r="M946" i="4"/>
  <c r="J946" i="4"/>
  <c r="I946" i="4"/>
  <c r="E946" i="4"/>
  <c r="C946" i="4"/>
  <c r="L946" i="4"/>
  <c r="F946" i="4"/>
  <c r="B946" i="4"/>
  <c r="H946" i="4"/>
  <c r="G946" i="4"/>
  <c r="D946" i="4"/>
  <c r="K946" i="4"/>
  <c r="M922" i="4"/>
  <c r="J922" i="4"/>
  <c r="E922" i="4"/>
  <c r="C922" i="4"/>
  <c r="H922" i="4"/>
  <c r="B922" i="4"/>
  <c r="F922" i="4"/>
  <c r="K922" i="4"/>
  <c r="I922" i="4"/>
  <c r="D922" i="4"/>
  <c r="L922" i="4"/>
  <c r="G922" i="4"/>
  <c r="M886" i="4"/>
  <c r="I886" i="4"/>
  <c r="G886" i="4"/>
  <c r="K886" i="4"/>
  <c r="H886" i="4"/>
  <c r="C886" i="4"/>
  <c r="L886" i="4"/>
  <c r="J886" i="4"/>
  <c r="F886" i="4"/>
  <c r="D886" i="4"/>
  <c r="E886" i="4"/>
  <c r="B886" i="4"/>
  <c r="M862" i="4"/>
  <c r="G862" i="4"/>
  <c r="J862" i="4"/>
  <c r="F862" i="4"/>
  <c r="D862" i="4"/>
  <c r="L862" i="4"/>
  <c r="K862" i="4"/>
  <c r="H862" i="4"/>
  <c r="B862" i="4"/>
  <c r="C862" i="4"/>
  <c r="E862" i="4"/>
  <c r="I862" i="4"/>
  <c r="M838" i="4"/>
  <c r="G838" i="4"/>
  <c r="I838" i="4"/>
  <c r="B838" i="4"/>
  <c r="L838" i="4"/>
  <c r="J838" i="4"/>
  <c r="E838" i="4"/>
  <c r="F838" i="4"/>
  <c r="C838" i="4"/>
  <c r="H838" i="4"/>
  <c r="D838" i="4"/>
  <c r="K838" i="4"/>
  <c r="M814" i="4"/>
  <c r="L814" i="4"/>
  <c r="J814" i="4"/>
  <c r="I814" i="4"/>
  <c r="H814" i="4"/>
  <c r="F814" i="4"/>
  <c r="C814" i="4"/>
  <c r="D814" i="4"/>
  <c r="K814" i="4"/>
  <c r="G814" i="4"/>
  <c r="E814" i="4"/>
  <c r="B814" i="4"/>
  <c r="M778" i="4"/>
  <c r="D778" i="4"/>
  <c r="B778" i="4"/>
  <c r="J778" i="4"/>
  <c r="I778" i="4"/>
  <c r="K778" i="4"/>
  <c r="H778" i="4"/>
  <c r="G778" i="4"/>
  <c r="E778" i="4"/>
  <c r="L778" i="4"/>
  <c r="F778" i="4"/>
  <c r="C778" i="4"/>
  <c r="M754" i="4"/>
  <c r="H754" i="4"/>
  <c r="C754" i="4"/>
  <c r="B754" i="4"/>
  <c r="K754" i="4"/>
  <c r="G754" i="4"/>
  <c r="E754" i="4"/>
  <c r="D754" i="4"/>
  <c r="I754" i="4"/>
  <c r="F754" i="4"/>
  <c r="M730" i="4"/>
  <c r="H730" i="4"/>
  <c r="C730" i="4"/>
  <c r="B730" i="4"/>
  <c r="G730" i="4"/>
  <c r="D730" i="4"/>
  <c r="L730" i="4"/>
  <c r="K730" i="4"/>
  <c r="I730" i="4"/>
  <c r="F730" i="4"/>
  <c r="J730" i="4"/>
  <c r="E730" i="4"/>
  <c r="M706" i="4"/>
  <c r="H706" i="4"/>
  <c r="B706" i="4"/>
  <c r="D706" i="4"/>
  <c r="K706" i="4"/>
  <c r="I706" i="4"/>
  <c r="G706" i="4"/>
  <c r="F706" i="4"/>
  <c r="E706" i="4"/>
  <c r="C706" i="4"/>
  <c r="L706" i="4"/>
  <c r="J706" i="4"/>
  <c r="M682" i="4"/>
  <c r="L682" i="4"/>
  <c r="G682" i="4"/>
  <c r="F682" i="4"/>
  <c r="H682" i="4"/>
  <c r="E682" i="4"/>
  <c r="I682" i="4"/>
  <c r="D682" i="4"/>
  <c r="C682" i="4"/>
  <c r="B682" i="4"/>
  <c r="J682" i="4"/>
  <c r="M658" i="4"/>
  <c r="L658" i="4"/>
  <c r="G658" i="4"/>
  <c r="F658" i="4"/>
  <c r="I658" i="4"/>
  <c r="E658" i="4"/>
  <c r="K658" i="4"/>
  <c r="D658" i="4"/>
  <c r="C658" i="4"/>
  <c r="B658" i="4"/>
  <c r="M622" i="4"/>
  <c r="L622" i="4"/>
  <c r="F622" i="4"/>
  <c r="J622" i="4"/>
  <c r="G622" i="4"/>
  <c r="E622" i="4"/>
  <c r="D622" i="4"/>
  <c r="C622" i="4"/>
  <c r="K622" i="4"/>
  <c r="I622" i="4"/>
  <c r="H622" i="4"/>
  <c r="M598" i="4"/>
  <c r="L598" i="4"/>
  <c r="F598" i="4"/>
  <c r="K598" i="4"/>
  <c r="J598" i="4"/>
  <c r="I598" i="4"/>
  <c r="D598" i="4"/>
  <c r="H598" i="4"/>
  <c r="G598" i="4"/>
  <c r="E598" i="4"/>
  <c r="B598" i="4"/>
  <c r="M574" i="4"/>
  <c r="G574" i="4"/>
  <c r="H574" i="4"/>
  <c r="D574" i="4"/>
  <c r="C574" i="4"/>
  <c r="B574" i="4"/>
  <c r="L574" i="4"/>
  <c r="K574" i="4"/>
  <c r="M550" i="4"/>
  <c r="L550" i="4"/>
  <c r="I550" i="4"/>
  <c r="H550" i="4"/>
  <c r="G550" i="4"/>
  <c r="F550" i="4"/>
  <c r="D550" i="4"/>
  <c r="C550" i="4"/>
  <c r="M526" i="4"/>
  <c r="I526" i="4"/>
  <c r="H526" i="4"/>
  <c r="G526" i="4"/>
  <c r="D526" i="4"/>
  <c r="C526" i="4"/>
  <c r="M514" i="4"/>
  <c r="I514" i="4"/>
  <c r="H514" i="4"/>
  <c r="G514" i="4"/>
  <c r="D514" i="4"/>
  <c r="C514" i="4"/>
  <c r="C511" i="4"/>
  <c r="G992" i="4"/>
  <c r="F992" i="4"/>
  <c r="C992" i="4"/>
  <c r="L992" i="4"/>
  <c r="K992" i="4"/>
  <c r="J992" i="4"/>
  <c r="I992" i="4"/>
  <c r="H992" i="4"/>
  <c r="E992" i="4"/>
  <c r="D992" i="4"/>
  <c r="B992" i="4"/>
  <c r="M992" i="4"/>
  <c r="G980" i="4"/>
  <c r="F980" i="4"/>
  <c r="C980" i="4"/>
  <c r="L980" i="4"/>
  <c r="K980" i="4"/>
  <c r="I980" i="4"/>
  <c r="M980" i="4"/>
  <c r="J980" i="4"/>
  <c r="B980" i="4"/>
  <c r="H980" i="4"/>
  <c r="D980" i="4"/>
  <c r="E980" i="4"/>
  <c r="G968" i="4"/>
  <c r="F968" i="4"/>
  <c r="C968" i="4"/>
  <c r="L968" i="4"/>
  <c r="K968" i="4"/>
  <c r="I968" i="4"/>
  <c r="B968" i="4"/>
  <c r="M968" i="4"/>
  <c r="J968" i="4"/>
  <c r="H968" i="4"/>
  <c r="D968" i="4"/>
  <c r="E968" i="4"/>
  <c r="G956" i="4"/>
  <c r="C956" i="4"/>
  <c r="L956" i="4"/>
  <c r="I956" i="4"/>
  <c r="H956" i="4"/>
  <c r="F956" i="4"/>
  <c r="B956" i="4"/>
  <c r="M956" i="4"/>
  <c r="E956" i="4"/>
  <c r="J956" i="4"/>
  <c r="K956" i="4"/>
  <c r="D956" i="4"/>
  <c r="H944" i="4"/>
  <c r="G944" i="4"/>
  <c r="C944" i="4"/>
  <c r="J944" i="4"/>
  <c r="F944" i="4"/>
  <c r="E944" i="4"/>
  <c r="M944" i="4"/>
  <c r="L944" i="4"/>
  <c r="D944" i="4"/>
  <c r="I944" i="4"/>
  <c r="B944" i="4"/>
  <c r="K944" i="4"/>
  <c r="M932" i="4"/>
  <c r="H932" i="4"/>
  <c r="C932" i="4"/>
  <c r="J932" i="4"/>
  <c r="E932" i="4"/>
  <c r="B932" i="4"/>
  <c r="K932" i="4"/>
  <c r="G932" i="4"/>
  <c r="I932" i="4"/>
  <c r="D932" i="4"/>
  <c r="L932" i="4"/>
  <c r="F932" i="4"/>
  <c r="H920" i="4"/>
  <c r="C920" i="4"/>
  <c r="I920" i="4"/>
  <c r="F920" i="4"/>
  <c r="E920" i="4"/>
  <c r="K920" i="4"/>
  <c r="L920" i="4"/>
  <c r="D920" i="4"/>
  <c r="G920" i="4"/>
  <c r="M920" i="4"/>
  <c r="J920" i="4"/>
  <c r="B920" i="4"/>
  <c r="H908" i="4"/>
  <c r="J908" i="4"/>
  <c r="E908" i="4"/>
  <c r="C908" i="4"/>
  <c r="M908" i="4"/>
  <c r="L908" i="4"/>
  <c r="I908" i="4"/>
  <c r="F908" i="4"/>
  <c r="B908" i="4"/>
  <c r="G908" i="4"/>
  <c r="D908" i="4"/>
  <c r="K908" i="4"/>
  <c r="H896" i="4"/>
  <c r="L896" i="4"/>
  <c r="G896" i="4"/>
  <c r="M896" i="4"/>
  <c r="E896" i="4"/>
  <c r="J896" i="4"/>
  <c r="F896" i="4"/>
  <c r="C896" i="4"/>
  <c r="I896" i="4"/>
  <c r="B896" i="4"/>
  <c r="K896" i="4"/>
  <c r="D896" i="4"/>
  <c r="M884" i="4"/>
  <c r="K884" i="4"/>
  <c r="G884" i="4"/>
  <c r="E884" i="4"/>
  <c r="D884" i="4"/>
  <c r="I884" i="4"/>
  <c r="J884" i="4"/>
  <c r="H884" i="4"/>
  <c r="F884" i="4"/>
  <c r="B884" i="4"/>
  <c r="C884" i="4"/>
  <c r="L884" i="4"/>
  <c r="K872" i="4"/>
  <c r="G872" i="4"/>
  <c r="E872" i="4"/>
  <c r="I872" i="4"/>
  <c r="D872" i="4"/>
  <c r="B872" i="4"/>
  <c r="M872" i="4"/>
  <c r="H872" i="4"/>
  <c r="J872" i="4"/>
  <c r="C872" i="4"/>
  <c r="L872" i="4"/>
  <c r="F872" i="4"/>
  <c r="M860" i="4"/>
  <c r="K860" i="4"/>
  <c r="E860" i="4"/>
  <c r="C860" i="4"/>
  <c r="L860" i="4"/>
  <c r="G860" i="4"/>
  <c r="J860" i="4"/>
  <c r="H860" i="4"/>
  <c r="B860" i="4"/>
  <c r="D860" i="4"/>
  <c r="I860" i="4"/>
  <c r="F860" i="4"/>
  <c r="K848" i="4"/>
  <c r="E848" i="4"/>
  <c r="F848" i="4"/>
  <c r="B848" i="4"/>
  <c r="M848" i="4"/>
  <c r="I848" i="4"/>
  <c r="J848" i="4"/>
  <c r="D848" i="4"/>
  <c r="G848" i="4"/>
  <c r="C848" i="4"/>
  <c r="L848" i="4"/>
  <c r="H848" i="4"/>
  <c r="M836" i="4"/>
  <c r="K836" i="4"/>
  <c r="E836" i="4"/>
  <c r="H836" i="4"/>
  <c r="F836" i="4"/>
  <c r="D836" i="4"/>
  <c r="C836" i="4"/>
  <c r="L836" i="4"/>
  <c r="J836" i="4"/>
  <c r="I836" i="4"/>
  <c r="G836" i="4"/>
  <c r="B836" i="4"/>
  <c r="K824" i="4"/>
  <c r="M824" i="4"/>
  <c r="J824" i="4"/>
  <c r="H824" i="4"/>
  <c r="G824" i="4"/>
  <c r="F824" i="4"/>
  <c r="D824" i="4"/>
  <c r="L824" i="4"/>
  <c r="B824" i="4"/>
  <c r="I824" i="4"/>
  <c r="E824" i="4"/>
  <c r="C824" i="4"/>
  <c r="M812" i="4"/>
  <c r="J812" i="4"/>
  <c r="H812" i="4"/>
  <c r="G812" i="4"/>
  <c r="F812" i="4"/>
  <c r="D812" i="4"/>
  <c r="B812" i="4"/>
  <c r="L812" i="4"/>
  <c r="K812" i="4"/>
  <c r="E812" i="4"/>
  <c r="C812" i="4"/>
  <c r="J800" i="4"/>
  <c r="M800" i="4"/>
  <c r="B800" i="4"/>
  <c r="H800" i="4"/>
  <c r="G800" i="4"/>
  <c r="F800" i="4"/>
  <c r="E800" i="4"/>
  <c r="K800" i="4"/>
  <c r="D800" i="4"/>
  <c r="C800" i="4"/>
  <c r="L800" i="4"/>
  <c r="M788" i="4"/>
  <c r="B788" i="4"/>
  <c r="L788" i="4"/>
  <c r="H788" i="4"/>
  <c r="G788" i="4"/>
  <c r="I788" i="4"/>
  <c r="F788" i="4"/>
  <c r="E788" i="4"/>
  <c r="C788" i="4"/>
  <c r="K788" i="4"/>
  <c r="D788" i="4"/>
  <c r="J788" i="4"/>
  <c r="M776" i="4"/>
  <c r="B776" i="4"/>
  <c r="L776" i="4"/>
  <c r="H776" i="4"/>
  <c r="G776" i="4"/>
  <c r="C776" i="4"/>
  <c r="K776" i="4"/>
  <c r="I776" i="4"/>
  <c r="F776" i="4"/>
  <c r="J776" i="4"/>
  <c r="E776" i="4"/>
  <c r="B764" i="4"/>
  <c r="H764" i="4"/>
  <c r="K764" i="4"/>
  <c r="M764" i="4"/>
  <c r="E764" i="4"/>
  <c r="D764" i="4"/>
  <c r="J764" i="4"/>
  <c r="G764" i="4"/>
  <c r="F764" i="4"/>
  <c r="I764" i="4"/>
  <c r="C764" i="4"/>
  <c r="M752" i="4"/>
  <c r="F752" i="4"/>
  <c r="L752" i="4"/>
  <c r="E752" i="4"/>
  <c r="B752" i="4"/>
  <c r="J752" i="4"/>
  <c r="I752" i="4"/>
  <c r="K752" i="4"/>
  <c r="C752" i="4"/>
  <c r="D752" i="4"/>
  <c r="H752" i="4"/>
  <c r="G752" i="4"/>
  <c r="M740" i="4"/>
  <c r="F740" i="4"/>
  <c r="L740" i="4"/>
  <c r="I740" i="4"/>
  <c r="E740" i="4"/>
  <c r="B740" i="4"/>
  <c r="H740" i="4"/>
  <c r="G740" i="4"/>
  <c r="D740" i="4"/>
  <c r="K740" i="4"/>
  <c r="M728" i="4"/>
  <c r="F728" i="4"/>
  <c r="L728" i="4"/>
  <c r="I728" i="4"/>
  <c r="E728" i="4"/>
  <c r="C728" i="4"/>
  <c r="B728" i="4"/>
  <c r="D728" i="4"/>
  <c r="H728" i="4"/>
  <c r="G728" i="4"/>
  <c r="M716" i="4"/>
  <c r="F716" i="4"/>
  <c r="L716" i="4"/>
  <c r="I716" i="4"/>
  <c r="E716" i="4"/>
  <c r="B716" i="4"/>
  <c r="G716" i="4"/>
  <c r="D716" i="4"/>
  <c r="H716" i="4"/>
  <c r="J716" i="4"/>
  <c r="C716" i="4"/>
  <c r="M704" i="4"/>
  <c r="F704" i="4"/>
  <c r="L704" i="4"/>
  <c r="K704" i="4"/>
  <c r="H704" i="4"/>
  <c r="D704" i="4"/>
  <c r="B704" i="4"/>
  <c r="E704" i="4"/>
  <c r="C704" i="4"/>
  <c r="J704" i="4"/>
  <c r="I704" i="4"/>
  <c r="G704" i="4"/>
  <c r="M692" i="4"/>
  <c r="F692" i="4"/>
  <c r="L692" i="4"/>
  <c r="J692" i="4"/>
  <c r="D692" i="4"/>
  <c r="C692" i="4"/>
  <c r="E692" i="4"/>
  <c r="B692" i="4"/>
  <c r="K692" i="4"/>
  <c r="G692" i="4"/>
  <c r="M680" i="4"/>
  <c r="J680" i="4"/>
  <c r="E680" i="4"/>
  <c r="D680" i="4"/>
  <c r="L680" i="4"/>
  <c r="G680" i="4"/>
  <c r="F680" i="4"/>
  <c r="C680" i="4"/>
  <c r="I680" i="4"/>
  <c r="K680" i="4"/>
  <c r="H680" i="4"/>
  <c r="B680" i="4"/>
  <c r="M668" i="4"/>
  <c r="J668" i="4"/>
  <c r="E668" i="4"/>
  <c r="D668" i="4"/>
  <c r="K668" i="4"/>
  <c r="H668" i="4"/>
  <c r="I668" i="4"/>
  <c r="C668" i="4"/>
  <c r="B668" i="4"/>
  <c r="F668" i="4"/>
  <c r="M656" i="4"/>
  <c r="J656" i="4"/>
  <c r="E656" i="4"/>
  <c r="D656" i="4"/>
  <c r="F656" i="4"/>
  <c r="C656" i="4"/>
  <c r="L656" i="4"/>
  <c r="K656" i="4"/>
  <c r="I656" i="4"/>
  <c r="B656" i="4"/>
  <c r="G656" i="4"/>
  <c r="M644" i="4"/>
  <c r="J644" i="4"/>
  <c r="E644" i="4"/>
  <c r="D644" i="4"/>
  <c r="I644" i="4"/>
  <c r="H644" i="4"/>
  <c r="B644" i="4"/>
  <c r="K644" i="4"/>
  <c r="C644" i="4"/>
  <c r="L644" i="4"/>
  <c r="G644" i="4"/>
  <c r="F644" i="4"/>
  <c r="M632" i="4"/>
  <c r="J632" i="4"/>
  <c r="D632" i="4"/>
  <c r="L632" i="4"/>
  <c r="K632" i="4"/>
  <c r="I632" i="4"/>
  <c r="H632" i="4"/>
  <c r="E632" i="4"/>
  <c r="F632" i="4"/>
  <c r="C632" i="4"/>
  <c r="M620" i="4"/>
  <c r="J620" i="4"/>
  <c r="D620" i="4"/>
  <c r="C620" i="4"/>
  <c r="L620" i="4"/>
  <c r="K620" i="4"/>
  <c r="G620" i="4"/>
  <c r="F620" i="4"/>
  <c r="E620" i="4"/>
  <c r="B620" i="4"/>
  <c r="M608" i="4"/>
  <c r="J608" i="4"/>
  <c r="D608" i="4"/>
  <c r="F608" i="4"/>
  <c r="B608" i="4"/>
  <c r="I608" i="4"/>
  <c r="C608" i="4"/>
  <c r="K608" i="4"/>
  <c r="H608" i="4"/>
  <c r="M596" i="4"/>
  <c r="J596" i="4"/>
  <c r="E596" i="4"/>
  <c r="D596" i="4"/>
  <c r="C596" i="4"/>
  <c r="L596" i="4"/>
  <c r="K596" i="4"/>
  <c r="I596" i="4"/>
  <c r="H596" i="4"/>
  <c r="G596" i="4"/>
  <c r="B596" i="4"/>
  <c r="M584" i="4"/>
  <c r="E584" i="4"/>
  <c r="K584" i="4"/>
  <c r="I584" i="4"/>
  <c r="H584" i="4"/>
  <c r="G584" i="4"/>
  <c r="F584" i="4"/>
  <c r="C584" i="4"/>
  <c r="B584" i="4"/>
  <c r="M572" i="4"/>
  <c r="E572" i="4"/>
  <c r="K572" i="4"/>
  <c r="L572" i="4"/>
  <c r="J572" i="4"/>
  <c r="I572" i="4"/>
  <c r="H572" i="4"/>
  <c r="F572" i="4"/>
  <c r="D572" i="4"/>
  <c r="M560" i="4"/>
  <c r="J560" i="4"/>
  <c r="G560" i="4"/>
  <c r="F560" i="4"/>
  <c r="E560" i="4"/>
  <c r="D560" i="4"/>
  <c r="B560" i="4"/>
  <c r="M548" i="4"/>
  <c r="J548" i="4"/>
  <c r="G548" i="4"/>
  <c r="F548" i="4"/>
  <c r="E548" i="4"/>
  <c r="D548" i="4"/>
  <c r="B548" i="4"/>
  <c r="M536" i="4"/>
  <c r="G536" i="4"/>
  <c r="F536" i="4"/>
  <c r="E536" i="4"/>
  <c r="B536" i="4"/>
  <c r="M524" i="4"/>
  <c r="G524" i="4"/>
  <c r="F524" i="4"/>
  <c r="E524" i="4"/>
  <c r="B524" i="4"/>
  <c r="M512" i="4"/>
  <c r="G512" i="4"/>
  <c r="F512" i="4"/>
  <c r="E512" i="4"/>
  <c r="B512" i="4"/>
  <c r="B502" i="4"/>
  <c r="B504" i="4"/>
  <c r="B506" i="4"/>
  <c r="H509" i="4"/>
  <c r="H511" i="4"/>
  <c r="E513" i="4"/>
  <c r="C515" i="4"/>
  <c r="C517" i="4"/>
  <c r="C519" i="4"/>
  <c r="I524" i="4"/>
  <c r="F526" i="4"/>
  <c r="D528" i="4"/>
  <c r="D530" i="4"/>
  <c r="D532" i="4"/>
  <c r="J535" i="4"/>
  <c r="J537" i="4"/>
  <c r="G539" i="4"/>
  <c r="E541" i="4"/>
  <c r="K548" i="4"/>
  <c r="F551" i="4"/>
  <c r="C554" i="4"/>
  <c r="H556" i="4"/>
  <c r="G559" i="4"/>
  <c r="L561" i="4"/>
  <c r="E574" i="4"/>
  <c r="E577" i="4"/>
  <c r="E580" i="4"/>
  <c r="H583" i="4"/>
  <c r="J586" i="4"/>
  <c r="H590" i="4"/>
  <c r="D594" i="4"/>
  <c r="C598" i="4"/>
  <c r="C603" i="4"/>
  <c r="G608" i="4"/>
  <c r="F615" i="4"/>
  <c r="F621" i="4"/>
  <c r="J633" i="4"/>
  <c r="D654" i="4"/>
  <c r="C664" i="4"/>
  <c r="C740" i="4"/>
  <c r="M947" i="4"/>
  <c r="K947" i="4"/>
  <c r="J947" i="4"/>
  <c r="F947" i="4"/>
  <c r="D947" i="4"/>
  <c r="I947" i="4"/>
  <c r="L947" i="4"/>
  <c r="G947" i="4"/>
  <c r="C947" i="4"/>
  <c r="B947" i="4"/>
  <c r="E947" i="4"/>
  <c r="H947" i="4"/>
  <c r="M851" i="4"/>
  <c r="B851" i="4"/>
  <c r="H851" i="4"/>
  <c r="L851" i="4"/>
  <c r="J851" i="4"/>
  <c r="E851" i="4"/>
  <c r="I851" i="4"/>
  <c r="F851" i="4"/>
  <c r="D851" i="4"/>
  <c r="C851" i="4"/>
  <c r="K851" i="4"/>
  <c r="G851" i="4"/>
  <c r="M767" i="4"/>
  <c r="E767" i="4"/>
  <c r="K767" i="4"/>
  <c r="G767" i="4"/>
  <c r="F767" i="4"/>
  <c r="B767" i="4"/>
  <c r="L767" i="4"/>
  <c r="J767" i="4"/>
  <c r="H767" i="4"/>
  <c r="D767" i="4"/>
  <c r="C767" i="4"/>
  <c r="M611" i="4"/>
  <c r="G611" i="4"/>
  <c r="B611" i="4"/>
  <c r="L611" i="4"/>
  <c r="K611" i="4"/>
  <c r="J611" i="4"/>
  <c r="I611" i="4"/>
  <c r="E611" i="4"/>
  <c r="F611" i="4"/>
  <c r="D611" i="4"/>
  <c r="G589" i="4"/>
  <c r="M679" i="4"/>
  <c r="I679" i="4"/>
  <c r="D679" i="4"/>
  <c r="C679" i="4"/>
  <c r="H679" i="4"/>
  <c r="G679" i="4"/>
  <c r="L679" i="4"/>
  <c r="K679" i="4"/>
  <c r="J679" i="4"/>
  <c r="F679" i="4"/>
  <c r="B679" i="4"/>
  <c r="H559" i="4"/>
  <c r="B562" i="4"/>
  <c r="C565" i="4"/>
  <c r="C568" i="4"/>
  <c r="C571" i="4"/>
  <c r="F574" i="4"/>
  <c r="F577" i="4"/>
  <c r="K580" i="4"/>
  <c r="K583" i="4"/>
  <c r="C587" i="4"/>
  <c r="C599" i="4"/>
  <c r="F603" i="4"/>
  <c r="L608" i="4"/>
  <c r="H621" i="4"/>
  <c r="G628" i="4"/>
  <c r="H634" i="4"/>
  <c r="G676" i="4"/>
  <c r="F688" i="4"/>
  <c r="J740" i="4"/>
  <c r="L764" i="4"/>
  <c r="M925" i="4"/>
  <c r="H925" i="4"/>
  <c r="F925" i="4"/>
  <c r="G925" i="4"/>
  <c r="B925" i="4"/>
  <c r="J925" i="4"/>
  <c r="E925" i="4"/>
  <c r="C925" i="4"/>
  <c r="L925" i="4"/>
  <c r="I925" i="4"/>
  <c r="D925" i="4"/>
  <c r="K925" i="4"/>
  <c r="M829" i="4"/>
  <c r="D829" i="4"/>
  <c r="J829" i="4"/>
  <c r="K829" i="4"/>
  <c r="I829" i="4"/>
  <c r="H829" i="4"/>
  <c r="F829" i="4"/>
  <c r="B829" i="4"/>
  <c r="C829" i="4"/>
  <c r="G829" i="4"/>
  <c r="E829" i="4"/>
  <c r="L829" i="4"/>
  <c r="M709" i="4"/>
  <c r="K709" i="4"/>
  <c r="E709" i="4"/>
  <c r="J709" i="4"/>
  <c r="G709" i="4"/>
  <c r="D709" i="4"/>
  <c r="C709" i="4"/>
  <c r="I709" i="4"/>
  <c r="H709" i="4"/>
  <c r="L709" i="4"/>
  <c r="B709" i="4"/>
  <c r="M505" i="4"/>
  <c r="L505" i="4"/>
  <c r="K505" i="4"/>
  <c r="J505" i="4"/>
  <c r="G505" i="4"/>
  <c r="F505" i="4"/>
  <c r="M503" i="4"/>
  <c r="J503" i="4"/>
  <c r="I503" i="4"/>
  <c r="H503" i="4"/>
  <c r="E503" i="4"/>
  <c r="D503" i="4"/>
  <c r="L625" i="4"/>
  <c r="K551" i="4"/>
  <c r="E990" i="4"/>
  <c r="D990" i="4"/>
  <c r="K990" i="4"/>
  <c r="J990" i="4"/>
  <c r="I990" i="4"/>
  <c r="G990" i="4"/>
  <c r="F990" i="4"/>
  <c r="B990" i="4"/>
  <c r="H990" i="4"/>
  <c r="L990" i="4"/>
  <c r="C990" i="4"/>
  <c r="M990" i="4"/>
  <c r="E978" i="4"/>
  <c r="D978" i="4"/>
  <c r="K978" i="4"/>
  <c r="J978" i="4"/>
  <c r="I978" i="4"/>
  <c r="G978" i="4"/>
  <c r="F978" i="4"/>
  <c r="C978" i="4"/>
  <c r="L978" i="4"/>
  <c r="B978" i="4"/>
  <c r="M978" i="4"/>
  <c r="H978" i="4"/>
  <c r="E966" i="4"/>
  <c r="K966" i="4"/>
  <c r="J966" i="4"/>
  <c r="G966" i="4"/>
  <c r="B966" i="4"/>
  <c r="I966" i="4"/>
  <c r="D966" i="4"/>
  <c r="H966" i="4"/>
  <c r="C966" i="4"/>
  <c r="M966" i="4"/>
  <c r="L966" i="4"/>
  <c r="F966" i="4"/>
  <c r="E954" i="4"/>
  <c r="K954" i="4"/>
  <c r="J954" i="4"/>
  <c r="G954" i="4"/>
  <c r="I954" i="4"/>
  <c r="H954" i="4"/>
  <c r="M954" i="4"/>
  <c r="B954" i="4"/>
  <c r="F954" i="4"/>
  <c r="L954" i="4"/>
  <c r="C954" i="4"/>
  <c r="D954" i="4"/>
  <c r="F942" i="4"/>
  <c r="E942" i="4"/>
  <c r="K942" i="4"/>
  <c r="B942" i="4"/>
  <c r="J942" i="4"/>
  <c r="D942" i="4"/>
  <c r="I942" i="4"/>
  <c r="M942" i="4"/>
  <c r="H942" i="4"/>
  <c r="G942" i="4"/>
  <c r="C942" i="4"/>
  <c r="L942" i="4"/>
  <c r="F930" i="4"/>
  <c r="K930" i="4"/>
  <c r="M930" i="4"/>
  <c r="J930" i="4"/>
  <c r="H930" i="4"/>
  <c r="C930" i="4"/>
  <c r="L930" i="4"/>
  <c r="G930" i="4"/>
  <c r="D930" i="4"/>
  <c r="E930" i="4"/>
  <c r="B930" i="4"/>
  <c r="I930" i="4"/>
  <c r="F918" i="4"/>
  <c r="K918" i="4"/>
  <c r="D918" i="4"/>
  <c r="L918" i="4"/>
  <c r="G918" i="4"/>
  <c r="B918" i="4"/>
  <c r="J918" i="4"/>
  <c r="M918" i="4"/>
  <c r="I918" i="4"/>
  <c r="H918" i="4"/>
  <c r="E918" i="4"/>
  <c r="C918" i="4"/>
  <c r="F906" i="4"/>
  <c r="M906" i="4"/>
  <c r="K906" i="4"/>
  <c r="C906" i="4"/>
  <c r="J906" i="4"/>
  <c r="L906" i="4"/>
  <c r="H906" i="4"/>
  <c r="E906" i="4"/>
  <c r="G906" i="4"/>
  <c r="D906" i="4"/>
  <c r="B906" i="4"/>
  <c r="I906" i="4"/>
  <c r="F894" i="4"/>
  <c r="K894" i="4"/>
  <c r="E894" i="4"/>
  <c r="L894" i="4"/>
  <c r="I894" i="4"/>
  <c r="G894" i="4"/>
  <c r="C894" i="4"/>
  <c r="H894" i="4"/>
  <c r="D894" i="4"/>
  <c r="B894" i="4"/>
  <c r="J894" i="4"/>
  <c r="M894" i="4"/>
  <c r="I882" i="4"/>
  <c r="M882" i="4"/>
  <c r="E882" i="4"/>
  <c r="C882" i="4"/>
  <c r="K882" i="4"/>
  <c r="G882" i="4"/>
  <c r="D882" i="4"/>
  <c r="L882" i="4"/>
  <c r="H882" i="4"/>
  <c r="F882" i="4"/>
  <c r="B882" i="4"/>
  <c r="I870" i="4"/>
  <c r="E870" i="4"/>
  <c r="C870" i="4"/>
  <c r="K870" i="4"/>
  <c r="H870" i="4"/>
  <c r="M870" i="4"/>
  <c r="B870" i="4"/>
  <c r="L870" i="4"/>
  <c r="F870" i="4"/>
  <c r="G870" i="4"/>
  <c r="D870" i="4"/>
  <c r="J870" i="4"/>
  <c r="M858" i="4"/>
  <c r="I858" i="4"/>
  <c r="C858" i="4"/>
  <c r="K858" i="4"/>
  <c r="G858" i="4"/>
  <c r="E858" i="4"/>
  <c r="L858" i="4"/>
  <c r="H858" i="4"/>
  <c r="B858" i="4"/>
  <c r="D858" i="4"/>
  <c r="J858" i="4"/>
  <c r="F858" i="4"/>
  <c r="I846" i="4"/>
  <c r="C846" i="4"/>
  <c r="J846" i="4"/>
  <c r="G846" i="4"/>
  <c r="B846" i="4"/>
  <c r="K846" i="4"/>
  <c r="E846" i="4"/>
  <c r="F846" i="4"/>
  <c r="D846" i="4"/>
  <c r="M846" i="4"/>
  <c r="L846" i="4"/>
  <c r="H846" i="4"/>
  <c r="I834" i="4"/>
  <c r="C834" i="4"/>
  <c r="M834" i="4"/>
  <c r="L834" i="4"/>
  <c r="K834" i="4"/>
  <c r="H834" i="4"/>
  <c r="E834" i="4"/>
  <c r="F834" i="4"/>
  <c r="D834" i="4"/>
  <c r="B834" i="4"/>
  <c r="J834" i="4"/>
  <c r="G834" i="4"/>
  <c r="H822" i="4"/>
  <c r="F822" i="4"/>
  <c r="E822" i="4"/>
  <c r="D822" i="4"/>
  <c r="B822" i="4"/>
  <c r="K822" i="4"/>
  <c r="L822" i="4"/>
  <c r="I822" i="4"/>
  <c r="G822" i="4"/>
  <c r="M822" i="4"/>
  <c r="C822" i="4"/>
  <c r="J822" i="4"/>
  <c r="M810" i="4"/>
  <c r="H810" i="4"/>
  <c r="F810" i="4"/>
  <c r="E810" i="4"/>
  <c r="D810" i="4"/>
  <c r="B810" i="4"/>
  <c r="K810" i="4"/>
  <c r="L810" i="4"/>
  <c r="J810" i="4"/>
  <c r="I810" i="4"/>
  <c r="G810" i="4"/>
  <c r="C810" i="4"/>
  <c r="M798" i="4"/>
  <c r="L798" i="4"/>
  <c r="J798" i="4"/>
  <c r="F798" i="4"/>
  <c r="E798" i="4"/>
  <c r="D798" i="4"/>
  <c r="H798" i="4"/>
  <c r="I798" i="4"/>
  <c r="B798" i="4"/>
  <c r="K798" i="4"/>
  <c r="G798" i="4"/>
  <c r="C798" i="4"/>
  <c r="M786" i="4"/>
  <c r="L786" i="4"/>
  <c r="J786" i="4"/>
  <c r="F786" i="4"/>
  <c r="E786" i="4"/>
  <c r="K786" i="4"/>
  <c r="I786" i="4"/>
  <c r="G786" i="4"/>
  <c r="D786" i="4"/>
  <c r="H786" i="4"/>
  <c r="C786" i="4"/>
  <c r="B786" i="4"/>
  <c r="M774" i="4"/>
  <c r="L774" i="4"/>
  <c r="J774" i="4"/>
  <c r="F774" i="4"/>
  <c r="H774" i="4"/>
  <c r="C774" i="4"/>
  <c r="B774" i="4"/>
  <c r="K774" i="4"/>
  <c r="G774" i="4"/>
  <c r="E774" i="4"/>
  <c r="I774" i="4"/>
  <c r="D774" i="4"/>
  <c r="M762" i="4"/>
  <c r="L762" i="4"/>
  <c r="F762" i="4"/>
  <c r="D762" i="4"/>
  <c r="K762" i="4"/>
  <c r="C762" i="4"/>
  <c r="I762" i="4"/>
  <c r="H762" i="4"/>
  <c r="J762" i="4"/>
  <c r="G762" i="4"/>
  <c r="E762" i="4"/>
  <c r="B762" i="4"/>
  <c r="M750" i="4"/>
  <c r="D750" i="4"/>
  <c r="K750" i="4"/>
  <c r="J750" i="4"/>
  <c r="L750" i="4"/>
  <c r="G750" i="4"/>
  <c r="C750" i="4"/>
  <c r="H750" i="4"/>
  <c r="F750" i="4"/>
  <c r="B750" i="4"/>
  <c r="E750" i="4"/>
  <c r="M738" i="4"/>
  <c r="D738" i="4"/>
  <c r="K738" i="4"/>
  <c r="J738" i="4"/>
  <c r="L738" i="4"/>
  <c r="G738" i="4"/>
  <c r="E738" i="4"/>
  <c r="C738" i="4"/>
  <c r="B738" i="4"/>
  <c r="I738" i="4"/>
  <c r="H738" i="4"/>
  <c r="F738" i="4"/>
  <c r="M726" i="4"/>
  <c r="D726" i="4"/>
  <c r="K726" i="4"/>
  <c r="J726" i="4"/>
  <c r="C726" i="4"/>
  <c r="L726" i="4"/>
  <c r="H726" i="4"/>
  <c r="G726" i="4"/>
  <c r="I726" i="4"/>
  <c r="E726" i="4"/>
  <c r="B726" i="4"/>
  <c r="F726" i="4"/>
  <c r="M714" i="4"/>
  <c r="D714" i="4"/>
  <c r="J714" i="4"/>
  <c r="B714" i="4"/>
  <c r="I714" i="4"/>
  <c r="G714" i="4"/>
  <c r="F714" i="4"/>
  <c r="C714" i="4"/>
  <c r="H714" i="4"/>
  <c r="E714" i="4"/>
  <c r="K714" i="4"/>
  <c r="M702" i="4"/>
  <c r="D702" i="4"/>
  <c r="J702" i="4"/>
  <c r="E702" i="4"/>
  <c r="L702" i="4"/>
  <c r="I702" i="4"/>
  <c r="H702" i="4"/>
  <c r="K702" i="4"/>
  <c r="B702" i="4"/>
  <c r="G702" i="4"/>
  <c r="F702" i="4"/>
  <c r="C702" i="4"/>
  <c r="M690" i="4"/>
  <c r="D690" i="4"/>
  <c r="J690" i="4"/>
  <c r="C690" i="4"/>
  <c r="L690" i="4"/>
  <c r="K690" i="4"/>
  <c r="G690" i="4"/>
  <c r="F690" i="4"/>
  <c r="I690" i="4"/>
  <c r="H690" i="4"/>
  <c r="E690" i="4"/>
  <c r="B690" i="4"/>
  <c r="M678" i="4"/>
  <c r="H678" i="4"/>
  <c r="C678" i="4"/>
  <c r="B678" i="4"/>
  <c r="D678" i="4"/>
  <c r="L678" i="4"/>
  <c r="K678" i="4"/>
  <c r="J678" i="4"/>
  <c r="E678" i="4"/>
  <c r="I678" i="4"/>
  <c r="G678" i="4"/>
  <c r="M666" i="4"/>
  <c r="H666" i="4"/>
  <c r="C666" i="4"/>
  <c r="B666" i="4"/>
  <c r="G666" i="4"/>
  <c r="F666" i="4"/>
  <c r="I666" i="4"/>
  <c r="L666" i="4"/>
  <c r="K666" i="4"/>
  <c r="J666" i="4"/>
  <c r="E666" i="4"/>
  <c r="D666" i="4"/>
  <c r="M654" i="4"/>
  <c r="H654" i="4"/>
  <c r="C654" i="4"/>
  <c r="B654" i="4"/>
  <c r="K654" i="4"/>
  <c r="J654" i="4"/>
  <c r="E654" i="4"/>
  <c r="L654" i="4"/>
  <c r="I654" i="4"/>
  <c r="G654" i="4"/>
  <c r="M642" i="4"/>
  <c r="H642" i="4"/>
  <c r="C642" i="4"/>
  <c r="B642" i="4"/>
  <c r="I642" i="4"/>
  <c r="F642" i="4"/>
  <c r="G642" i="4"/>
  <c r="L642" i="4"/>
  <c r="D642" i="4"/>
  <c r="K642" i="4"/>
  <c r="M630" i="4"/>
  <c r="H630" i="4"/>
  <c r="B630" i="4"/>
  <c r="I630" i="4"/>
  <c r="E630" i="4"/>
  <c r="D630" i="4"/>
  <c r="C630" i="4"/>
  <c r="L630" i="4"/>
  <c r="K630" i="4"/>
  <c r="J630" i="4"/>
  <c r="G630" i="4"/>
  <c r="F630" i="4"/>
  <c r="M618" i="4"/>
  <c r="H618" i="4"/>
  <c r="B618" i="4"/>
  <c r="K618" i="4"/>
  <c r="G618" i="4"/>
  <c r="F618" i="4"/>
  <c r="E618" i="4"/>
  <c r="D618" i="4"/>
  <c r="I618" i="4"/>
  <c r="M606" i="4"/>
  <c r="H606" i="4"/>
  <c r="B606" i="4"/>
  <c r="J606" i="4"/>
  <c r="I606" i="4"/>
  <c r="G606" i="4"/>
  <c r="F606" i="4"/>
  <c r="C606" i="4"/>
  <c r="L606" i="4"/>
  <c r="K606" i="4"/>
  <c r="D606" i="4"/>
  <c r="M594" i="4"/>
  <c r="C594" i="4"/>
  <c r="B594" i="4"/>
  <c r="I594" i="4"/>
  <c r="L594" i="4"/>
  <c r="K594" i="4"/>
  <c r="J594" i="4"/>
  <c r="G594" i="4"/>
  <c r="F594" i="4"/>
  <c r="M582" i="4"/>
  <c r="C582" i="4"/>
  <c r="I582" i="4"/>
  <c r="F582" i="4"/>
  <c r="B582" i="4"/>
  <c r="K582" i="4"/>
  <c r="J582" i="4"/>
  <c r="M570" i="4"/>
  <c r="C570" i="4"/>
  <c r="I570" i="4"/>
  <c r="H570" i="4"/>
  <c r="E570" i="4"/>
  <c r="D570" i="4"/>
  <c r="B570" i="4"/>
  <c r="L570" i="4"/>
  <c r="M558" i="4"/>
  <c r="H558" i="4"/>
  <c r="E558" i="4"/>
  <c r="D558" i="4"/>
  <c r="C558" i="4"/>
  <c r="B558" i="4"/>
  <c r="L558" i="4"/>
  <c r="K558" i="4"/>
  <c r="M546" i="4"/>
  <c r="H546" i="4"/>
  <c r="E546" i="4"/>
  <c r="D546" i="4"/>
  <c r="C546" i="4"/>
  <c r="B546" i="4"/>
  <c r="L546" i="4"/>
  <c r="K546" i="4"/>
  <c r="M534" i="4"/>
  <c r="E534" i="4"/>
  <c r="D534" i="4"/>
  <c r="C534" i="4"/>
  <c r="L534" i="4"/>
  <c r="K534" i="4"/>
  <c r="M522" i="4"/>
  <c r="E522" i="4"/>
  <c r="D522" i="4"/>
  <c r="C522" i="4"/>
  <c r="L522" i="4"/>
  <c r="K522" i="4"/>
  <c r="M510" i="4"/>
  <c r="E510" i="4"/>
  <c r="D510" i="4"/>
  <c r="C510" i="4"/>
  <c r="L510" i="4"/>
  <c r="K510" i="4"/>
  <c r="F502" i="4"/>
  <c r="D504" i="4"/>
  <c r="D506" i="4"/>
  <c r="D508" i="4"/>
  <c r="J513" i="4"/>
  <c r="G515" i="4"/>
  <c r="E517" i="4"/>
  <c r="E519" i="4"/>
  <c r="K524" i="4"/>
  <c r="K526" i="4"/>
  <c r="H528" i="4"/>
  <c r="F530" i="4"/>
  <c r="F532" i="4"/>
  <c r="F534" i="4"/>
  <c r="C536" i="4"/>
  <c r="L537" i="4"/>
  <c r="L539" i="4"/>
  <c r="I541" i="4"/>
  <c r="D544" i="4"/>
  <c r="I546" i="4"/>
  <c r="D549" i="4"/>
  <c r="F554" i="4"/>
  <c r="E562" i="4"/>
  <c r="E565" i="4"/>
  <c r="D568" i="4"/>
  <c r="I574" i="4"/>
  <c r="I577" i="4"/>
  <c r="J587" i="4"/>
  <c r="B591" i="4"/>
  <c r="H594" i="4"/>
  <c r="D599" i="4"/>
  <c r="C610" i="4"/>
  <c r="C616" i="4"/>
  <c r="B622" i="4"/>
  <c r="J634" i="4"/>
  <c r="G645" i="4"/>
  <c r="F705" i="4"/>
  <c r="E742" i="4"/>
  <c r="B765" i="4"/>
  <c r="L961" i="4"/>
  <c r="H961" i="4"/>
  <c r="F961" i="4"/>
  <c r="E961" i="4"/>
  <c r="M961" i="4"/>
  <c r="B961" i="4"/>
  <c r="G961" i="4"/>
  <c r="C961" i="4"/>
  <c r="I961" i="4"/>
  <c r="J961" i="4"/>
  <c r="D961" i="4"/>
  <c r="K961" i="4"/>
  <c r="M877" i="4"/>
  <c r="D877" i="4"/>
  <c r="L877" i="4"/>
  <c r="J877" i="4"/>
  <c r="B877" i="4"/>
  <c r="K877" i="4"/>
  <c r="F877" i="4"/>
  <c r="I877" i="4"/>
  <c r="G877" i="4"/>
  <c r="C877" i="4"/>
  <c r="H877" i="4"/>
  <c r="E877" i="4"/>
  <c r="M817" i="4"/>
  <c r="C817" i="4"/>
  <c r="L817" i="4"/>
  <c r="K817" i="4"/>
  <c r="I817" i="4"/>
  <c r="F817" i="4"/>
  <c r="G817" i="4"/>
  <c r="E817" i="4"/>
  <c r="D817" i="4"/>
  <c r="H817" i="4"/>
  <c r="J817" i="4"/>
  <c r="B817" i="4"/>
  <c r="M757" i="4"/>
  <c r="G757" i="4"/>
  <c r="B757" i="4"/>
  <c r="J757" i="4"/>
  <c r="I757" i="4"/>
  <c r="K757" i="4"/>
  <c r="F757" i="4"/>
  <c r="E757" i="4"/>
  <c r="D757" i="4"/>
  <c r="C757" i="4"/>
  <c r="L757" i="4"/>
  <c r="M685" i="4"/>
  <c r="C685" i="4"/>
  <c r="J685" i="4"/>
  <c r="I685" i="4"/>
  <c r="F685" i="4"/>
  <c r="E685" i="4"/>
  <c r="H685" i="4"/>
  <c r="B685" i="4"/>
  <c r="L685" i="4"/>
  <c r="K685" i="4"/>
  <c r="G685" i="4"/>
  <c r="D685" i="4"/>
  <c r="M601" i="4"/>
  <c r="C601" i="4"/>
  <c r="I601" i="4"/>
  <c r="G601" i="4"/>
  <c r="F601" i="4"/>
  <c r="E601" i="4"/>
  <c r="D601" i="4"/>
  <c r="L601" i="4"/>
  <c r="K601" i="4"/>
  <c r="C505" i="4"/>
  <c r="J983" i="4"/>
  <c r="I983" i="4"/>
  <c r="F983" i="4"/>
  <c r="D983" i="4"/>
  <c r="C983" i="4"/>
  <c r="M983" i="4"/>
  <c r="B983" i="4"/>
  <c r="L983" i="4"/>
  <c r="H983" i="4"/>
  <c r="G983" i="4"/>
  <c r="E983" i="4"/>
  <c r="K983" i="4"/>
  <c r="M935" i="4"/>
  <c r="K935" i="4"/>
  <c r="F935" i="4"/>
  <c r="D935" i="4"/>
  <c r="I935" i="4"/>
  <c r="C935" i="4"/>
  <c r="L935" i="4"/>
  <c r="G935" i="4"/>
  <c r="B935" i="4"/>
  <c r="H935" i="4"/>
  <c r="E935" i="4"/>
  <c r="J935" i="4"/>
  <c r="M875" i="4"/>
  <c r="B875" i="4"/>
  <c r="J875" i="4"/>
  <c r="H875" i="4"/>
  <c r="G875" i="4"/>
  <c r="D875" i="4"/>
  <c r="L875" i="4"/>
  <c r="K875" i="4"/>
  <c r="I875" i="4"/>
  <c r="E875" i="4"/>
  <c r="F875" i="4"/>
  <c r="C875" i="4"/>
  <c r="M827" i="4"/>
  <c r="B827" i="4"/>
  <c r="H827" i="4"/>
  <c r="F827" i="4"/>
  <c r="D827" i="4"/>
  <c r="C827" i="4"/>
  <c r="J827" i="4"/>
  <c r="K827" i="4"/>
  <c r="G827" i="4"/>
  <c r="L827" i="4"/>
  <c r="I827" i="4"/>
  <c r="E827" i="4"/>
  <c r="M803" i="4"/>
  <c r="J803" i="4"/>
  <c r="G803" i="4"/>
  <c r="L803" i="4"/>
  <c r="I803" i="4"/>
  <c r="D803" i="4"/>
  <c r="C803" i="4"/>
  <c r="B803" i="4"/>
  <c r="K803" i="4"/>
  <c r="F803" i="4"/>
  <c r="E803" i="4"/>
  <c r="H803" i="4"/>
  <c r="M755" i="4"/>
  <c r="K755" i="4"/>
  <c r="I755" i="4"/>
  <c r="D755" i="4"/>
  <c r="C755" i="4"/>
  <c r="E755" i="4"/>
  <c r="J755" i="4"/>
  <c r="H755" i="4"/>
  <c r="G755" i="4"/>
  <c r="F755" i="4"/>
  <c r="L755" i="4"/>
  <c r="B755" i="4"/>
  <c r="M719" i="4"/>
  <c r="I719" i="4"/>
  <c r="C719" i="4"/>
  <c r="E719" i="4"/>
  <c r="L719" i="4"/>
  <c r="J719" i="4"/>
  <c r="H719" i="4"/>
  <c r="K719" i="4"/>
  <c r="G719" i="4"/>
  <c r="D719" i="4"/>
  <c r="F719" i="4"/>
  <c r="B719" i="4"/>
  <c r="M671" i="4"/>
  <c r="H671" i="4"/>
  <c r="G671" i="4"/>
  <c r="J671" i="4"/>
  <c r="F671" i="4"/>
  <c r="B671" i="4"/>
  <c r="L671" i="4"/>
  <c r="E671" i="4"/>
  <c r="D671" i="4"/>
  <c r="C671" i="4"/>
  <c r="M623" i="4"/>
  <c r="G623" i="4"/>
  <c r="J623" i="4"/>
  <c r="I623" i="4"/>
  <c r="H623" i="4"/>
  <c r="F623" i="4"/>
  <c r="C623" i="4"/>
  <c r="K623" i="4"/>
  <c r="B623" i="4"/>
  <c r="M575" i="4"/>
  <c r="H575" i="4"/>
  <c r="B575" i="4"/>
  <c r="K575" i="4"/>
  <c r="G575" i="4"/>
  <c r="F575" i="4"/>
  <c r="E575" i="4"/>
  <c r="D575" i="4"/>
  <c r="M551" i="4"/>
  <c r="J551" i="4"/>
  <c r="I551" i="4"/>
  <c r="H551" i="4"/>
  <c r="G551" i="4"/>
  <c r="E551" i="4"/>
  <c r="D551" i="4"/>
  <c r="M527" i="4"/>
  <c r="J527" i="4"/>
  <c r="I527" i="4"/>
  <c r="H527" i="4"/>
  <c r="E527" i="4"/>
  <c r="D527" i="4"/>
  <c r="B541" i="4"/>
  <c r="L563" i="4"/>
  <c r="J601" i="4"/>
  <c r="F991" i="4"/>
  <c r="E991" i="4"/>
  <c r="M991" i="4"/>
  <c r="B991" i="4"/>
  <c r="L991" i="4"/>
  <c r="K991" i="4"/>
  <c r="J991" i="4"/>
  <c r="H991" i="4"/>
  <c r="G991" i="4"/>
  <c r="D991" i="4"/>
  <c r="I991" i="4"/>
  <c r="C991" i="4"/>
  <c r="F967" i="4"/>
  <c r="E967" i="4"/>
  <c r="M967" i="4"/>
  <c r="B967" i="4"/>
  <c r="L967" i="4"/>
  <c r="K967" i="4"/>
  <c r="H967" i="4"/>
  <c r="J967" i="4"/>
  <c r="C967" i="4"/>
  <c r="D967" i="4"/>
  <c r="I967" i="4"/>
  <c r="G967" i="4"/>
  <c r="M943" i="4"/>
  <c r="G943" i="4"/>
  <c r="F943" i="4"/>
  <c r="B943" i="4"/>
  <c r="L943" i="4"/>
  <c r="I943" i="4"/>
  <c r="C943" i="4"/>
  <c r="K943" i="4"/>
  <c r="H943" i="4"/>
  <c r="D943" i="4"/>
  <c r="E943" i="4"/>
  <c r="J943" i="4"/>
  <c r="M919" i="4"/>
  <c r="G919" i="4"/>
  <c r="B919" i="4"/>
  <c r="L919" i="4"/>
  <c r="I919" i="4"/>
  <c r="D919" i="4"/>
  <c r="K919" i="4"/>
  <c r="H919" i="4"/>
  <c r="E919" i="4"/>
  <c r="F919" i="4"/>
  <c r="J919" i="4"/>
  <c r="C919" i="4"/>
  <c r="M895" i="4"/>
  <c r="G895" i="4"/>
  <c r="L895" i="4"/>
  <c r="I895" i="4"/>
  <c r="D895" i="4"/>
  <c r="B895" i="4"/>
  <c r="F895" i="4"/>
  <c r="K895" i="4"/>
  <c r="C895" i="4"/>
  <c r="J895" i="4"/>
  <c r="E895" i="4"/>
  <c r="H895" i="4"/>
  <c r="M883" i="4"/>
  <c r="J883" i="4"/>
  <c r="F883" i="4"/>
  <c r="D883" i="4"/>
  <c r="L883" i="4"/>
  <c r="I883" i="4"/>
  <c r="C883" i="4"/>
  <c r="G883" i="4"/>
  <c r="H883" i="4"/>
  <c r="E883" i="4"/>
  <c r="B883" i="4"/>
  <c r="K883" i="4"/>
  <c r="M859" i="4"/>
  <c r="J859" i="4"/>
  <c r="D859" i="4"/>
  <c r="K859" i="4"/>
  <c r="H859" i="4"/>
  <c r="C859" i="4"/>
  <c r="G859" i="4"/>
  <c r="E859" i="4"/>
  <c r="B859" i="4"/>
  <c r="I859" i="4"/>
  <c r="F859" i="4"/>
  <c r="L859" i="4"/>
  <c r="M847" i="4"/>
  <c r="J847" i="4"/>
  <c r="D847" i="4"/>
  <c r="B847" i="4"/>
  <c r="K847" i="4"/>
  <c r="F847" i="4"/>
  <c r="I847" i="4"/>
  <c r="G847" i="4"/>
  <c r="E847" i="4"/>
  <c r="C847" i="4"/>
  <c r="L847" i="4"/>
  <c r="H847" i="4"/>
  <c r="M835" i="4"/>
  <c r="J835" i="4"/>
  <c r="D835" i="4"/>
  <c r="E835" i="4"/>
  <c r="B835" i="4"/>
  <c r="L835" i="4"/>
  <c r="H835" i="4"/>
  <c r="I835" i="4"/>
  <c r="F835" i="4"/>
  <c r="G835" i="4"/>
  <c r="C835" i="4"/>
  <c r="K835" i="4"/>
  <c r="M823" i="4"/>
  <c r="I823" i="4"/>
  <c r="G823" i="4"/>
  <c r="F823" i="4"/>
  <c r="E823" i="4"/>
  <c r="C823" i="4"/>
  <c r="L823" i="4"/>
  <c r="K823" i="4"/>
  <c r="J823" i="4"/>
  <c r="H823" i="4"/>
  <c r="D823" i="4"/>
  <c r="B823" i="4"/>
  <c r="M811" i="4"/>
  <c r="I811" i="4"/>
  <c r="G811" i="4"/>
  <c r="F811" i="4"/>
  <c r="E811" i="4"/>
  <c r="C811" i="4"/>
  <c r="L811" i="4"/>
  <c r="J811" i="4"/>
  <c r="D811" i="4"/>
  <c r="B811" i="4"/>
  <c r="H811" i="4"/>
  <c r="M799" i="4"/>
  <c r="K799" i="4"/>
  <c r="G799" i="4"/>
  <c r="F799" i="4"/>
  <c r="E799" i="4"/>
  <c r="J799" i="4"/>
  <c r="I799" i="4"/>
  <c r="H799" i="4"/>
  <c r="C799" i="4"/>
  <c r="D799" i="4"/>
  <c r="B799" i="4"/>
  <c r="L799" i="4"/>
  <c r="M775" i="4"/>
  <c r="K775" i="4"/>
  <c r="G775" i="4"/>
  <c r="H775" i="4"/>
  <c r="F775" i="4"/>
  <c r="E775" i="4"/>
  <c r="L775" i="4"/>
  <c r="D775" i="4"/>
  <c r="B775" i="4"/>
  <c r="J775" i="4"/>
  <c r="I775" i="4"/>
  <c r="C775" i="4"/>
  <c r="M763" i="4"/>
  <c r="G763" i="4"/>
  <c r="H763" i="4"/>
  <c r="B763" i="4"/>
  <c r="K763" i="4"/>
  <c r="F763" i="4"/>
  <c r="C763" i="4"/>
  <c r="E763" i="4"/>
  <c r="D763" i="4"/>
  <c r="L763" i="4"/>
  <c r="J763" i="4"/>
  <c r="I763" i="4"/>
  <c r="M751" i="4"/>
  <c r="E751" i="4"/>
  <c r="L751" i="4"/>
  <c r="K751" i="4"/>
  <c r="H751" i="4"/>
  <c r="F751" i="4"/>
  <c r="D751" i="4"/>
  <c r="J751" i="4"/>
  <c r="I751" i="4"/>
  <c r="G751" i="4"/>
  <c r="C751" i="4"/>
  <c r="B751" i="4"/>
  <c r="M739" i="4"/>
  <c r="E739" i="4"/>
  <c r="L739" i="4"/>
  <c r="K739" i="4"/>
  <c r="D739" i="4"/>
  <c r="I739" i="4"/>
  <c r="H739" i="4"/>
  <c r="G739" i="4"/>
  <c r="F739" i="4"/>
  <c r="C739" i="4"/>
  <c r="B739" i="4"/>
  <c r="J739" i="4"/>
  <c r="M727" i="4"/>
  <c r="E727" i="4"/>
  <c r="L727" i="4"/>
  <c r="K727" i="4"/>
  <c r="H727" i="4"/>
  <c r="D727" i="4"/>
  <c r="J727" i="4"/>
  <c r="C727" i="4"/>
  <c r="B727" i="4"/>
  <c r="G727" i="4"/>
  <c r="I727" i="4"/>
  <c r="F727" i="4"/>
  <c r="M715" i="4"/>
  <c r="E715" i="4"/>
  <c r="K715" i="4"/>
  <c r="F715" i="4"/>
  <c r="B715" i="4"/>
  <c r="J715" i="4"/>
  <c r="I715" i="4"/>
  <c r="G715" i="4"/>
  <c r="D715" i="4"/>
  <c r="C715" i="4"/>
  <c r="H715" i="4"/>
  <c r="M703" i="4"/>
  <c r="E703" i="4"/>
  <c r="K703" i="4"/>
  <c r="H703" i="4"/>
  <c r="D703" i="4"/>
  <c r="L703" i="4"/>
  <c r="B703" i="4"/>
  <c r="J703" i="4"/>
  <c r="I703" i="4"/>
  <c r="C703" i="4"/>
  <c r="G703" i="4"/>
  <c r="F703" i="4"/>
  <c r="M691" i="4"/>
  <c r="E691" i="4"/>
  <c r="K691" i="4"/>
  <c r="G691" i="4"/>
  <c r="H691" i="4"/>
  <c r="F691" i="4"/>
  <c r="D691" i="4"/>
  <c r="I691" i="4"/>
  <c r="L691" i="4"/>
  <c r="J691" i="4"/>
  <c r="C691" i="4"/>
  <c r="B691" i="4"/>
  <c r="M667" i="4"/>
  <c r="I667" i="4"/>
  <c r="D667" i="4"/>
  <c r="C667" i="4"/>
  <c r="L667" i="4"/>
  <c r="K667" i="4"/>
  <c r="F667" i="4"/>
  <c r="B667" i="4"/>
  <c r="J667" i="4"/>
  <c r="H667" i="4"/>
  <c r="M655" i="4"/>
  <c r="I655" i="4"/>
  <c r="D655" i="4"/>
  <c r="C655" i="4"/>
  <c r="J655" i="4"/>
  <c r="G655" i="4"/>
  <c r="H655" i="4"/>
  <c r="B655" i="4"/>
  <c r="E655" i="4"/>
  <c r="L655" i="4"/>
  <c r="M643" i="4"/>
  <c r="I643" i="4"/>
  <c r="D643" i="4"/>
  <c r="C643" i="4"/>
  <c r="E643" i="4"/>
  <c r="B643" i="4"/>
  <c r="K643" i="4"/>
  <c r="L643" i="4"/>
  <c r="J643" i="4"/>
  <c r="H643" i="4"/>
  <c r="F643" i="4"/>
  <c r="M619" i="4"/>
  <c r="I619" i="4"/>
  <c r="C619" i="4"/>
  <c r="K619" i="4"/>
  <c r="J619" i="4"/>
  <c r="H619" i="4"/>
  <c r="G619" i="4"/>
  <c r="D619" i="4"/>
  <c r="L619" i="4"/>
  <c r="E619" i="4"/>
  <c r="B619" i="4"/>
  <c r="M607" i="4"/>
  <c r="I607" i="4"/>
  <c r="C607" i="4"/>
  <c r="B607" i="4"/>
  <c r="L607" i="4"/>
  <c r="K607" i="4"/>
  <c r="J607" i="4"/>
  <c r="F607" i="4"/>
  <c r="E607" i="4"/>
  <c r="D607" i="4"/>
  <c r="M595" i="4"/>
  <c r="D595" i="4"/>
  <c r="C595" i="4"/>
  <c r="B595" i="4"/>
  <c r="J595" i="4"/>
  <c r="H595" i="4"/>
  <c r="E595" i="4"/>
  <c r="L595" i="4"/>
  <c r="M583" i="4"/>
  <c r="D583" i="4"/>
  <c r="J583" i="4"/>
  <c r="I583" i="4"/>
  <c r="F583" i="4"/>
  <c r="E583" i="4"/>
  <c r="C583" i="4"/>
  <c r="B583" i="4"/>
  <c r="M571" i="4"/>
  <c r="D571" i="4"/>
  <c r="J571" i="4"/>
  <c r="L571" i="4"/>
  <c r="H571" i="4"/>
  <c r="G571" i="4"/>
  <c r="F571" i="4"/>
  <c r="E571" i="4"/>
  <c r="B571" i="4"/>
  <c r="M559" i="4"/>
  <c r="I559" i="4"/>
  <c r="F559" i="4"/>
  <c r="E559" i="4"/>
  <c r="D559" i="4"/>
  <c r="C559" i="4"/>
  <c r="L559" i="4"/>
  <c r="M547" i="4"/>
  <c r="I547" i="4"/>
  <c r="F547" i="4"/>
  <c r="E547" i="4"/>
  <c r="D547" i="4"/>
  <c r="C547" i="4"/>
  <c r="L547" i="4"/>
  <c r="M535" i="4"/>
  <c r="F535" i="4"/>
  <c r="E535" i="4"/>
  <c r="D535" i="4"/>
  <c r="L535" i="4"/>
  <c r="M523" i="4"/>
  <c r="F523" i="4"/>
  <c r="E523" i="4"/>
  <c r="D523" i="4"/>
  <c r="L523" i="4"/>
  <c r="M511" i="4"/>
  <c r="F511" i="4"/>
  <c r="E511" i="4"/>
  <c r="D511" i="4"/>
  <c r="L511" i="4"/>
  <c r="D517" i="4"/>
  <c r="D989" i="4"/>
  <c r="C989" i="4"/>
  <c r="M989" i="4"/>
  <c r="L989" i="4"/>
  <c r="J989" i="4"/>
  <c r="I989" i="4"/>
  <c r="H989" i="4"/>
  <c r="F989" i="4"/>
  <c r="E989" i="4"/>
  <c r="K989" i="4"/>
  <c r="B989" i="4"/>
  <c r="G989" i="4"/>
  <c r="D977" i="4"/>
  <c r="C977" i="4"/>
  <c r="M977" i="4"/>
  <c r="L977" i="4"/>
  <c r="J977" i="4"/>
  <c r="I977" i="4"/>
  <c r="H977" i="4"/>
  <c r="F977" i="4"/>
  <c r="E977" i="4"/>
  <c r="G977" i="4"/>
  <c r="B977" i="4"/>
  <c r="K977" i="4"/>
  <c r="D965" i="4"/>
  <c r="M965" i="4"/>
  <c r="L965" i="4"/>
  <c r="J965" i="4"/>
  <c r="I965" i="4"/>
  <c r="F965" i="4"/>
  <c r="K965" i="4"/>
  <c r="C965" i="4"/>
  <c r="H965" i="4"/>
  <c r="E965" i="4"/>
  <c r="G965" i="4"/>
  <c r="B965" i="4"/>
  <c r="M953" i="4"/>
  <c r="L953" i="4"/>
  <c r="E953" i="4"/>
  <c r="D953" i="4"/>
  <c r="J953" i="4"/>
  <c r="G953" i="4"/>
  <c r="C953" i="4"/>
  <c r="I953" i="4"/>
  <c r="K953" i="4"/>
  <c r="H953" i="4"/>
  <c r="F953" i="4"/>
  <c r="B953" i="4"/>
  <c r="M941" i="4"/>
  <c r="E941" i="4"/>
  <c r="D941" i="4"/>
  <c r="L941" i="4"/>
  <c r="J941" i="4"/>
  <c r="G941" i="4"/>
  <c r="C941" i="4"/>
  <c r="I941" i="4"/>
  <c r="F941" i="4"/>
  <c r="H941" i="4"/>
  <c r="K941" i="4"/>
  <c r="B941" i="4"/>
  <c r="M929" i="4"/>
  <c r="E929" i="4"/>
  <c r="L929" i="4"/>
  <c r="J929" i="4"/>
  <c r="K929" i="4"/>
  <c r="F929" i="4"/>
  <c r="C929" i="4"/>
  <c r="H929" i="4"/>
  <c r="D929" i="4"/>
  <c r="G929" i="4"/>
  <c r="I929" i="4"/>
  <c r="B929" i="4"/>
  <c r="M917" i="4"/>
  <c r="E917" i="4"/>
  <c r="L917" i="4"/>
  <c r="J917" i="4"/>
  <c r="I917" i="4"/>
  <c r="G917" i="4"/>
  <c r="H917" i="4"/>
  <c r="D917" i="4"/>
  <c r="B917" i="4"/>
  <c r="K917" i="4"/>
  <c r="C917" i="4"/>
  <c r="F917" i="4"/>
  <c r="M905" i="4"/>
  <c r="E905" i="4"/>
  <c r="J905" i="4"/>
  <c r="I905" i="4"/>
  <c r="G905" i="4"/>
  <c r="L905" i="4"/>
  <c r="F905" i="4"/>
  <c r="C905" i="4"/>
  <c r="H905" i="4"/>
  <c r="B905" i="4"/>
  <c r="K905" i="4"/>
  <c r="D905" i="4"/>
  <c r="M893" i="4"/>
  <c r="E893" i="4"/>
  <c r="J893" i="4"/>
  <c r="B893" i="4"/>
  <c r="L893" i="4"/>
  <c r="I893" i="4"/>
  <c r="H893" i="4"/>
  <c r="D893" i="4"/>
  <c r="G893" i="4"/>
  <c r="C893" i="4"/>
  <c r="K893" i="4"/>
  <c r="F893" i="4"/>
  <c r="M881" i="4"/>
  <c r="H881" i="4"/>
  <c r="D881" i="4"/>
  <c r="B881" i="4"/>
  <c r="F881" i="4"/>
  <c r="J881" i="4"/>
  <c r="K881" i="4"/>
  <c r="E881" i="4"/>
  <c r="G881" i="4"/>
  <c r="C881" i="4"/>
  <c r="L881" i="4"/>
  <c r="I881" i="4"/>
  <c r="M869" i="4"/>
  <c r="H869" i="4"/>
  <c r="D869" i="4"/>
  <c r="B869" i="4"/>
  <c r="J869" i="4"/>
  <c r="F869" i="4"/>
  <c r="C869" i="4"/>
  <c r="K869" i="4"/>
  <c r="G869" i="4"/>
  <c r="E869" i="4"/>
  <c r="L869" i="4"/>
  <c r="I869" i="4"/>
  <c r="M857" i="4"/>
  <c r="H857" i="4"/>
  <c r="B857" i="4"/>
  <c r="G857" i="4"/>
  <c r="D857" i="4"/>
  <c r="K857" i="4"/>
  <c r="I857" i="4"/>
  <c r="E857" i="4"/>
  <c r="C857" i="4"/>
  <c r="L857" i="4"/>
  <c r="J857" i="4"/>
  <c r="F857" i="4"/>
  <c r="M845" i="4"/>
  <c r="H845" i="4"/>
  <c r="B845" i="4"/>
  <c r="J845" i="4"/>
  <c r="D845" i="4"/>
  <c r="K845" i="4"/>
  <c r="G845" i="4"/>
  <c r="F845" i="4"/>
  <c r="E845" i="4"/>
  <c r="L845" i="4"/>
  <c r="I845" i="4"/>
  <c r="C845" i="4"/>
  <c r="M833" i="4"/>
  <c r="H833" i="4"/>
  <c r="B833" i="4"/>
  <c r="L833" i="4"/>
  <c r="J833" i="4"/>
  <c r="I833" i="4"/>
  <c r="G833" i="4"/>
  <c r="E833" i="4"/>
  <c r="C833" i="4"/>
  <c r="D833" i="4"/>
  <c r="K833" i="4"/>
  <c r="F833" i="4"/>
  <c r="M821" i="4"/>
  <c r="G821" i="4"/>
  <c r="E821" i="4"/>
  <c r="D821" i="4"/>
  <c r="C821" i="4"/>
  <c r="J821" i="4"/>
  <c r="K821" i="4"/>
  <c r="I821" i="4"/>
  <c r="H821" i="4"/>
  <c r="L821" i="4"/>
  <c r="F821" i="4"/>
  <c r="M809" i="4"/>
  <c r="G809" i="4"/>
  <c r="E809" i="4"/>
  <c r="D809" i="4"/>
  <c r="C809" i="4"/>
  <c r="J809" i="4"/>
  <c r="K809" i="4"/>
  <c r="H809" i="4"/>
  <c r="F809" i="4"/>
  <c r="I809" i="4"/>
  <c r="B809" i="4"/>
  <c r="L809" i="4"/>
  <c r="M797" i="4"/>
  <c r="K797" i="4"/>
  <c r="I797" i="4"/>
  <c r="E797" i="4"/>
  <c r="D797" i="4"/>
  <c r="C797" i="4"/>
  <c r="L797" i="4"/>
  <c r="J797" i="4"/>
  <c r="H797" i="4"/>
  <c r="F797" i="4"/>
  <c r="B797" i="4"/>
  <c r="M785" i="4"/>
  <c r="K785" i="4"/>
  <c r="I785" i="4"/>
  <c r="E785" i="4"/>
  <c r="D785" i="4"/>
  <c r="L785" i="4"/>
  <c r="F785" i="4"/>
  <c r="C785" i="4"/>
  <c r="B785" i="4"/>
  <c r="J785" i="4"/>
  <c r="H785" i="4"/>
  <c r="G785" i="4"/>
  <c r="M773" i="4"/>
  <c r="K773" i="4"/>
  <c r="I773" i="4"/>
  <c r="E773" i="4"/>
  <c r="C773" i="4"/>
  <c r="L773" i="4"/>
  <c r="H773" i="4"/>
  <c r="D773" i="4"/>
  <c r="F773" i="4"/>
  <c r="B773" i="4"/>
  <c r="J773" i="4"/>
  <c r="G773" i="4"/>
  <c r="M761" i="4"/>
  <c r="K761" i="4"/>
  <c r="E761" i="4"/>
  <c r="I761" i="4"/>
  <c r="H761" i="4"/>
  <c r="J761" i="4"/>
  <c r="D761" i="4"/>
  <c r="B761" i="4"/>
  <c r="G761" i="4"/>
  <c r="F761" i="4"/>
  <c r="L761" i="4"/>
  <c r="C761" i="4"/>
  <c r="M749" i="4"/>
  <c r="C749" i="4"/>
  <c r="J749" i="4"/>
  <c r="I749" i="4"/>
  <c r="F749" i="4"/>
  <c r="B749" i="4"/>
  <c r="L749" i="4"/>
  <c r="K749" i="4"/>
  <c r="G749" i="4"/>
  <c r="E749" i="4"/>
  <c r="D749" i="4"/>
  <c r="H749" i="4"/>
  <c r="M737" i="4"/>
  <c r="C737" i="4"/>
  <c r="J737" i="4"/>
  <c r="I737" i="4"/>
  <c r="K737" i="4"/>
  <c r="F737" i="4"/>
  <c r="B737" i="4"/>
  <c r="L737" i="4"/>
  <c r="D737" i="4"/>
  <c r="E737" i="4"/>
  <c r="M725" i="4"/>
  <c r="C725" i="4"/>
  <c r="J725" i="4"/>
  <c r="I725" i="4"/>
  <c r="K725" i="4"/>
  <c r="F725" i="4"/>
  <c r="D725" i="4"/>
  <c r="B725" i="4"/>
  <c r="H725" i="4"/>
  <c r="G725" i="4"/>
  <c r="L725" i="4"/>
  <c r="E725" i="4"/>
  <c r="M713" i="4"/>
  <c r="C713" i="4"/>
  <c r="I713" i="4"/>
  <c r="J713" i="4"/>
  <c r="F713" i="4"/>
  <c r="D713" i="4"/>
  <c r="B713" i="4"/>
  <c r="L713" i="4"/>
  <c r="E713" i="4"/>
  <c r="K713" i="4"/>
  <c r="H713" i="4"/>
  <c r="M701" i="4"/>
  <c r="C701" i="4"/>
  <c r="I701" i="4"/>
  <c r="L701" i="4"/>
  <c r="F701" i="4"/>
  <c r="E701" i="4"/>
  <c r="K701" i="4"/>
  <c r="J701" i="4"/>
  <c r="D701" i="4"/>
  <c r="G701" i="4"/>
  <c r="B701" i="4"/>
  <c r="M689" i="4"/>
  <c r="C689" i="4"/>
  <c r="I689" i="4"/>
  <c r="H689" i="4"/>
  <c r="G689" i="4"/>
  <c r="K689" i="4"/>
  <c r="J689" i="4"/>
  <c r="F689" i="4"/>
  <c r="D689" i="4"/>
  <c r="E689" i="4"/>
  <c r="B689" i="4"/>
  <c r="M677" i="4"/>
  <c r="G677" i="4"/>
  <c r="B677" i="4"/>
  <c r="L677" i="4"/>
  <c r="H677" i="4"/>
  <c r="F677" i="4"/>
  <c r="E677" i="4"/>
  <c r="I677" i="4"/>
  <c r="D677" i="4"/>
  <c r="C677" i="4"/>
  <c r="J677" i="4"/>
  <c r="M665" i="4"/>
  <c r="G665" i="4"/>
  <c r="B665" i="4"/>
  <c r="C665" i="4"/>
  <c r="K665" i="4"/>
  <c r="I665" i="4"/>
  <c r="L665" i="4"/>
  <c r="J665" i="4"/>
  <c r="H665" i="4"/>
  <c r="F665" i="4"/>
  <c r="D665" i="4"/>
  <c r="M653" i="4"/>
  <c r="G653" i="4"/>
  <c r="B653" i="4"/>
  <c r="F653" i="4"/>
  <c r="E653" i="4"/>
  <c r="L653" i="4"/>
  <c r="H653" i="4"/>
  <c r="K653" i="4"/>
  <c r="J653" i="4"/>
  <c r="I653" i="4"/>
  <c r="D653" i="4"/>
  <c r="C653" i="4"/>
  <c r="M641" i="4"/>
  <c r="G641" i="4"/>
  <c r="B641" i="4"/>
  <c r="J641" i="4"/>
  <c r="I641" i="4"/>
  <c r="D641" i="4"/>
  <c r="L641" i="4"/>
  <c r="K641" i="4"/>
  <c r="H641" i="4"/>
  <c r="F641" i="4"/>
  <c r="M629" i="4"/>
  <c r="G629" i="4"/>
  <c r="E629" i="4"/>
  <c r="B629" i="4"/>
  <c r="L629" i="4"/>
  <c r="I629" i="4"/>
  <c r="C629" i="4"/>
  <c r="J629" i="4"/>
  <c r="H629" i="4"/>
  <c r="M617" i="4"/>
  <c r="G617" i="4"/>
  <c r="H617" i="4"/>
  <c r="D617" i="4"/>
  <c r="C617" i="4"/>
  <c r="B617" i="4"/>
  <c r="K617" i="4"/>
  <c r="J617" i="4"/>
  <c r="I617" i="4"/>
  <c r="F617" i="4"/>
  <c r="E617" i="4"/>
  <c r="M605" i="4"/>
  <c r="G605" i="4"/>
  <c r="J605" i="4"/>
  <c r="F605" i="4"/>
  <c r="E605" i="4"/>
  <c r="D605" i="4"/>
  <c r="C605" i="4"/>
  <c r="H605" i="4"/>
  <c r="L605" i="4"/>
  <c r="M593" i="4"/>
  <c r="B593" i="4"/>
  <c r="L593" i="4"/>
  <c r="H593" i="4"/>
  <c r="K593" i="4"/>
  <c r="G593" i="4"/>
  <c r="F593" i="4"/>
  <c r="E593" i="4"/>
  <c r="D593" i="4"/>
  <c r="M581" i="4"/>
  <c r="B581" i="4"/>
  <c r="H581" i="4"/>
  <c r="C581" i="4"/>
  <c r="L581" i="4"/>
  <c r="K581" i="4"/>
  <c r="J581" i="4"/>
  <c r="G581" i="4"/>
  <c r="F581" i="4"/>
  <c r="M569" i="4"/>
  <c r="B569" i="4"/>
  <c r="H569" i="4"/>
  <c r="E569" i="4"/>
  <c r="L569" i="4"/>
  <c r="J569" i="4"/>
  <c r="I569" i="4"/>
  <c r="M557" i="4"/>
  <c r="G557" i="4"/>
  <c r="D557" i="4"/>
  <c r="C557" i="4"/>
  <c r="B557" i="4"/>
  <c r="K557" i="4"/>
  <c r="J557" i="4"/>
  <c r="M545" i="4"/>
  <c r="G545" i="4"/>
  <c r="D545" i="4"/>
  <c r="C545" i="4"/>
  <c r="B545" i="4"/>
  <c r="K545" i="4"/>
  <c r="J545" i="4"/>
  <c r="M533" i="4"/>
  <c r="D533" i="4"/>
  <c r="C533" i="4"/>
  <c r="B533" i="4"/>
  <c r="K533" i="4"/>
  <c r="J533" i="4"/>
  <c r="M521" i="4"/>
  <c r="D521" i="4"/>
  <c r="C521" i="4"/>
  <c r="B521" i="4"/>
  <c r="K521" i="4"/>
  <c r="J521" i="4"/>
  <c r="M509" i="4"/>
  <c r="D509" i="4"/>
  <c r="C509" i="4"/>
  <c r="B509" i="4"/>
  <c r="K509" i="4"/>
  <c r="J509" i="4"/>
  <c r="J502" i="4"/>
  <c r="G504" i="4"/>
  <c r="E506" i="4"/>
  <c r="E508" i="4"/>
  <c r="B510" i="4"/>
  <c r="K511" i="4"/>
  <c r="K513" i="4"/>
  <c r="K515" i="4"/>
  <c r="H517" i="4"/>
  <c r="F519" i="4"/>
  <c r="F521" i="4"/>
  <c r="C523" i="4"/>
  <c r="L524" i="4"/>
  <c r="L526" i="4"/>
  <c r="I530" i="4"/>
  <c r="G532" i="4"/>
  <c r="G534" i="4"/>
  <c r="D536" i="4"/>
  <c r="B538" i="4"/>
  <c r="B540" i="4"/>
  <c r="B542" i="4"/>
  <c r="E544" i="4"/>
  <c r="J546" i="4"/>
  <c r="I549" i="4"/>
  <c r="C552" i="4"/>
  <c r="F557" i="4"/>
  <c r="K559" i="4"/>
  <c r="J562" i="4"/>
  <c r="G565" i="4"/>
  <c r="K571" i="4"/>
  <c r="J574" i="4"/>
  <c r="D578" i="4"/>
  <c r="D581" i="4"/>
  <c r="D584" i="4"/>
  <c r="C591" i="4"/>
  <c r="F595" i="4"/>
  <c r="F599" i="4"/>
  <c r="D604" i="4"/>
  <c r="D610" i="4"/>
  <c r="E616" i="4"/>
  <c r="D623" i="4"/>
  <c r="D629" i="4"/>
  <c r="I645" i="4"/>
  <c r="K655" i="4"/>
  <c r="E667" i="4"/>
  <c r="K677" i="4"/>
  <c r="L689" i="4"/>
  <c r="I705" i="4"/>
  <c r="B746" i="4"/>
  <c r="I767" i="4"/>
  <c r="I800" i="4"/>
  <c r="J526" i="4"/>
  <c r="K502" i="4"/>
  <c r="H504" i="4"/>
  <c r="F506" i="4"/>
  <c r="F508" i="4"/>
  <c r="F510" i="4"/>
  <c r="C512" i="4"/>
  <c r="L513" i="4"/>
  <c r="I517" i="4"/>
  <c r="G521" i="4"/>
  <c r="G523" i="4"/>
  <c r="D525" i="4"/>
  <c r="B527" i="4"/>
  <c r="H532" i="4"/>
  <c r="H534" i="4"/>
  <c r="H536" i="4"/>
  <c r="E538" i="4"/>
  <c r="C540" i="4"/>
  <c r="C542" i="4"/>
  <c r="B547" i="4"/>
  <c r="J549" i="4"/>
  <c r="D552" i="4"/>
  <c r="H557" i="4"/>
  <c r="C560" i="4"/>
  <c r="K562" i="4"/>
  <c r="C569" i="4"/>
  <c r="B572" i="4"/>
  <c r="C575" i="4"/>
  <c r="F578" i="4"/>
  <c r="E581" i="4"/>
  <c r="J584" i="4"/>
  <c r="B588" i="4"/>
  <c r="G595" i="4"/>
  <c r="I599" i="4"/>
  <c r="K610" i="4"/>
  <c r="E623" i="4"/>
  <c r="F629" i="4"/>
  <c r="I646" i="4"/>
  <c r="H656" i="4"/>
  <c r="G667" i="4"/>
  <c r="F678" i="4"/>
  <c r="H692" i="4"/>
  <c r="H707" i="4"/>
  <c r="K811" i="4"/>
  <c r="L997" i="4"/>
  <c r="K997" i="4"/>
  <c r="J997" i="4"/>
  <c r="H997" i="4"/>
  <c r="F997" i="4"/>
  <c r="E997" i="4"/>
  <c r="D997" i="4"/>
  <c r="C997" i="4"/>
  <c r="M997" i="4"/>
  <c r="B997" i="4"/>
  <c r="G997" i="4"/>
  <c r="I997" i="4"/>
  <c r="M937" i="4"/>
  <c r="L937" i="4"/>
  <c r="H937" i="4"/>
  <c r="F937" i="4"/>
  <c r="C937" i="4"/>
  <c r="K937" i="4"/>
  <c r="J937" i="4"/>
  <c r="E937" i="4"/>
  <c r="B937" i="4"/>
  <c r="I937" i="4"/>
  <c r="D937" i="4"/>
  <c r="G937" i="4"/>
  <c r="M889" i="4"/>
  <c r="D889" i="4"/>
  <c r="L889" i="4"/>
  <c r="J889" i="4"/>
  <c r="I889" i="4"/>
  <c r="G889" i="4"/>
  <c r="B889" i="4"/>
  <c r="F889" i="4"/>
  <c r="C889" i="4"/>
  <c r="H889" i="4"/>
  <c r="K889" i="4"/>
  <c r="E889" i="4"/>
  <c r="M865" i="4"/>
  <c r="D865" i="4"/>
  <c r="L865" i="4"/>
  <c r="J865" i="4"/>
  <c r="F865" i="4"/>
  <c r="B865" i="4"/>
  <c r="I865" i="4"/>
  <c r="G865" i="4"/>
  <c r="C865" i="4"/>
  <c r="K865" i="4"/>
  <c r="H865" i="4"/>
  <c r="E865" i="4"/>
  <c r="M805" i="4"/>
  <c r="C805" i="4"/>
  <c r="L805" i="4"/>
  <c r="K805" i="4"/>
  <c r="I805" i="4"/>
  <c r="F805" i="4"/>
  <c r="H805" i="4"/>
  <c r="E805" i="4"/>
  <c r="D805" i="4"/>
  <c r="G805" i="4"/>
  <c r="J805" i="4"/>
  <c r="B805" i="4"/>
  <c r="M721" i="4"/>
  <c r="K721" i="4"/>
  <c r="E721" i="4"/>
  <c r="L721" i="4"/>
  <c r="H721" i="4"/>
  <c r="D721" i="4"/>
  <c r="B721" i="4"/>
  <c r="J721" i="4"/>
  <c r="I721" i="4"/>
  <c r="G721" i="4"/>
  <c r="F721" i="4"/>
  <c r="M673" i="4"/>
  <c r="C673" i="4"/>
  <c r="J673" i="4"/>
  <c r="I673" i="4"/>
  <c r="K673" i="4"/>
  <c r="H673" i="4"/>
  <c r="D673" i="4"/>
  <c r="B673" i="4"/>
  <c r="E673" i="4"/>
  <c r="L673" i="4"/>
  <c r="G673" i="4"/>
  <c r="M637" i="4"/>
  <c r="C637" i="4"/>
  <c r="J637" i="4"/>
  <c r="I637" i="4"/>
  <c r="F637" i="4"/>
  <c r="H637" i="4"/>
  <c r="G637" i="4"/>
  <c r="E637" i="4"/>
  <c r="D637" i="4"/>
  <c r="K637" i="4"/>
  <c r="M565" i="4"/>
  <c r="J565" i="4"/>
  <c r="D565" i="4"/>
  <c r="F565" i="4"/>
  <c r="B565" i="4"/>
  <c r="K565" i="4"/>
  <c r="I565" i="4"/>
  <c r="M529" i="4"/>
  <c r="L529" i="4"/>
  <c r="K529" i="4"/>
  <c r="J529" i="4"/>
  <c r="G529" i="4"/>
  <c r="F529" i="4"/>
  <c r="J995" i="4"/>
  <c r="I995" i="4"/>
  <c r="H995" i="4"/>
  <c r="F995" i="4"/>
  <c r="D995" i="4"/>
  <c r="C995" i="4"/>
  <c r="M995" i="4"/>
  <c r="B995" i="4"/>
  <c r="L995" i="4"/>
  <c r="E995" i="4"/>
  <c r="K995" i="4"/>
  <c r="G995" i="4"/>
  <c r="M899" i="4"/>
  <c r="K899" i="4"/>
  <c r="D899" i="4"/>
  <c r="H899" i="4"/>
  <c r="C899" i="4"/>
  <c r="L899" i="4"/>
  <c r="I899" i="4"/>
  <c r="F899" i="4"/>
  <c r="G899" i="4"/>
  <c r="B899" i="4"/>
  <c r="J899" i="4"/>
  <c r="E899" i="4"/>
  <c r="M731" i="4"/>
  <c r="I731" i="4"/>
  <c r="D731" i="4"/>
  <c r="C731" i="4"/>
  <c r="L731" i="4"/>
  <c r="H731" i="4"/>
  <c r="E731" i="4"/>
  <c r="K731" i="4"/>
  <c r="J731" i="4"/>
  <c r="G731" i="4"/>
  <c r="B731" i="4"/>
  <c r="M787" i="4"/>
  <c r="K787" i="4"/>
  <c r="G787" i="4"/>
  <c r="F787" i="4"/>
  <c r="H787" i="4"/>
  <c r="B787" i="4"/>
  <c r="I787" i="4"/>
  <c r="C787" i="4"/>
  <c r="E787" i="4"/>
  <c r="D787" i="4"/>
  <c r="L787" i="4"/>
  <c r="J787" i="4"/>
  <c r="K539" i="4"/>
  <c r="C988" i="4"/>
  <c r="M988" i="4"/>
  <c r="B988" i="4"/>
  <c r="K988" i="4"/>
  <c r="I988" i="4"/>
  <c r="H988" i="4"/>
  <c r="G988" i="4"/>
  <c r="E988" i="4"/>
  <c r="L988" i="4"/>
  <c r="J988" i="4"/>
  <c r="F988" i="4"/>
  <c r="D988" i="4"/>
  <c r="C964" i="4"/>
  <c r="M964" i="4"/>
  <c r="K964" i="4"/>
  <c r="I964" i="4"/>
  <c r="H964" i="4"/>
  <c r="E964" i="4"/>
  <c r="B964" i="4"/>
  <c r="L964" i="4"/>
  <c r="F964" i="4"/>
  <c r="J964" i="4"/>
  <c r="G964" i="4"/>
  <c r="D964" i="4"/>
  <c r="M940" i="4"/>
  <c r="D940" i="4"/>
  <c r="C940" i="4"/>
  <c r="K940" i="4"/>
  <c r="I940" i="4"/>
  <c r="F940" i="4"/>
  <c r="B940" i="4"/>
  <c r="L940" i="4"/>
  <c r="H940" i="4"/>
  <c r="G940" i="4"/>
  <c r="J940" i="4"/>
  <c r="E940" i="4"/>
  <c r="M916" i="4"/>
  <c r="D916" i="4"/>
  <c r="K916" i="4"/>
  <c r="I916" i="4"/>
  <c r="J916" i="4"/>
  <c r="E916" i="4"/>
  <c r="B916" i="4"/>
  <c r="G916" i="4"/>
  <c r="C916" i="4"/>
  <c r="L916" i="4"/>
  <c r="H916" i="4"/>
  <c r="F916" i="4"/>
  <c r="M904" i="4"/>
  <c r="D904" i="4"/>
  <c r="I904" i="4"/>
  <c r="K904" i="4"/>
  <c r="F904" i="4"/>
  <c r="C904" i="4"/>
  <c r="B904" i="4"/>
  <c r="L904" i="4"/>
  <c r="H904" i="4"/>
  <c r="J904" i="4"/>
  <c r="G904" i="4"/>
  <c r="E904" i="4"/>
  <c r="M880" i="4"/>
  <c r="G880" i="4"/>
  <c r="C880" i="4"/>
  <c r="L880" i="4"/>
  <c r="J880" i="4"/>
  <c r="E880" i="4"/>
  <c r="I880" i="4"/>
  <c r="F880" i="4"/>
  <c r="D880" i="4"/>
  <c r="B880" i="4"/>
  <c r="K880" i="4"/>
  <c r="H880" i="4"/>
  <c r="M856" i="4"/>
  <c r="G856" i="4"/>
  <c r="D856" i="4"/>
  <c r="L856" i="4"/>
  <c r="H856" i="4"/>
  <c r="K856" i="4"/>
  <c r="I856" i="4"/>
  <c r="C856" i="4"/>
  <c r="E856" i="4"/>
  <c r="J856" i="4"/>
  <c r="F856" i="4"/>
  <c r="B856" i="4"/>
  <c r="M832" i="4"/>
  <c r="G832" i="4"/>
  <c r="I832" i="4"/>
  <c r="F832" i="4"/>
  <c r="E832" i="4"/>
  <c r="D832" i="4"/>
  <c r="B832" i="4"/>
  <c r="L832" i="4"/>
  <c r="J832" i="4"/>
  <c r="H832" i="4"/>
  <c r="C832" i="4"/>
  <c r="K832" i="4"/>
  <c r="M808" i="4"/>
  <c r="F808" i="4"/>
  <c r="D808" i="4"/>
  <c r="C808" i="4"/>
  <c r="B808" i="4"/>
  <c r="L808" i="4"/>
  <c r="I808" i="4"/>
  <c r="J808" i="4"/>
  <c r="H808" i="4"/>
  <c r="G808" i="4"/>
  <c r="K808" i="4"/>
  <c r="E808" i="4"/>
  <c r="M784" i="4"/>
  <c r="J784" i="4"/>
  <c r="H784" i="4"/>
  <c r="D784" i="4"/>
  <c r="C784" i="4"/>
  <c r="E784" i="4"/>
  <c r="L784" i="4"/>
  <c r="G784" i="4"/>
  <c r="B784" i="4"/>
  <c r="K784" i="4"/>
  <c r="I784" i="4"/>
  <c r="M760" i="4"/>
  <c r="J760" i="4"/>
  <c r="D760" i="4"/>
  <c r="L760" i="4"/>
  <c r="F760" i="4"/>
  <c r="E760" i="4"/>
  <c r="G760" i="4"/>
  <c r="K760" i="4"/>
  <c r="C760" i="4"/>
  <c r="B760" i="4"/>
  <c r="I760" i="4"/>
  <c r="H760" i="4"/>
  <c r="M736" i="4"/>
  <c r="B736" i="4"/>
  <c r="I736" i="4"/>
  <c r="H736" i="4"/>
  <c r="E736" i="4"/>
  <c r="K736" i="4"/>
  <c r="J736" i="4"/>
  <c r="L736" i="4"/>
  <c r="G736" i="4"/>
  <c r="C736" i="4"/>
  <c r="F736" i="4"/>
  <c r="D736" i="4"/>
  <c r="M712" i="4"/>
  <c r="B712" i="4"/>
  <c r="H712" i="4"/>
  <c r="J712" i="4"/>
  <c r="F712" i="4"/>
  <c r="C712" i="4"/>
  <c r="L712" i="4"/>
  <c r="K712" i="4"/>
  <c r="G712" i="4"/>
  <c r="E712" i="4"/>
  <c r="D712" i="4"/>
  <c r="M688" i="4"/>
  <c r="B688" i="4"/>
  <c r="H688" i="4"/>
  <c r="K688" i="4"/>
  <c r="E688" i="4"/>
  <c r="D688" i="4"/>
  <c r="J688" i="4"/>
  <c r="I688" i="4"/>
  <c r="G688" i="4"/>
  <c r="C688" i="4"/>
  <c r="M664" i="4"/>
  <c r="F664" i="4"/>
  <c r="L664" i="4"/>
  <c r="K664" i="4"/>
  <c r="G664" i="4"/>
  <c r="D664" i="4"/>
  <c r="E664" i="4"/>
  <c r="J664" i="4"/>
  <c r="B664" i="4"/>
  <c r="I664" i="4"/>
  <c r="M640" i="4"/>
  <c r="F640" i="4"/>
  <c r="L640" i="4"/>
  <c r="E640" i="4"/>
  <c r="D640" i="4"/>
  <c r="K640" i="4"/>
  <c r="G640" i="4"/>
  <c r="J640" i="4"/>
  <c r="I640" i="4"/>
  <c r="H640" i="4"/>
  <c r="C640" i="4"/>
  <c r="B640" i="4"/>
  <c r="M616" i="4"/>
  <c r="F616" i="4"/>
  <c r="L616" i="4"/>
  <c r="D616" i="4"/>
  <c r="K616" i="4"/>
  <c r="H616" i="4"/>
  <c r="B616" i="4"/>
  <c r="I616" i="4"/>
  <c r="G616" i="4"/>
  <c r="M592" i="4"/>
  <c r="L592" i="4"/>
  <c r="K592" i="4"/>
  <c r="G592" i="4"/>
  <c r="E592" i="4"/>
  <c r="B592" i="4"/>
  <c r="J592" i="4"/>
  <c r="I592" i="4"/>
  <c r="M568" i="4"/>
  <c r="G568" i="4"/>
  <c r="B568" i="4"/>
  <c r="L568" i="4"/>
  <c r="K568" i="4"/>
  <c r="J568" i="4"/>
  <c r="I568" i="4"/>
  <c r="F568" i="4"/>
  <c r="E568" i="4"/>
  <c r="M544" i="4"/>
  <c r="F544" i="4"/>
  <c r="C544" i="4"/>
  <c r="B544" i="4"/>
  <c r="L544" i="4"/>
  <c r="J544" i="4"/>
  <c r="I544" i="4"/>
  <c r="M520" i="4"/>
  <c r="C520" i="4"/>
  <c r="B520" i="4"/>
  <c r="J520" i="4"/>
  <c r="I520" i="4"/>
  <c r="M999" i="4"/>
  <c r="B999" i="4"/>
  <c r="L999" i="4"/>
  <c r="J999" i="4"/>
  <c r="H999" i="4"/>
  <c r="G999" i="4"/>
  <c r="F999" i="4"/>
  <c r="E999" i="4"/>
  <c r="D999" i="4"/>
  <c r="I999" i="4"/>
  <c r="C999" i="4"/>
  <c r="K999" i="4"/>
  <c r="M987" i="4"/>
  <c r="B987" i="4"/>
  <c r="J987" i="4"/>
  <c r="H987" i="4"/>
  <c r="G987" i="4"/>
  <c r="F987" i="4"/>
  <c r="D987" i="4"/>
  <c r="K987" i="4"/>
  <c r="E987" i="4"/>
  <c r="C987" i="4"/>
  <c r="L987" i="4"/>
  <c r="I987" i="4"/>
  <c r="M975" i="4"/>
  <c r="B975" i="4"/>
  <c r="J975" i="4"/>
  <c r="H975" i="4"/>
  <c r="G975" i="4"/>
  <c r="F975" i="4"/>
  <c r="D975" i="4"/>
  <c r="K975" i="4"/>
  <c r="I975" i="4"/>
  <c r="L975" i="4"/>
  <c r="C975" i="4"/>
  <c r="E975" i="4"/>
  <c r="M963" i="4"/>
  <c r="B963" i="4"/>
  <c r="J963" i="4"/>
  <c r="H963" i="4"/>
  <c r="G963" i="4"/>
  <c r="D963" i="4"/>
  <c r="L963" i="4"/>
  <c r="E963" i="4"/>
  <c r="F963" i="4"/>
  <c r="K963" i="4"/>
  <c r="C963" i="4"/>
  <c r="I963" i="4"/>
  <c r="M951" i="4"/>
  <c r="C951" i="4"/>
  <c r="B951" i="4"/>
  <c r="J951" i="4"/>
  <c r="H951" i="4"/>
  <c r="K951" i="4"/>
  <c r="E951" i="4"/>
  <c r="L951" i="4"/>
  <c r="G951" i="4"/>
  <c r="I951" i="4"/>
  <c r="F951" i="4"/>
  <c r="D951" i="4"/>
  <c r="M939" i="4"/>
  <c r="C939" i="4"/>
  <c r="B939" i="4"/>
  <c r="J939" i="4"/>
  <c r="H939" i="4"/>
  <c r="K939" i="4"/>
  <c r="G939" i="4"/>
  <c r="F939" i="4"/>
  <c r="D939" i="4"/>
  <c r="I939" i="4"/>
  <c r="L939" i="4"/>
  <c r="E939" i="4"/>
  <c r="M927" i="4"/>
  <c r="C927" i="4"/>
  <c r="J927" i="4"/>
  <c r="H927" i="4"/>
  <c r="L927" i="4"/>
  <c r="I927" i="4"/>
  <c r="G927" i="4"/>
  <c r="E927" i="4"/>
  <c r="B927" i="4"/>
  <c r="K927" i="4"/>
  <c r="D927" i="4"/>
  <c r="F927" i="4"/>
  <c r="M915" i="4"/>
  <c r="C915" i="4"/>
  <c r="J915" i="4"/>
  <c r="H915" i="4"/>
  <c r="E915" i="4"/>
  <c r="L915" i="4"/>
  <c r="I915" i="4"/>
  <c r="F915" i="4"/>
  <c r="B915" i="4"/>
  <c r="G915" i="4"/>
  <c r="D915" i="4"/>
  <c r="K915" i="4"/>
  <c r="M903" i="4"/>
  <c r="C903" i="4"/>
  <c r="H903" i="4"/>
  <c r="G903" i="4"/>
  <c r="B903" i="4"/>
  <c r="J903" i="4"/>
  <c r="F903" i="4"/>
  <c r="D903" i="4"/>
  <c r="L903" i="4"/>
  <c r="I903" i="4"/>
  <c r="E903" i="4"/>
  <c r="K903" i="4"/>
  <c r="M891" i="4"/>
  <c r="C891" i="4"/>
  <c r="H891" i="4"/>
  <c r="J891" i="4"/>
  <c r="E891" i="4"/>
  <c r="B891" i="4"/>
  <c r="L891" i="4"/>
  <c r="G891" i="4"/>
  <c r="D891" i="4"/>
  <c r="I891" i="4"/>
  <c r="F891" i="4"/>
  <c r="K891" i="4"/>
  <c r="M879" i="4"/>
  <c r="F879" i="4"/>
  <c r="B879" i="4"/>
  <c r="L879" i="4"/>
  <c r="K879" i="4"/>
  <c r="H879" i="4"/>
  <c r="E879" i="4"/>
  <c r="I879" i="4"/>
  <c r="C879" i="4"/>
  <c r="D879" i="4"/>
  <c r="J879" i="4"/>
  <c r="G879" i="4"/>
  <c r="M867" i="4"/>
  <c r="F867" i="4"/>
  <c r="B867" i="4"/>
  <c r="L867" i="4"/>
  <c r="K867" i="4"/>
  <c r="I867" i="4"/>
  <c r="D867" i="4"/>
  <c r="H867" i="4"/>
  <c r="E867" i="4"/>
  <c r="C867" i="4"/>
  <c r="J867" i="4"/>
  <c r="G867" i="4"/>
  <c r="M855" i="4"/>
  <c r="F855" i="4"/>
  <c r="L855" i="4"/>
  <c r="K855" i="4"/>
  <c r="I855" i="4"/>
  <c r="D855" i="4"/>
  <c r="H855" i="4"/>
  <c r="E855" i="4"/>
  <c r="C855" i="4"/>
  <c r="B855" i="4"/>
  <c r="J855" i="4"/>
  <c r="M843" i="4"/>
  <c r="F843" i="4"/>
  <c r="L843" i="4"/>
  <c r="C843" i="4"/>
  <c r="K843" i="4"/>
  <c r="J843" i="4"/>
  <c r="I843" i="4"/>
  <c r="G843" i="4"/>
  <c r="B843" i="4"/>
  <c r="D843" i="4"/>
  <c r="H843" i="4"/>
  <c r="E843" i="4"/>
  <c r="M831" i="4"/>
  <c r="F831" i="4"/>
  <c r="L831" i="4"/>
  <c r="E831" i="4"/>
  <c r="C831" i="4"/>
  <c r="B831" i="4"/>
  <c r="I831" i="4"/>
  <c r="J831" i="4"/>
  <c r="H831" i="4"/>
  <c r="G831" i="4"/>
  <c r="K831" i="4"/>
  <c r="M819" i="4"/>
  <c r="E819" i="4"/>
  <c r="C819" i="4"/>
  <c r="B819" i="4"/>
  <c r="K819" i="4"/>
  <c r="H819" i="4"/>
  <c r="I819" i="4"/>
  <c r="G819" i="4"/>
  <c r="F819" i="4"/>
  <c r="L819" i="4"/>
  <c r="J819" i="4"/>
  <c r="D819" i="4"/>
  <c r="M807" i="4"/>
  <c r="E807" i="4"/>
  <c r="C807" i="4"/>
  <c r="B807" i="4"/>
  <c r="K807" i="4"/>
  <c r="H807" i="4"/>
  <c r="I807" i="4"/>
  <c r="F807" i="4"/>
  <c r="G807" i="4"/>
  <c r="D807" i="4"/>
  <c r="L807" i="4"/>
  <c r="J807" i="4"/>
  <c r="M795" i="4"/>
  <c r="I795" i="4"/>
  <c r="G795" i="4"/>
  <c r="C795" i="4"/>
  <c r="B795" i="4"/>
  <c r="L795" i="4"/>
  <c r="K795" i="4"/>
  <c r="J795" i="4"/>
  <c r="H795" i="4"/>
  <c r="D795" i="4"/>
  <c r="E795" i="4"/>
  <c r="F795" i="4"/>
  <c r="M783" i="4"/>
  <c r="I783" i="4"/>
  <c r="G783" i="4"/>
  <c r="C783" i="4"/>
  <c r="B783" i="4"/>
  <c r="J783" i="4"/>
  <c r="H783" i="4"/>
  <c r="F783" i="4"/>
  <c r="D783" i="4"/>
  <c r="L783" i="4"/>
  <c r="E783" i="4"/>
  <c r="K783" i="4"/>
  <c r="M771" i="4"/>
  <c r="I771" i="4"/>
  <c r="G771" i="4"/>
  <c r="C771" i="4"/>
  <c r="J771" i="4"/>
  <c r="D771" i="4"/>
  <c r="B771" i="4"/>
  <c r="H771" i="4"/>
  <c r="E771" i="4"/>
  <c r="L771" i="4"/>
  <c r="K771" i="4"/>
  <c r="F771" i="4"/>
  <c r="M759" i="4"/>
  <c r="I759" i="4"/>
  <c r="C759" i="4"/>
  <c r="H759" i="4"/>
  <c r="B759" i="4"/>
  <c r="L759" i="4"/>
  <c r="G759" i="4"/>
  <c r="E759" i="4"/>
  <c r="D759" i="4"/>
  <c r="K759" i="4"/>
  <c r="F759" i="4"/>
  <c r="M747" i="4"/>
  <c r="H747" i="4"/>
  <c r="G747" i="4"/>
  <c r="L747" i="4"/>
  <c r="I747" i="4"/>
  <c r="D747" i="4"/>
  <c r="B747" i="4"/>
  <c r="K747" i="4"/>
  <c r="C747" i="4"/>
  <c r="J747" i="4"/>
  <c r="F747" i="4"/>
  <c r="E747" i="4"/>
  <c r="M735" i="4"/>
  <c r="H735" i="4"/>
  <c r="G735" i="4"/>
  <c r="L735" i="4"/>
  <c r="I735" i="4"/>
  <c r="E735" i="4"/>
  <c r="D735" i="4"/>
  <c r="J735" i="4"/>
  <c r="F735" i="4"/>
  <c r="B735" i="4"/>
  <c r="K735" i="4"/>
  <c r="C735" i="4"/>
  <c r="M723" i="4"/>
  <c r="H723" i="4"/>
  <c r="G723" i="4"/>
  <c r="D723" i="4"/>
  <c r="L723" i="4"/>
  <c r="J723" i="4"/>
  <c r="I723" i="4"/>
  <c r="C723" i="4"/>
  <c r="B723" i="4"/>
  <c r="E723" i="4"/>
  <c r="K723" i="4"/>
  <c r="M711" i="4"/>
  <c r="G711" i="4"/>
  <c r="F711" i="4"/>
  <c r="C711" i="4"/>
  <c r="K711" i="4"/>
  <c r="J711" i="4"/>
  <c r="L711" i="4"/>
  <c r="I711" i="4"/>
  <c r="B711" i="4"/>
  <c r="H711" i="4"/>
  <c r="E711" i="4"/>
  <c r="D711" i="4"/>
  <c r="M699" i="4"/>
  <c r="G699" i="4"/>
  <c r="E699" i="4"/>
  <c r="L699" i="4"/>
  <c r="D699" i="4"/>
  <c r="C699" i="4"/>
  <c r="K699" i="4"/>
  <c r="I699" i="4"/>
  <c r="H699" i="4"/>
  <c r="F699" i="4"/>
  <c r="B699" i="4"/>
  <c r="J699" i="4"/>
  <c r="M687" i="4"/>
  <c r="G687" i="4"/>
  <c r="H687" i="4"/>
  <c r="B687" i="4"/>
  <c r="C687" i="4"/>
  <c r="L687" i="4"/>
  <c r="K687" i="4"/>
  <c r="J687" i="4"/>
  <c r="I687" i="4"/>
  <c r="F687" i="4"/>
  <c r="E687" i="4"/>
  <c r="D687" i="4"/>
  <c r="M675" i="4"/>
  <c r="E675" i="4"/>
  <c r="L675" i="4"/>
  <c r="K675" i="4"/>
  <c r="D675" i="4"/>
  <c r="C675" i="4"/>
  <c r="J675" i="4"/>
  <c r="H675" i="4"/>
  <c r="B675" i="4"/>
  <c r="I675" i="4"/>
  <c r="G675" i="4"/>
  <c r="F675" i="4"/>
  <c r="M663" i="4"/>
  <c r="E663" i="4"/>
  <c r="L663" i="4"/>
  <c r="K663" i="4"/>
  <c r="H663" i="4"/>
  <c r="G663" i="4"/>
  <c r="B663" i="4"/>
  <c r="J663" i="4"/>
  <c r="I663" i="4"/>
  <c r="F663" i="4"/>
  <c r="D663" i="4"/>
  <c r="M651" i="4"/>
  <c r="E651" i="4"/>
  <c r="L651" i="4"/>
  <c r="K651" i="4"/>
  <c r="J651" i="4"/>
  <c r="F651" i="4"/>
  <c r="C651" i="4"/>
  <c r="D651" i="4"/>
  <c r="I651" i="4"/>
  <c r="H651" i="4"/>
  <c r="M639" i="4"/>
  <c r="E639" i="4"/>
  <c r="L639" i="4"/>
  <c r="K639" i="4"/>
  <c r="I639" i="4"/>
  <c r="G639" i="4"/>
  <c r="J639" i="4"/>
  <c r="H639" i="4"/>
  <c r="F639" i="4"/>
  <c r="D639" i="4"/>
  <c r="B639" i="4"/>
  <c r="M627" i="4"/>
  <c r="E627" i="4"/>
  <c r="K627" i="4"/>
  <c r="I627" i="4"/>
  <c r="H627" i="4"/>
  <c r="G627" i="4"/>
  <c r="F627" i="4"/>
  <c r="B627" i="4"/>
  <c r="L627" i="4"/>
  <c r="J627" i="4"/>
  <c r="C627" i="4"/>
  <c r="M615" i="4"/>
  <c r="E615" i="4"/>
  <c r="K615" i="4"/>
  <c r="L615" i="4"/>
  <c r="J615" i="4"/>
  <c r="I615" i="4"/>
  <c r="H615" i="4"/>
  <c r="D615" i="4"/>
  <c r="C615" i="4"/>
  <c r="B615" i="4"/>
  <c r="M603" i="4"/>
  <c r="E603" i="4"/>
  <c r="K603" i="4"/>
  <c r="L603" i="4"/>
  <c r="G603" i="4"/>
  <c r="D603" i="4"/>
  <c r="J603" i="4"/>
  <c r="I603" i="4"/>
  <c r="M591" i="4"/>
  <c r="L591" i="4"/>
  <c r="K591" i="4"/>
  <c r="F591" i="4"/>
  <c r="J591" i="4"/>
  <c r="I591" i="4"/>
  <c r="H591" i="4"/>
  <c r="E591" i="4"/>
  <c r="D591" i="4"/>
  <c r="M579" i="4"/>
  <c r="L579" i="4"/>
  <c r="F579" i="4"/>
  <c r="J579" i="4"/>
  <c r="G579" i="4"/>
  <c r="E579" i="4"/>
  <c r="D579" i="4"/>
  <c r="C579" i="4"/>
  <c r="M567" i="4"/>
  <c r="L567" i="4"/>
  <c r="F567" i="4"/>
  <c r="I567" i="4"/>
  <c r="H567" i="4"/>
  <c r="G567" i="4"/>
  <c r="E567" i="4"/>
  <c r="C567" i="4"/>
  <c r="B567" i="4"/>
  <c r="M555" i="4"/>
  <c r="E555" i="4"/>
  <c r="B555" i="4"/>
  <c r="L555" i="4"/>
  <c r="K555" i="4"/>
  <c r="I555" i="4"/>
  <c r="H555" i="4"/>
  <c r="M543" i="4"/>
  <c r="E543" i="4"/>
  <c r="B543" i="4"/>
  <c r="L543" i="4"/>
  <c r="K543" i="4"/>
  <c r="I543" i="4"/>
  <c r="H543" i="4"/>
  <c r="M531" i="4"/>
  <c r="B531" i="4"/>
  <c r="L531" i="4"/>
  <c r="I531" i="4"/>
  <c r="H531" i="4"/>
  <c r="M519" i="4"/>
  <c r="B519" i="4"/>
  <c r="L519" i="4"/>
  <c r="I519" i="4"/>
  <c r="H519" i="4"/>
  <c r="M507" i="4"/>
  <c r="B507" i="4"/>
  <c r="L507" i="4"/>
  <c r="I507" i="4"/>
  <c r="H507" i="4"/>
  <c r="L502" i="4"/>
  <c r="G510" i="4"/>
  <c r="D512" i="4"/>
  <c r="B514" i="4"/>
  <c r="B516" i="4"/>
  <c r="J519" i="4"/>
  <c r="H521" i="4"/>
  <c r="H523" i="4"/>
  <c r="E525" i="4"/>
  <c r="C527" i="4"/>
  <c r="C529" i="4"/>
  <c r="C531" i="4"/>
  <c r="I534" i="4"/>
  <c r="I536" i="4"/>
  <c r="F538" i="4"/>
  <c r="D540" i="4"/>
  <c r="H544" i="4"/>
  <c r="G547" i="4"/>
  <c r="L549" i="4"/>
  <c r="G552" i="4"/>
  <c r="D555" i="4"/>
  <c r="I557" i="4"/>
  <c r="H560" i="4"/>
  <c r="L565" i="4"/>
  <c r="D569" i="4"/>
  <c r="C572" i="4"/>
  <c r="I575" i="4"/>
  <c r="I581" i="4"/>
  <c r="L584" i="4"/>
  <c r="D588" i="4"/>
  <c r="C592" i="4"/>
  <c r="I595" i="4"/>
  <c r="E600" i="4"/>
  <c r="B605" i="4"/>
  <c r="C611" i="4"/>
  <c r="L617" i="4"/>
  <c r="L623" i="4"/>
  <c r="K629" i="4"/>
  <c r="B637" i="4"/>
  <c r="C647" i="4"/>
  <c r="H658" i="4"/>
  <c r="G668" i="4"/>
  <c r="E679" i="4"/>
  <c r="I692" i="4"/>
  <c r="J728" i="4"/>
  <c r="I812" i="4"/>
  <c r="J971" i="4"/>
  <c r="I971" i="4"/>
  <c r="F971" i="4"/>
  <c r="D971" i="4"/>
  <c r="C971" i="4"/>
  <c r="M971" i="4"/>
  <c r="B971" i="4"/>
  <c r="L971" i="4"/>
  <c r="H971" i="4"/>
  <c r="G971" i="4"/>
  <c r="E971" i="4"/>
  <c r="K971" i="4"/>
  <c r="M923" i="4"/>
  <c r="K923" i="4"/>
  <c r="F923" i="4"/>
  <c r="D923" i="4"/>
  <c r="H923" i="4"/>
  <c r="E923" i="4"/>
  <c r="J923" i="4"/>
  <c r="G923" i="4"/>
  <c r="B923" i="4"/>
  <c r="I923" i="4"/>
  <c r="L923" i="4"/>
  <c r="C923" i="4"/>
  <c r="M863" i="4"/>
  <c r="B863" i="4"/>
  <c r="H863" i="4"/>
  <c r="J863" i="4"/>
  <c r="G863" i="4"/>
  <c r="C863" i="4"/>
  <c r="F863" i="4"/>
  <c r="D863" i="4"/>
  <c r="L863" i="4"/>
  <c r="I863" i="4"/>
  <c r="K863" i="4"/>
  <c r="E863" i="4"/>
  <c r="M815" i="4"/>
  <c r="K815" i="4"/>
  <c r="J815" i="4"/>
  <c r="I815" i="4"/>
  <c r="G815" i="4"/>
  <c r="D815" i="4"/>
  <c r="E815" i="4"/>
  <c r="C815" i="4"/>
  <c r="B815" i="4"/>
  <c r="F815" i="4"/>
  <c r="H815" i="4"/>
  <c r="L815" i="4"/>
  <c r="M791" i="4"/>
  <c r="E791" i="4"/>
  <c r="C791" i="4"/>
  <c r="K791" i="4"/>
  <c r="J791" i="4"/>
  <c r="I791" i="4"/>
  <c r="B791" i="4"/>
  <c r="H791" i="4"/>
  <c r="G791" i="4"/>
  <c r="L791" i="4"/>
  <c r="F791" i="4"/>
  <c r="M743" i="4"/>
  <c r="I743" i="4"/>
  <c r="D743" i="4"/>
  <c r="C743" i="4"/>
  <c r="H743" i="4"/>
  <c r="E743" i="4"/>
  <c r="L743" i="4"/>
  <c r="B743" i="4"/>
  <c r="G743" i="4"/>
  <c r="F743" i="4"/>
  <c r="K743" i="4"/>
  <c r="J743" i="4"/>
  <c r="M683" i="4"/>
  <c r="H683" i="4"/>
  <c r="G683" i="4"/>
  <c r="L683" i="4"/>
  <c r="K683" i="4"/>
  <c r="E683" i="4"/>
  <c r="D683" i="4"/>
  <c r="C683" i="4"/>
  <c r="B683" i="4"/>
  <c r="J683" i="4"/>
  <c r="I683" i="4"/>
  <c r="M659" i="4"/>
  <c r="H659" i="4"/>
  <c r="G659" i="4"/>
  <c r="D659" i="4"/>
  <c r="C659" i="4"/>
  <c r="K659" i="4"/>
  <c r="L659" i="4"/>
  <c r="F659" i="4"/>
  <c r="E659" i="4"/>
  <c r="B659" i="4"/>
  <c r="I659" i="4"/>
  <c r="M635" i="4"/>
  <c r="H635" i="4"/>
  <c r="G635" i="4"/>
  <c r="L635" i="4"/>
  <c r="E635" i="4"/>
  <c r="K635" i="4"/>
  <c r="J635" i="4"/>
  <c r="I635" i="4"/>
  <c r="F635" i="4"/>
  <c r="B635" i="4"/>
  <c r="C635" i="4"/>
  <c r="M587" i="4"/>
  <c r="H587" i="4"/>
  <c r="G587" i="4"/>
  <c r="B587" i="4"/>
  <c r="L587" i="4"/>
  <c r="I587" i="4"/>
  <c r="F587" i="4"/>
  <c r="E587" i="4"/>
  <c r="D587" i="4"/>
  <c r="M563" i="4"/>
  <c r="J563" i="4"/>
  <c r="I563" i="4"/>
  <c r="H563" i="4"/>
  <c r="G563" i="4"/>
  <c r="E563" i="4"/>
  <c r="D563" i="4"/>
  <c r="M515" i="4"/>
  <c r="J515" i="4"/>
  <c r="I515" i="4"/>
  <c r="H515" i="4"/>
  <c r="E515" i="4"/>
  <c r="D515" i="4"/>
  <c r="B539" i="4"/>
  <c r="F979" i="4"/>
  <c r="E979" i="4"/>
  <c r="M979" i="4"/>
  <c r="B979" i="4"/>
  <c r="L979" i="4"/>
  <c r="K979" i="4"/>
  <c r="J979" i="4"/>
  <c r="H979" i="4"/>
  <c r="G979" i="4"/>
  <c r="D979" i="4"/>
  <c r="C979" i="4"/>
  <c r="I979" i="4"/>
  <c r="F955" i="4"/>
  <c r="M955" i="4"/>
  <c r="B955" i="4"/>
  <c r="L955" i="4"/>
  <c r="K955" i="4"/>
  <c r="H955" i="4"/>
  <c r="J955" i="4"/>
  <c r="G955" i="4"/>
  <c r="C955" i="4"/>
  <c r="E955" i="4"/>
  <c r="D955" i="4"/>
  <c r="I955" i="4"/>
  <c r="M931" i="4"/>
  <c r="G931" i="4"/>
  <c r="B931" i="4"/>
  <c r="L931" i="4"/>
  <c r="E931" i="4"/>
  <c r="K931" i="4"/>
  <c r="H931" i="4"/>
  <c r="D931" i="4"/>
  <c r="J931" i="4"/>
  <c r="I931" i="4"/>
  <c r="C931" i="4"/>
  <c r="F931" i="4"/>
  <c r="M907" i="4"/>
  <c r="G907" i="4"/>
  <c r="L907" i="4"/>
  <c r="F907" i="4"/>
  <c r="B907" i="4"/>
  <c r="I907" i="4"/>
  <c r="D907" i="4"/>
  <c r="C907" i="4"/>
  <c r="J907" i="4"/>
  <c r="K907" i="4"/>
  <c r="E907" i="4"/>
  <c r="H907" i="4"/>
  <c r="M871" i="4"/>
  <c r="J871" i="4"/>
  <c r="F871" i="4"/>
  <c r="D871" i="4"/>
  <c r="C871" i="4"/>
  <c r="H871" i="4"/>
  <c r="L871" i="4"/>
  <c r="I871" i="4"/>
  <c r="G871" i="4"/>
  <c r="E871" i="4"/>
  <c r="K871" i="4"/>
  <c r="M631" i="4"/>
  <c r="I631" i="4"/>
  <c r="C631" i="4"/>
  <c r="L631" i="4"/>
  <c r="H631" i="4"/>
  <c r="G631" i="4"/>
  <c r="F631" i="4"/>
  <c r="E631" i="4"/>
  <c r="J631" i="4"/>
  <c r="I511" i="4"/>
  <c r="F515" i="4"/>
  <c r="H541" i="4"/>
  <c r="C1000" i="4"/>
  <c r="M1000" i="4"/>
  <c r="B1000" i="4"/>
  <c r="K1000" i="4"/>
  <c r="I1000" i="4"/>
  <c r="H1000" i="4"/>
  <c r="G1000" i="4"/>
  <c r="F1000" i="4"/>
  <c r="E1000" i="4"/>
  <c r="J1000" i="4"/>
  <c r="D1000" i="4"/>
  <c r="L1000" i="4"/>
  <c r="C976" i="4"/>
  <c r="M976" i="4"/>
  <c r="B976" i="4"/>
  <c r="K976" i="4"/>
  <c r="I976" i="4"/>
  <c r="H976" i="4"/>
  <c r="G976" i="4"/>
  <c r="E976" i="4"/>
  <c r="L976" i="4"/>
  <c r="J976" i="4"/>
  <c r="F976" i="4"/>
  <c r="D976" i="4"/>
  <c r="M952" i="4"/>
  <c r="D952" i="4"/>
  <c r="C952" i="4"/>
  <c r="K952" i="4"/>
  <c r="I952" i="4"/>
  <c r="L952" i="4"/>
  <c r="H952" i="4"/>
  <c r="G952" i="4"/>
  <c r="E952" i="4"/>
  <c r="J952" i="4"/>
  <c r="B952" i="4"/>
  <c r="F952" i="4"/>
  <c r="M928" i="4"/>
  <c r="D928" i="4"/>
  <c r="K928" i="4"/>
  <c r="I928" i="4"/>
  <c r="F928" i="4"/>
  <c r="C928" i="4"/>
  <c r="L928" i="4"/>
  <c r="H928" i="4"/>
  <c r="J928" i="4"/>
  <c r="G928" i="4"/>
  <c r="E928" i="4"/>
  <c r="B928" i="4"/>
  <c r="M892" i="4"/>
  <c r="D892" i="4"/>
  <c r="I892" i="4"/>
  <c r="H892" i="4"/>
  <c r="F892" i="4"/>
  <c r="L892" i="4"/>
  <c r="J892" i="4"/>
  <c r="E892" i="4"/>
  <c r="B892" i="4"/>
  <c r="K892" i="4"/>
  <c r="G892" i="4"/>
  <c r="C892" i="4"/>
  <c r="M868" i="4"/>
  <c r="G868" i="4"/>
  <c r="C868" i="4"/>
  <c r="E868" i="4"/>
  <c r="I868" i="4"/>
  <c r="L868" i="4"/>
  <c r="J868" i="4"/>
  <c r="D868" i="4"/>
  <c r="F868" i="4"/>
  <c r="H868" i="4"/>
  <c r="B868" i="4"/>
  <c r="K868" i="4"/>
  <c r="M844" i="4"/>
  <c r="G844" i="4"/>
  <c r="F844" i="4"/>
  <c r="D844" i="4"/>
  <c r="B844" i="4"/>
  <c r="L844" i="4"/>
  <c r="I844" i="4"/>
  <c r="J844" i="4"/>
  <c r="E844" i="4"/>
  <c r="K844" i="4"/>
  <c r="C844" i="4"/>
  <c r="H844" i="4"/>
  <c r="M820" i="4"/>
  <c r="F820" i="4"/>
  <c r="D820" i="4"/>
  <c r="C820" i="4"/>
  <c r="B820" i="4"/>
  <c r="L820" i="4"/>
  <c r="I820" i="4"/>
  <c r="J820" i="4"/>
  <c r="G820" i="4"/>
  <c r="H820" i="4"/>
  <c r="E820" i="4"/>
  <c r="K820" i="4"/>
  <c r="M796" i="4"/>
  <c r="J796" i="4"/>
  <c r="H796" i="4"/>
  <c r="D796" i="4"/>
  <c r="C796" i="4"/>
  <c r="B796" i="4"/>
  <c r="I796" i="4"/>
  <c r="G796" i="4"/>
  <c r="K796" i="4"/>
  <c r="F796" i="4"/>
  <c r="L796" i="4"/>
  <c r="M772" i="4"/>
  <c r="J772" i="4"/>
  <c r="H772" i="4"/>
  <c r="D772" i="4"/>
  <c r="I772" i="4"/>
  <c r="G772" i="4"/>
  <c r="F772" i="4"/>
  <c r="K772" i="4"/>
  <c r="C772" i="4"/>
  <c r="B772" i="4"/>
  <c r="L772" i="4"/>
  <c r="E772" i="4"/>
  <c r="M748" i="4"/>
  <c r="B748" i="4"/>
  <c r="I748" i="4"/>
  <c r="H748" i="4"/>
  <c r="J748" i="4"/>
  <c r="F748" i="4"/>
  <c r="E748" i="4"/>
  <c r="C748" i="4"/>
  <c r="K748" i="4"/>
  <c r="D748" i="4"/>
  <c r="M724" i="4"/>
  <c r="B724" i="4"/>
  <c r="I724" i="4"/>
  <c r="H724" i="4"/>
  <c r="J724" i="4"/>
  <c r="E724" i="4"/>
  <c r="G724" i="4"/>
  <c r="F724" i="4"/>
  <c r="D724" i="4"/>
  <c r="C724" i="4"/>
  <c r="K724" i="4"/>
  <c r="M700" i="4"/>
  <c r="B700" i="4"/>
  <c r="H700" i="4"/>
  <c r="I700" i="4"/>
  <c r="C700" i="4"/>
  <c r="L700" i="4"/>
  <c r="K700" i="4"/>
  <c r="E700" i="4"/>
  <c r="D700" i="4"/>
  <c r="G700" i="4"/>
  <c r="M676" i="4"/>
  <c r="F676" i="4"/>
  <c r="L676" i="4"/>
  <c r="I676" i="4"/>
  <c r="H676" i="4"/>
  <c r="C676" i="4"/>
  <c r="B676" i="4"/>
  <c r="K676" i="4"/>
  <c r="E676" i="4"/>
  <c r="D676" i="4"/>
  <c r="M652" i="4"/>
  <c r="F652" i="4"/>
  <c r="L652" i="4"/>
  <c r="B652" i="4"/>
  <c r="J652" i="4"/>
  <c r="H652" i="4"/>
  <c r="K652" i="4"/>
  <c r="I652" i="4"/>
  <c r="G652" i="4"/>
  <c r="E652" i="4"/>
  <c r="C652" i="4"/>
  <c r="M628" i="4"/>
  <c r="F628" i="4"/>
  <c r="L628" i="4"/>
  <c r="B628" i="4"/>
  <c r="K628" i="4"/>
  <c r="J628" i="4"/>
  <c r="I628" i="4"/>
  <c r="E628" i="4"/>
  <c r="D628" i="4"/>
  <c r="C628" i="4"/>
  <c r="M604" i="4"/>
  <c r="F604" i="4"/>
  <c r="L604" i="4"/>
  <c r="C604" i="4"/>
  <c r="B604" i="4"/>
  <c r="J604" i="4"/>
  <c r="I604" i="4"/>
  <c r="H604" i="4"/>
  <c r="G604" i="4"/>
  <c r="E604" i="4"/>
  <c r="M580" i="4"/>
  <c r="G580" i="4"/>
  <c r="J580" i="4"/>
  <c r="I580" i="4"/>
  <c r="H580" i="4"/>
  <c r="F580" i="4"/>
  <c r="D580" i="4"/>
  <c r="C580" i="4"/>
  <c r="M556" i="4"/>
  <c r="F556" i="4"/>
  <c r="C556" i="4"/>
  <c r="B556" i="4"/>
  <c r="L556" i="4"/>
  <c r="J556" i="4"/>
  <c r="I556" i="4"/>
  <c r="M532" i="4"/>
  <c r="C532" i="4"/>
  <c r="B532" i="4"/>
  <c r="J532" i="4"/>
  <c r="I532" i="4"/>
  <c r="M508" i="4"/>
  <c r="C508" i="4"/>
  <c r="B508" i="4"/>
  <c r="J508" i="4"/>
  <c r="I508" i="4"/>
  <c r="L998" i="4"/>
  <c r="K998" i="4"/>
  <c r="I998" i="4"/>
  <c r="G998" i="4"/>
  <c r="F998" i="4"/>
  <c r="E998" i="4"/>
  <c r="D998" i="4"/>
  <c r="C998" i="4"/>
  <c r="J998" i="4"/>
  <c r="H998" i="4"/>
  <c r="B998" i="4"/>
  <c r="M998" i="4"/>
  <c r="L986" i="4"/>
  <c r="I986" i="4"/>
  <c r="G986" i="4"/>
  <c r="F986" i="4"/>
  <c r="E986" i="4"/>
  <c r="C986" i="4"/>
  <c r="D986" i="4"/>
  <c r="M986" i="4"/>
  <c r="B986" i="4"/>
  <c r="J986" i="4"/>
  <c r="H986" i="4"/>
  <c r="K986" i="4"/>
  <c r="L974" i="4"/>
  <c r="I974" i="4"/>
  <c r="G974" i="4"/>
  <c r="F974" i="4"/>
  <c r="E974" i="4"/>
  <c r="C974" i="4"/>
  <c r="J974" i="4"/>
  <c r="D974" i="4"/>
  <c r="K974" i="4"/>
  <c r="B974" i="4"/>
  <c r="H974" i="4"/>
  <c r="M974" i="4"/>
  <c r="I962" i="4"/>
  <c r="G962" i="4"/>
  <c r="F962" i="4"/>
  <c r="C962" i="4"/>
  <c r="D962" i="4"/>
  <c r="B962" i="4"/>
  <c r="M962" i="4"/>
  <c r="L962" i="4"/>
  <c r="K962" i="4"/>
  <c r="J962" i="4"/>
  <c r="E962" i="4"/>
  <c r="H962" i="4"/>
  <c r="B950" i="4"/>
  <c r="I950" i="4"/>
  <c r="G950" i="4"/>
  <c r="D950" i="4"/>
  <c r="L950" i="4"/>
  <c r="K950" i="4"/>
  <c r="F950" i="4"/>
  <c r="C950" i="4"/>
  <c r="J950" i="4"/>
  <c r="E950" i="4"/>
  <c r="M950" i="4"/>
  <c r="H950" i="4"/>
  <c r="B938" i="4"/>
  <c r="M938" i="4"/>
  <c r="I938" i="4"/>
  <c r="G938" i="4"/>
  <c r="J938" i="4"/>
  <c r="D938" i="4"/>
  <c r="K938" i="4"/>
  <c r="F938" i="4"/>
  <c r="L938" i="4"/>
  <c r="H938" i="4"/>
  <c r="E938" i="4"/>
  <c r="C938" i="4"/>
  <c r="B926" i="4"/>
  <c r="I926" i="4"/>
  <c r="G926" i="4"/>
  <c r="L926" i="4"/>
  <c r="F926" i="4"/>
  <c r="D926" i="4"/>
  <c r="C926" i="4"/>
  <c r="M926" i="4"/>
  <c r="J926" i="4"/>
  <c r="K926" i="4"/>
  <c r="E926" i="4"/>
  <c r="H926" i="4"/>
  <c r="B914" i="4"/>
  <c r="M914" i="4"/>
  <c r="G914" i="4"/>
  <c r="K914" i="4"/>
  <c r="I914" i="4"/>
  <c r="H914" i="4"/>
  <c r="D914" i="4"/>
  <c r="L914" i="4"/>
  <c r="F914" i="4"/>
  <c r="C914" i="4"/>
  <c r="J914" i="4"/>
  <c r="E914" i="4"/>
  <c r="B902" i="4"/>
  <c r="G902" i="4"/>
  <c r="D902" i="4"/>
  <c r="K902" i="4"/>
  <c r="F902" i="4"/>
  <c r="J902" i="4"/>
  <c r="L902" i="4"/>
  <c r="H902" i="4"/>
  <c r="C902" i="4"/>
  <c r="M902" i="4"/>
  <c r="E902" i="4"/>
  <c r="I902" i="4"/>
  <c r="B890" i="4"/>
  <c r="M890" i="4"/>
  <c r="G890" i="4"/>
  <c r="F890" i="4"/>
  <c r="D890" i="4"/>
  <c r="I890" i="4"/>
  <c r="L890" i="4"/>
  <c r="J890" i="4"/>
  <c r="C890" i="4"/>
  <c r="E890" i="4"/>
  <c r="K890" i="4"/>
  <c r="H890" i="4"/>
  <c r="E878" i="4"/>
  <c r="K878" i="4"/>
  <c r="G878" i="4"/>
  <c r="C878" i="4"/>
  <c r="M878" i="4"/>
  <c r="J878" i="4"/>
  <c r="H878" i="4"/>
  <c r="D878" i="4"/>
  <c r="B878" i="4"/>
  <c r="L878" i="4"/>
  <c r="I878" i="4"/>
  <c r="F878" i="4"/>
  <c r="M866" i="4"/>
  <c r="E866" i="4"/>
  <c r="K866" i="4"/>
  <c r="J866" i="4"/>
  <c r="G866" i="4"/>
  <c r="D866" i="4"/>
  <c r="L866" i="4"/>
  <c r="H866" i="4"/>
  <c r="B866" i="4"/>
  <c r="C866" i="4"/>
  <c r="F866" i="4"/>
  <c r="I866" i="4"/>
  <c r="E854" i="4"/>
  <c r="K854" i="4"/>
  <c r="L854" i="4"/>
  <c r="H854" i="4"/>
  <c r="F854" i="4"/>
  <c r="I854" i="4"/>
  <c r="C854" i="4"/>
  <c r="M854" i="4"/>
  <c r="D854" i="4"/>
  <c r="B854" i="4"/>
  <c r="J854" i="4"/>
  <c r="G854" i="4"/>
  <c r="M842" i="4"/>
  <c r="E842" i="4"/>
  <c r="K842" i="4"/>
  <c r="H842" i="4"/>
  <c r="I842" i="4"/>
  <c r="F842" i="4"/>
  <c r="D842" i="4"/>
  <c r="C842" i="4"/>
  <c r="L842" i="4"/>
  <c r="J842" i="4"/>
  <c r="B842" i="4"/>
  <c r="G842" i="4"/>
  <c r="E830" i="4"/>
  <c r="K830" i="4"/>
  <c r="B830" i="4"/>
  <c r="L830" i="4"/>
  <c r="M830" i="4"/>
  <c r="I830" i="4"/>
  <c r="F830" i="4"/>
  <c r="G830" i="4"/>
  <c r="C830" i="4"/>
  <c r="J830" i="4"/>
  <c r="H830" i="4"/>
  <c r="D830" i="4"/>
  <c r="M818" i="4"/>
  <c r="D818" i="4"/>
  <c r="B818" i="4"/>
  <c r="L818" i="4"/>
  <c r="J818" i="4"/>
  <c r="G818" i="4"/>
  <c r="H818" i="4"/>
  <c r="E818" i="4"/>
  <c r="I818" i="4"/>
  <c r="F818" i="4"/>
  <c r="C818" i="4"/>
  <c r="K818" i="4"/>
  <c r="M806" i="4"/>
  <c r="D806" i="4"/>
  <c r="L806" i="4"/>
  <c r="J806" i="4"/>
  <c r="G806" i="4"/>
  <c r="H806" i="4"/>
  <c r="F806" i="4"/>
  <c r="E806" i="4"/>
  <c r="K806" i="4"/>
  <c r="C806" i="4"/>
  <c r="I806" i="4"/>
  <c r="B806" i="4"/>
  <c r="M794" i="4"/>
  <c r="H794" i="4"/>
  <c r="F794" i="4"/>
  <c r="B794" i="4"/>
  <c r="L794" i="4"/>
  <c r="J794" i="4"/>
  <c r="D794" i="4"/>
  <c r="C794" i="4"/>
  <c r="I794" i="4"/>
  <c r="G794" i="4"/>
  <c r="K794" i="4"/>
  <c r="E794" i="4"/>
  <c r="M782" i="4"/>
  <c r="H782" i="4"/>
  <c r="F782" i="4"/>
  <c r="B782" i="4"/>
  <c r="I782" i="4"/>
  <c r="C782" i="4"/>
  <c r="J782" i="4"/>
  <c r="D782" i="4"/>
  <c r="L782" i="4"/>
  <c r="K782" i="4"/>
  <c r="G782" i="4"/>
  <c r="M770" i="4"/>
  <c r="H770" i="4"/>
  <c r="F770" i="4"/>
  <c r="B770" i="4"/>
  <c r="D770" i="4"/>
  <c r="L770" i="4"/>
  <c r="K770" i="4"/>
  <c r="G770" i="4"/>
  <c r="C770" i="4"/>
  <c r="J770" i="4"/>
  <c r="E770" i="4"/>
  <c r="M758" i="4"/>
  <c r="H758" i="4"/>
  <c r="B758" i="4"/>
  <c r="E758" i="4"/>
  <c r="L758" i="4"/>
  <c r="I758" i="4"/>
  <c r="D758" i="4"/>
  <c r="G758" i="4"/>
  <c r="F758" i="4"/>
  <c r="K758" i="4"/>
  <c r="J758" i="4"/>
  <c r="M746" i="4"/>
  <c r="L746" i="4"/>
  <c r="G746" i="4"/>
  <c r="F746" i="4"/>
  <c r="H746" i="4"/>
  <c r="C746" i="4"/>
  <c r="K746" i="4"/>
  <c r="J746" i="4"/>
  <c r="I746" i="4"/>
  <c r="E746" i="4"/>
  <c r="M734" i="4"/>
  <c r="L734" i="4"/>
  <c r="G734" i="4"/>
  <c r="F734" i="4"/>
  <c r="K734" i="4"/>
  <c r="H734" i="4"/>
  <c r="C734" i="4"/>
  <c r="I734" i="4"/>
  <c r="E734" i="4"/>
  <c r="D734" i="4"/>
  <c r="J734" i="4"/>
  <c r="B734" i="4"/>
  <c r="M722" i="4"/>
  <c r="L722" i="4"/>
  <c r="F722" i="4"/>
  <c r="K722" i="4"/>
  <c r="H722" i="4"/>
  <c r="E722" i="4"/>
  <c r="D722" i="4"/>
  <c r="C722" i="4"/>
  <c r="B722" i="4"/>
  <c r="G722" i="4"/>
  <c r="I722" i="4"/>
  <c r="M710" i="4"/>
  <c r="L710" i="4"/>
  <c r="F710" i="4"/>
  <c r="C710" i="4"/>
  <c r="J710" i="4"/>
  <c r="H710" i="4"/>
  <c r="G710" i="4"/>
  <c r="K710" i="4"/>
  <c r="I710" i="4"/>
  <c r="E710" i="4"/>
  <c r="D710" i="4"/>
  <c r="B710" i="4"/>
  <c r="M698" i="4"/>
  <c r="L698" i="4"/>
  <c r="F698" i="4"/>
  <c r="B698" i="4"/>
  <c r="J698" i="4"/>
  <c r="I698" i="4"/>
  <c r="G698" i="4"/>
  <c r="E698" i="4"/>
  <c r="D698" i="4"/>
  <c r="C698" i="4"/>
  <c r="M686" i="4"/>
  <c r="L686" i="4"/>
  <c r="F686" i="4"/>
  <c r="D686" i="4"/>
  <c r="K686" i="4"/>
  <c r="J686" i="4"/>
  <c r="E686" i="4"/>
  <c r="C686" i="4"/>
  <c r="B686" i="4"/>
  <c r="G686" i="4"/>
  <c r="M674" i="4"/>
  <c r="D674" i="4"/>
  <c r="K674" i="4"/>
  <c r="J674" i="4"/>
  <c r="H674" i="4"/>
  <c r="G674" i="4"/>
  <c r="F674" i="4"/>
  <c r="L674" i="4"/>
  <c r="I674" i="4"/>
  <c r="E674" i="4"/>
  <c r="B674" i="4"/>
  <c r="M662" i="4"/>
  <c r="D662" i="4"/>
  <c r="K662" i="4"/>
  <c r="J662" i="4"/>
  <c r="C662" i="4"/>
  <c r="B662" i="4"/>
  <c r="I662" i="4"/>
  <c r="E662" i="4"/>
  <c r="H662" i="4"/>
  <c r="G662" i="4"/>
  <c r="F662" i="4"/>
  <c r="M650" i="4"/>
  <c r="D650" i="4"/>
  <c r="K650" i="4"/>
  <c r="J650" i="4"/>
  <c r="G650" i="4"/>
  <c r="F650" i="4"/>
  <c r="I650" i="4"/>
  <c r="H650" i="4"/>
  <c r="E650" i="4"/>
  <c r="C650" i="4"/>
  <c r="L650" i="4"/>
  <c r="M638" i="4"/>
  <c r="D638" i="4"/>
  <c r="K638" i="4"/>
  <c r="J638" i="4"/>
  <c r="L638" i="4"/>
  <c r="I638" i="4"/>
  <c r="E638" i="4"/>
  <c r="B638" i="4"/>
  <c r="C638" i="4"/>
  <c r="H638" i="4"/>
  <c r="G638" i="4"/>
  <c r="M626" i="4"/>
  <c r="D626" i="4"/>
  <c r="J626" i="4"/>
  <c r="I626" i="4"/>
  <c r="F626" i="4"/>
  <c r="E626" i="4"/>
  <c r="C626" i="4"/>
  <c r="B626" i="4"/>
  <c r="G626" i="4"/>
  <c r="L626" i="4"/>
  <c r="M614" i="4"/>
  <c r="D614" i="4"/>
  <c r="J614" i="4"/>
  <c r="L614" i="4"/>
  <c r="H614" i="4"/>
  <c r="G614" i="4"/>
  <c r="F614" i="4"/>
  <c r="E614" i="4"/>
  <c r="K614" i="4"/>
  <c r="I614" i="4"/>
  <c r="B614" i="4"/>
  <c r="M602" i="4"/>
  <c r="D602" i="4"/>
  <c r="J602" i="4"/>
  <c r="K602" i="4"/>
  <c r="I602" i="4"/>
  <c r="H602" i="4"/>
  <c r="C602" i="4"/>
  <c r="L602" i="4"/>
  <c r="G602" i="4"/>
  <c r="F602" i="4"/>
  <c r="E602" i="4"/>
  <c r="M590" i="4"/>
  <c r="K590" i="4"/>
  <c r="J590" i="4"/>
  <c r="E590" i="4"/>
  <c r="L590" i="4"/>
  <c r="G590" i="4"/>
  <c r="F590" i="4"/>
  <c r="D590" i="4"/>
  <c r="C590" i="4"/>
  <c r="M578" i="4"/>
  <c r="K578" i="4"/>
  <c r="E578" i="4"/>
  <c r="G578" i="4"/>
  <c r="C578" i="4"/>
  <c r="B578" i="4"/>
  <c r="L578" i="4"/>
  <c r="J578" i="4"/>
  <c r="M566" i="4"/>
  <c r="K566" i="4"/>
  <c r="E566" i="4"/>
  <c r="I566" i="4"/>
  <c r="F566" i="4"/>
  <c r="D566" i="4"/>
  <c r="C566" i="4"/>
  <c r="B566" i="4"/>
  <c r="M554" i="4"/>
  <c r="D554" i="4"/>
  <c r="L554" i="4"/>
  <c r="K554" i="4"/>
  <c r="J554" i="4"/>
  <c r="H554" i="4"/>
  <c r="G554" i="4"/>
  <c r="M542" i="4"/>
  <c r="L542" i="4"/>
  <c r="K542" i="4"/>
  <c r="J542" i="4"/>
  <c r="H542" i="4"/>
  <c r="G542" i="4"/>
  <c r="M530" i="4"/>
  <c r="L530" i="4"/>
  <c r="K530" i="4"/>
  <c r="H530" i="4"/>
  <c r="G530" i="4"/>
  <c r="M518" i="4"/>
  <c r="L518" i="4"/>
  <c r="K518" i="4"/>
  <c r="H518" i="4"/>
  <c r="G518" i="4"/>
  <c r="M506" i="4"/>
  <c r="L506" i="4"/>
  <c r="K506" i="4"/>
  <c r="H506" i="4"/>
  <c r="G506" i="4"/>
  <c r="B503" i="4"/>
  <c r="B505" i="4"/>
  <c r="J506" i="4"/>
  <c r="H508" i="4"/>
  <c r="H510" i="4"/>
  <c r="H512" i="4"/>
  <c r="E514" i="4"/>
  <c r="C518" i="4"/>
  <c r="K519" i="4"/>
  <c r="I521" i="4"/>
  <c r="I523" i="4"/>
  <c r="I525" i="4"/>
  <c r="F527" i="4"/>
  <c r="D529" i="4"/>
  <c r="D531" i="4"/>
  <c r="L532" i="4"/>
  <c r="J534" i="4"/>
  <c r="J536" i="4"/>
  <c r="J538" i="4"/>
  <c r="E542" i="4"/>
  <c r="K544" i="4"/>
  <c r="H547" i="4"/>
  <c r="B550" i="4"/>
  <c r="F555" i="4"/>
  <c r="L557" i="4"/>
  <c r="I560" i="4"/>
  <c r="C563" i="4"/>
  <c r="G566" i="4"/>
  <c r="F569" i="4"/>
  <c r="G572" i="4"/>
  <c r="J575" i="4"/>
  <c r="I578" i="4"/>
  <c r="D582" i="4"/>
  <c r="C585" i="4"/>
  <c r="D592" i="4"/>
  <c r="K595" i="4"/>
  <c r="I605" i="4"/>
  <c r="H611" i="4"/>
  <c r="C618" i="4"/>
  <c r="D624" i="4"/>
  <c r="B631" i="4"/>
  <c r="L637" i="4"/>
  <c r="K647" i="4"/>
  <c r="J658" i="4"/>
  <c r="L668" i="4"/>
  <c r="G681" i="4"/>
  <c r="E694" i="4"/>
  <c r="F709" i="4"/>
  <c r="K728" i="4"/>
  <c r="L748" i="4"/>
  <c r="D776" i="4"/>
  <c r="B821" i="4"/>
  <c r="L985" i="4"/>
  <c r="K985" i="4"/>
  <c r="H985" i="4"/>
  <c r="F985" i="4"/>
  <c r="E985" i="4"/>
  <c r="D985" i="4"/>
  <c r="M985" i="4"/>
  <c r="B985" i="4"/>
  <c r="C985" i="4"/>
  <c r="G985" i="4"/>
  <c r="I985" i="4"/>
  <c r="J985" i="4"/>
  <c r="M745" i="4"/>
  <c r="K745" i="4"/>
  <c r="F745" i="4"/>
  <c r="E745" i="4"/>
  <c r="B745" i="4"/>
  <c r="J745" i="4"/>
  <c r="H745" i="4"/>
  <c r="G745" i="4"/>
  <c r="I745" i="4"/>
  <c r="D745" i="4"/>
  <c r="L745" i="4"/>
  <c r="C745" i="4"/>
  <c r="G527" i="4"/>
  <c r="E529" i="4"/>
  <c r="J547" i="4"/>
  <c r="E550" i="4"/>
  <c r="B553" i="4"/>
  <c r="F563" i="4"/>
  <c r="B573" i="4"/>
  <c r="L575" i="4"/>
  <c r="B579" i="4"/>
  <c r="E582" i="4"/>
  <c r="D585" i="4"/>
  <c r="C589" i="4"/>
  <c r="F592" i="4"/>
  <c r="F596" i="4"/>
  <c r="B601" i="4"/>
  <c r="K605" i="4"/>
  <c r="J618" i="4"/>
  <c r="D631" i="4"/>
  <c r="F638" i="4"/>
  <c r="K649" i="4"/>
  <c r="J659" i="4"/>
  <c r="I669" i="4"/>
  <c r="H681" i="4"/>
  <c r="G694" i="4"/>
  <c r="I712" i="4"/>
  <c r="F731" i="4"/>
  <c r="I750" i="4"/>
  <c r="G777" i="4"/>
  <c r="E825" i="4"/>
  <c r="M613" i="4"/>
  <c r="C613" i="4"/>
  <c r="I613" i="4"/>
  <c r="H613" i="4"/>
  <c r="E613" i="4"/>
  <c r="D613" i="4"/>
  <c r="B613" i="4"/>
  <c r="L613" i="4"/>
  <c r="F613" i="4"/>
  <c r="K613" i="4"/>
  <c r="K996" i="4"/>
  <c r="J996" i="4"/>
  <c r="I996" i="4"/>
  <c r="G996" i="4"/>
  <c r="E996" i="4"/>
  <c r="D996" i="4"/>
  <c r="C996" i="4"/>
  <c r="M996" i="4"/>
  <c r="B996" i="4"/>
  <c r="L996" i="4"/>
  <c r="F996" i="4"/>
  <c r="H996" i="4"/>
  <c r="K984" i="4"/>
  <c r="J984" i="4"/>
  <c r="G984" i="4"/>
  <c r="E984" i="4"/>
  <c r="D984" i="4"/>
  <c r="C984" i="4"/>
  <c r="M984" i="4"/>
  <c r="I984" i="4"/>
  <c r="H984" i="4"/>
  <c r="F984" i="4"/>
  <c r="B984" i="4"/>
  <c r="L984" i="4"/>
  <c r="K972" i="4"/>
  <c r="J972" i="4"/>
  <c r="G972" i="4"/>
  <c r="E972" i="4"/>
  <c r="D972" i="4"/>
  <c r="C972" i="4"/>
  <c r="M972" i="4"/>
  <c r="L972" i="4"/>
  <c r="B972" i="4"/>
  <c r="I972" i="4"/>
  <c r="H972" i="4"/>
  <c r="F972" i="4"/>
  <c r="K960" i="4"/>
  <c r="G960" i="4"/>
  <c r="E960" i="4"/>
  <c r="D960" i="4"/>
  <c r="M960" i="4"/>
  <c r="F960" i="4"/>
  <c r="C960" i="4"/>
  <c r="I960" i="4"/>
  <c r="B960" i="4"/>
  <c r="L960" i="4"/>
  <c r="H960" i="4"/>
  <c r="J960" i="4"/>
  <c r="M948" i="4"/>
  <c r="L948" i="4"/>
  <c r="K948" i="4"/>
  <c r="G948" i="4"/>
  <c r="E948" i="4"/>
  <c r="H948" i="4"/>
  <c r="B948" i="4"/>
  <c r="J948" i="4"/>
  <c r="D948" i="4"/>
  <c r="C948" i="4"/>
  <c r="F948" i="4"/>
  <c r="I948" i="4"/>
  <c r="M936" i="4"/>
  <c r="L936" i="4"/>
  <c r="G936" i="4"/>
  <c r="E936" i="4"/>
  <c r="I936" i="4"/>
  <c r="F936" i="4"/>
  <c r="J936" i="4"/>
  <c r="D936" i="4"/>
  <c r="B936" i="4"/>
  <c r="K936" i="4"/>
  <c r="H936" i="4"/>
  <c r="C936" i="4"/>
  <c r="M924" i="4"/>
  <c r="L924" i="4"/>
  <c r="G924" i="4"/>
  <c r="E924" i="4"/>
  <c r="B924" i="4"/>
  <c r="J924" i="4"/>
  <c r="D924" i="4"/>
  <c r="I924" i="4"/>
  <c r="K924" i="4"/>
  <c r="F924" i="4"/>
  <c r="H924" i="4"/>
  <c r="C924" i="4"/>
  <c r="M912" i="4"/>
  <c r="L912" i="4"/>
  <c r="E912" i="4"/>
  <c r="I912" i="4"/>
  <c r="D912" i="4"/>
  <c r="B912" i="4"/>
  <c r="K912" i="4"/>
  <c r="G912" i="4"/>
  <c r="C912" i="4"/>
  <c r="H912" i="4"/>
  <c r="F912" i="4"/>
  <c r="J912" i="4"/>
  <c r="M900" i="4"/>
  <c r="L900" i="4"/>
  <c r="E900" i="4"/>
  <c r="K900" i="4"/>
  <c r="G900" i="4"/>
  <c r="D900" i="4"/>
  <c r="I900" i="4"/>
  <c r="C900" i="4"/>
  <c r="H900" i="4"/>
  <c r="F900" i="4"/>
  <c r="B900" i="4"/>
  <c r="J900" i="4"/>
  <c r="M888" i="4"/>
  <c r="C888" i="4"/>
  <c r="K888" i="4"/>
  <c r="I888" i="4"/>
  <c r="H888" i="4"/>
  <c r="E888" i="4"/>
  <c r="B888" i="4"/>
  <c r="L888" i="4"/>
  <c r="J888" i="4"/>
  <c r="F888" i="4"/>
  <c r="G888" i="4"/>
  <c r="D888" i="4"/>
  <c r="M876" i="4"/>
  <c r="C876" i="4"/>
  <c r="K876" i="4"/>
  <c r="I876" i="4"/>
  <c r="H876" i="4"/>
  <c r="F876" i="4"/>
  <c r="E876" i="4"/>
  <c r="B876" i="4"/>
  <c r="L876" i="4"/>
  <c r="G876" i="4"/>
  <c r="D876" i="4"/>
  <c r="J876" i="4"/>
  <c r="M864" i="4"/>
  <c r="C864" i="4"/>
  <c r="I864" i="4"/>
  <c r="B864" i="4"/>
  <c r="K864" i="4"/>
  <c r="F864" i="4"/>
  <c r="L864" i="4"/>
  <c r="J864" i="4"/>
  <c r="G864" i="4"/>
  <c r="D864" i="4"/>
  <c r="H864" i="4"/>
  <c r="E864" i="4"/>
  <c r="M852" i="4"/>
  <c r="C852" i="4"/>
  <c r="I852" i="4"/>
  <c r="E852" i="4"/>
  <c r="H852" i="4"/>
  <c r="L852" i="4"/>
  <c r="J852" i="4"/>
  <c r="D852" i="4"/>
  <c r="F852" i="4"/>
  <c r="G852" i="4"/>
  <c r="B852" i="4"/>
  <c r="K852" i="4"/>
  <c r="M840" i="4"/>
  <c r="C840" i="4"/>
  <c r="I840" i="4"/>
  <c r="G840" i="4"/>
  <c r="K840" i="4"/>
  <c r="J840" i="4"/>
  <c r="H840" i="4"/>
  <c r="E840" i="4"/>
  <c r="B840" i="4"/>
  <c r="F840" i="4"/>
  <c r="D840" i="4"/>
  <c r="L840" i="4"/>
  <c r="M828" i="4"/>
  <c r="C828" i="4"/>
  <c r="I828" i="4"/>
  <c r="J828" i="4"/>
  <c r="G828" i="4"/>
  <c r="F828" i="4"/>
  <c r="E828" i="4"/>
  <c r="B828" i="4"/>
  <c r="L828" i="4"/>
  <c r="K828" i="4"/>
  <c r="D828" i="4"/>
  <c r="H828" i="4"/>
  <c r="M816" i="4"/>
  <c r="B816" i="4"/>
  <c r="L816" i="4"/>
  <c r="K816" i="4"/>
  <c r="J816" i="4"/>
  <c r="H816" i="4"/>
  <c r="E816" i="4"/>
  <c r="F816" i="4"/>
  <c r="C816" i="4"/>
  <c r="D816" i="4"/>
  <c r="G816" i="4"/>
  <c r="I816" i="4"/>
  <c r="M804" i="4"/>
  <c r="B804" i="4"/>
  <c r="K804" i="4"/>
  <c r="J804" i="4"/>
  <c r="H804" i="4"/>
  <c r="I804" i="4"/>
  <c r="G804" i="4"/>
  <c r="F804" i="4"/>
  <c r="D804" i="4"/>
  <c r="C804" i="4"/>
  <c r="E804" i="4"/>
  <c r="L804" i="4"/>
  <c r="M792" i="4"/>
  <c r="F792" i="4"/>
  <c r="D792" i="4"/>
  <c r="L792" i="4"/>
  <c r="K792" i="4"/>
  <c r="J792" i="4"/>
  <c r="E792" i="4"/>
  <c r="C792" i="4"/>
  <c r="B792" i="4"/>
  <c r="G792" i="4"/>
  <c r="I792" i="4"/>
  <c r="M780" i="4"/>
  <c r="F780" i="4"/>
  <c r="D780" i="4"/>
  <c r="L780" i="4"/>
  <c r="K780" i="4"/>
  <c r="G780" i="4"/>
  <c r="E780" i="4"/>
  <c r="C780" i="4"/>
  <c r="J780" i="4"/>
  <c r="B780" i="4"/>
  <c r="I780" i="4"/>
  <c r="M768" i="4"/>
  <c r="F768" i="4"/>
  <c r="L768" i="4"/>
  <c r="J768" i="4"/>
  <c r="E768" i="4"/>
  <c r="D768" i="4"/>
  <c r="C768" i="4"/>
  <c r="K768" i="4"/>
  <c r="G768" i="4"/>
  <c r="B768" i="4"/>
  <c r="I768" i="4"/>
  <c r="M756" i="4"/>
  <c r="F756" i="4"/>
  <c r="L756" i="4"/>
  <c r="G756" i="4"/>
  <c r="E756" i="4"/>
  <c r="K756" i="4"/>
  <c r="H756" i="4"/>
  <c r="B756" i="4"/>
  <c r="J756" i="4"/>
  <c r="D756" i="4"/>
  <c r="C756" i="4"/>
  <c r="I756" i="4"/>
  <c r="M744" i="4"/>
  <c r="J744" i="4"/>
  <c r="E744" i="4"/>
  <c r="D744" i="4"/>
  <c r="I744" i="4"/>
  <c r="F744" i="4"/>
  <c r="B744" i="4"/>
  <c r="H744" i="4"/>
  <c r="G744" i="4"/>
  <c r="C744" i="4"/>
  <c r="K744" i="4"/>
  <c r="L744" i="4"/>
  <c r="M732" i="4"/>
  <c r="J732" i="4"/>
  <c r="E732" i="4"/>
  <c r="D732" i="4"/>
  <c r="I732" i="4"/>
  <c r="G732" i="4"/>
  <c r="F732" i="4"/>
  <c r="L732" i="4"/>
  <c r="B732" i="4"/>
  <c r="K732" i="4"/>
  <c r="H732" i="4"/>
  <c r="M720" i="4"/>
  <c r="J720" i="4"/>
  <c r="D720" i="4"/>
  <c r="H720" i="4"/>
  <c r="E720" i="4"/>
  <c r="L720" i="4"/>
  <c r="K720" i="4"/>
  <c r="I720" i="4"/>
  <c r="B720" i="4"/>
  <c r="F720" i="4"/>
  <c r="C720" i="4"/>
  <c r="M708" i="4"/>
  <c r="J708" i="4"/>
  <c r="D708" i="4"/>
  <c r="K708" i="4"/>
  <c r="G708" i="4"/>
  <c r="C708" i="4"/>
  <c r="I708" i="4"/>
  <c r="H708" i="4"/>
  <c r="F708" i="4"/>
  <c r="L708" i="4"/>
  <c r="E708" i="4"/>
  <c r="M696" i="4"/>
  <c r="J696" i="4"/>
  <c r="D696" i="4"/>
  <c r="I696" i="4"/>
  <c r="C696" i="4"/>
  <c r="B696" i="4"/>
  <c r="K696" i="4"/>
  <c r="H696" i="4"/>
  <c r="G696" i="4"/>
  <c r="L696" i="4"/>
  <c r="F696" i="4"/>
  <c r="E696" i="4"/>
  <c r="M684" i="4"/>
  <c r="B684" i="4"/>
  <c r="I684" i="4"/>
  <c r="H684" i="4"/>
  <c r="K684" i="4"/>
  <c r="J684" i="4"/>
  <c r="G684" i="4"/>
  <c r="L684" i="4"/>
  <c r="F684" i="4"/>
  <c r="E684" i="4"/>
  <c r="C684" i="4"/>
  <c r="M672" i="4"/>
  <c r="B672" i="4"/>
  <c r="I672" i="4"/>
  <c r="H672" i="4"/>
  <c r="E672" i="4"/>
  <c r="D672" i="4"/>
  <c r="L672" i="4"/>
  <c r="G672" i="4"/>
  <c r="F672" i="4"/>
  <c r="C672" i="4"/>
  <c r="J672" i="4"/>
  <c r="M660" i="4"/>
  <c r="B660" i="4"/>
  <c r="I660" i="4"/>
  <c r="H660" i="4"/>
  <c r="J660" i="4"/>
  <c r="G660" i="4"/>
  <c r="C660" i="4"/>
  <c r="F660" i="4"/>
  <c r="K660" i="4"/>
  <c r="E660" i="4"/>
  <c r="M648" i="4"/>
  <c r="B648" i="4"/>
  <c r="I648" i="4"/>
  <c r="H648" i="4"/>
  <c r="L648" i="4"/>
  <c r="F648" i="4"/>
  <c r="D648" i="4"/>
  <c r="G648" i="4"/>
  <c r="E648" i="4"/>
  <c r="C648" i="4"/>
  <c r="K648" i="4"/>
  <c r="J648" i="4"/>
  <c r="M636" i="4"/>
  <c r="B636" i="4"/>
  <c r="I636" i="4"/>
  <c r="H636" i="4"/>
  <c r="K636" i="4"/>
  <c r="E636" i="4"/>
  <c r="J636" i="4"/>
  <c r="G636" i="4"/>
  <c r="F636" i="4"/>
  <c r="D636" i="4"/>
  <c r="C636" i="4"/>
  <c r="M624" i="4"/>
  <c r="B624" i="4"/>
  <c r="H624" i="4"/>
  <c r="C624" i="4"/>
  <c r="L624" i="4"/>
  <c r="K624" i="4"/>
  <c r="J624" i="4"/>
  <c r="F624" i="4"/>
  <c r="G624" i="4"/>
  <c r="E624" i="4"/>
  <c r="M612" i="4"/>
  <c r="B612" i="4"/>
  <c r="H612" i="4"/>
  <c r="E612" i="4"/>
  <c r="L612" i="4"/>
  <c r="I612" i="4"/>
  <c r="G612" i="4"/>
  <c r="F612" i="4"/>
  <c r="D612" i="4"/>
  <c r="C612" i="4"/>
  <c r="M600" i="4"/>
  <c r="B600" i="4"/>
  <c r="H600" i="4"/>
  <c r="D600" i="4"/>
  <c r="C600" i="4"/>
  <c r="K600" i="4"/>
  <c r="J600" i="4"/>
  <c r="I600" i="4"/>
  <c r="G600" i="4"/>
  <c r="F600" i="4"/>
  <c r="M588" i="4"/>
  <c r="I588" i="4"/>
  <c r="H588" i="4"/>
  <c r="C588" i="4"/>
  <c r="L588" i="4"/>
  <c r="K588" i="4"/>
  <c r="J588" i="4"/>
  <c r="F588" i="4"/>
  <c r="E588" i="4"/>
  <c r="M576" i="4"/>
  <c r="I576" i="4"/>
  <c r="C576" i="4"/>
  <c r="K576" i="4"/>
  <c r="J576" i="4"/>
  <c r="H576" i="4"/>
  <c r="G576" i="4"/>
  <c r="E576" i="4"/>
  <c r="D576" i="4"/>
  <c r="M564" i="4"/>
  <c r="I564" i="4"/>
  <c r="C564" i="4"/>
  <c r="B564" i="4"/>
  <c r="L564" i="4"/>
  <c r="K564" i="4"/>
  <c r="J564" i="4"/>
  <c r="G564" i="4"/>
  <c r="F564" i="4"/>
  <c r="M552" i="4"/>
  <c r="B552" i="4"/>
  <c r="K552" i="4"/>
  <c r="J552" i="4"/>
  <c r="I552" i="4"/>
  <c r="H552" i="4"/>
  <c r="F552" i="4"/>
  <c r="E552" i="4"/>
  <c r="M540" i="4"/>
  <c r="K540" i="4"/>
  <c r="J540" i="4"/>
  <c r="I540" i="4"/>
  <c r="F540" i="4"/>
  <c r="E540" i="4"/>
  <c r="M528" i="4"/>
  <c r="K528" i="4"/>
  <c r="J528" i="4"/>
  <c r="I528" i="4"/>
  <c r="F528" i="4"/>
  <c r="E528" i="4"/>
  <c r="M516" i="4"/>
  <c r="K516" i="4"/>
  <c r="J516" i="4"/>
  <c r="I516" i="4"/>
  <c r="F516" i="4"/>
  <c r="E516" i="4"/>
  <c r="M504" i="4"/>
  <c r="K504" i="4"/>
  <c r="J504" i="4"/>
  <c r="I504" i="4"/>
  <c r="F504" i="4"/>
  <c r="E504" i="4"/>
  <c r="F503" i="4"/>
  <c r="D505" i="4"/>
  <c r="D507" i="4"/>
  <c r="L508" i="4"/>
  <c r="J510" i="4"/>
  <c r="J512" i="4"/>
  <c r="J514" i="4"/>
  <c r="G516" i="4"/>
  <c r="E518" i="4"/>
  <c r="E520" i="4"/>
  <c r="B522" i="4"/>
  <c r="K523" i="4"/>
  <c r="K525" i="4"/>
  <c r="K527" i="4"/>
  <c r="H529" i="4"/>
  <c r="F531" i="4"/>
  <c r="F533" i="4"/>
  <c r="C535" i="4"/>
  <c r="L536" i="4"/>
  <c r="L538" i="4"/>
  <c r="L540" i="4"/>
  <c r="I542" i="4"/>
  <c r="F545" i="4"/>
  <c r="K547" i="4"/>
  <c r="J550" i="4"/>
  <c r="D553" i="4"/>
  <c r="J555" i="4"/>
  <c r="G558" i="4"/>
  <c r="L560" i="4"/>
  <c r="K563" i="4"/>
  <c r="J566" i="4"/>
  <c r="K569" i="4"/>
  <c r="C573" i="4"/>
  <c r="B576" i="4"/>
  <c r="H579" i="4"/>
  <c r="G582" i="4"/>
  <c r="I585" i="4"/>
  <c r="E589" i="4"/>
  <c r="H592" i="4"/>
  <c r="B597" i="4"/>
  <c r="H601" i="4"/>
  <c r="E606" i="4"/>
  <c r="K612" i="4"/>
  <c r="L618" i="4"/>
  <c r="K625" i="4"/>
  <c r="K631" i="4"/>
  <c r="C639" i="4"/>
  <c r="B650" i="4"/>
  <c r="D660" i="4"/>
  <c r="I671" i="4"/>
  <c r="K682" i="4"/>
  <c r="K695" i="4"/>
  <c r="G713" i="4"/>
  <c r="C732" i="4"/>
  <c r="J754" i="4"/>
  <c r="H780" i="4"/>
  <c r="D831" i="4"/>
  <c r="B105" i="4"/>
  <c r="H111" i="4"/>
  <c r="J113" i="4"/>
  <c r="L115" i="4"/>
  <c r="B129" i="4"/>
  <c r="B139" i="4"/>
  <c r="I141" i="4"/>
  <c r="B171" i="4"/>
  <c r="D496" i="4"/>
  <c r="C496" i="4"/>
  <c r="M496" i="4"/>
  <c r="B496" i="4"/>
  <c r="L496" i="4"/>
  <c r="K496" i="4"/>
  <c r="J496" i="4"/>
  <c r="I496" i="4"/>
  <c r="F496" i="4"/>
  <c r="E496" i="4"/>
  <c r="H496" i="4"/>
  <c r="G496" i="4"/>
  <c r="D484" i="4"/>
  <c r="M484" i="4"/>
  <c r="B484" i="4"/>
  <c r="L484" i="4"/>
  <c r="K484" i="4"/>
  <c r="J484" i="4"/>
  <c r="I484" i="4"/>
  <c r="F484" i="4"/>
  <c r="E484" i="4"/>
  <c r="H484" i="4"/>
  <c r="G484" i="4"/>
  <c r="C484" i="4"/>
  <c r="M472" i="4"/>
  <c r="B472" i="4"/>
  <c r="L472" i="4"/>
  <c r="K472" i="4"/>
  <c r="J472" i="4"/>
  <c r="I472" i="4"/>
  <c r="H472" i="4"/>
  <c r="G472" i="4"/>
  <c r="F472" i="4"/>
  <c r="E472" i="4"/>
  <c r="D472" i="4"/>
  <c r="C472" i="4"/>
  <c r="M460" i="4"/>
  <c r="B460" i="4"/>
  <c r="L460" i="4"/>
  <c r="K460" i="4"/>
  <c r="J460" i="4"/>
  <c r="I460" i="4"/>
  <c r="H460" i="4"/>
  <c r="G460" i="4"/>
  <c r="F460" i="4"/>
  <c r="E460" i="4"/>
  <c r="D460" i="4"/>
  <c r="C460" i="4"/>
  <c r="M448" i="4"/>
  <c r="B448" i="4"/>
  <c r="L448" i="4"/>
  <c r="K448" i="4"/>
  <c r="I448" i="4"/>
  <c r="H448" i="4"/>
  <c r="G448" i="4"/>
  <c r="F448" i="4"/>
  <c r="E448" i="4"/>
  <c r="D448" i="4"/>
  <c r="J448" i="4"/>
  <c r="C448" i="4"/>
  <c r="M436" i="4"/>
  <c r="B436" i="4"/>
  <c r="L436" i="4"/>
  <c r="K436" i="4"/>
  <c r="I436" i="4"/>
  <c r="H436" i="4"/>
  <c r="G436" i="4"/>
  <c r="F436" i="4"/>
  <c r="J436" i="4"/>
  <c r="D436" i="4"/>
  <c r="C436" i="4"/>
  <c r="E436" i="4"/>
  <c r="M424" i="4"/>
  <c r="B424" i="4"/>
  <c r="L424" i="4"/>
  <c r="K424" i="4"/>
  <c r="I424" i="4"/>
  <c r="H424" i="4"/>
  <c r="G424" i="4"/>
  <c r="F424" i="4"/>
  <c r="C424" i="4"/>
  <c r="J424" i="4"/>
  <c r="E424" i="4"/>
  <c r="D424" i="4"/>
  <c r="M412" i="4"/>
  <c r="B412" i="4"/>
  <c r="L412" i="4"/>
  <c r="K412" i="4"/>
  <c r="I412" i="4"/>
  <c r="G412" i="4"/>
  <c r="F412" i="4"/>
  <c r="H412" i="4"/>
  <c r="E412" i="4"/>
  <c r="C412" i="4"/>
  <c r="J412" i="4"/>
  <c r="D412" i="4"/>
  <c r="M400" i="4"/>
  <c r="B400" i="4"/>
  <c r="L400" i="4"/>
  <c r="K400" i="4"/>
  <c r="F400" i="4"/>
  <c r="I400" i="4"/>
  <c r="H400" i="4"/>
  <c r="E400" i="4"/>
  <c r="D400" i="4"/>
  <c r="J400" i="4"/>
  <c r="C400" i="4"/>
  <c r="G400" i="4"/>
  <c r="M388" i="4"/>
  <c r="F388" i="4"/>
  <c r="E388" i="4"/>
  <c r="C388" i="4"/>
  <c r="B388" i="4"/>
  <c r="L388" i="4"/>
  <c r="I388" i="4"/>
  <c r="H388" i="4"/>
  <c r="K388" i="4"/>
  <c r="G388" i="4"/>
  <c r="D388" i="4"/>
  <c r="J388" i="4"/>
  <c r="M376" i="4"/>
  <c r="F376" i="4"/>
  <c r="E376" i="4"/>
  <c r="C376" i="4"/>
  <c r="B376" i="4"/>
  <c r="L376" i="4"/>
  <c r="I376" i="4"/>
  <c r="H376" i="4"/>
  <c r="D376" i="4"/>
  <c r="K376" i="4"/>
  <c r="J376" i="4"/>
  <c r="G376" i="4"/>
  <c r="M364" i="4"/>
  <c r="F364" i="4"/>
  <c r="E364" i="4"/>
  <c r="C364" i="4"/>
  <c r="B364" i="4"/>
  <c r="L364" i="4"/>
  <c r="I364" i="4"/>
  <c r="H364" i="4"/>
  <c r="K364" i="4"/>
  <c r="G364" i="4"/>
  <c r="D364" i="4"/>
  <c r="M352" i="4"/>
  <c r="F352" i="4"/>
  <c r="E352" i="4"/>
  <c r="C352" i="4"/>
  <c r="B352" i="4"/>
  <c r="L352" i="4"/>
  <c r="I352" i="4"/>
  <c r="H352" i="4"/>
  <c r="J352" i="4"/>
  <c r="G352" i="4"/>
  <c r="D352" i="4"/>
  <c r="K352" i="4"/>
  <c r="M340" i="4"/>
  <c r="F340" i="4"/>
  <c r="E340" i="4"/>
  <c r="C340" i="4"/>
  <c r="B340" i="4"/>
  <c r="L340" i="4"/>
  <c r="I340" i="4"/>
  <c r="H340" i="4"/>
  <c r="K340" i="4"/>
  <c r="J340" i="4"/>
  <c r="D340" i="4"/>
  <c r="G340" i="4"/>
  <c r="M328" i="4"/>
  <c r="E328" i="4"/>
  <c r="D328" i="4"/>
  <c r="C328" i="4"/>
  <c r="K328" i="4"/>
  <c r="J328" i="4"/>
  <c r="H328" i="4"/>
  <c r="G328" i="4"/>
  <c r="F328" i="4"/>
  <c r="B328" i="4"/>
  <c r="L328" i="4"/>
  <c r="I328" i="4"/>
  <c r="M316" i="4"/>
  <c r="E316" i="4"/>
  <c r="D316" i="4"/>
  <c r="C316" i="4"/>
  <c r="K316" i="4"/>
  <c r="J316" i="4"/>
  <c r="H316" i="4"/>
  <c r="G316" i="4"/>
  <c r="F316" i="4"/>
  <c r="L316" i="4"/>
  <c r="B316" i="4"/>
  <c r="M304" i="4"/>
  <c r="E304" i="4"/>
  <c r="D304" i="4"/>
  <c r="C304" i="4"/>
  <c r="K304" i="4"/>
  <c r="J304" i="4"/>
  <c r="F304" i="4"/>
  <c r="L304" i="4"/>
  <c r="H304" i="4"/>
  <c r="B304" i="4"/>
  <c r="G304" i="4"/>
  <c r="A293" i="2"/>
  <c r="M292" i="4"/>
  <c r="E292" i="4"/>
  <c r="D292" i="4"/>
  <c r="C292" i="4"/>
  <c r="K292" i="4"/>
  <c r="J292" i="4"/>
  <c r="F292" i="4"/>
  <c r="G292" i="4"/>
  <c r="H292" i="4"/>
  <c r="L292" i="4"/>
  <c r="I292" i="4"/>
  <c r="B292" i="4"/>
  <c r="A281" i="2"/>
  <c r="M280" i="4"/>
  <c r="E280" i="4"/>
  <c r="K280" i="4"/>
  <c r="J280" i="4"/>
  <c r="F280" i="4"/>
  <c r="I280" i="4"/>
  <c r="G280" i="4"/>
  <c r="C280" i="4"/>
  <c r="L280" i="4"/>
  <c r="D280" i="4"/>
  <c r="H280" i="4"/>
  <c r="A269" i="2"/>
  <c r="M268" i="4"/>
  <c r="E268" i="4"/>
  <c r="C268" i="4"/>
  <c r="K268" i="4"/>
  <c r="G268" i="4"/>
  <c r="J268" i="4"/>
  <c r="H268" i="4"/>
  <c r="D268" i="4"/>
  <c r="L268" i="4"/>
  <c r="F268" i="4"/>
  <c r="B268" i="4"/>
  <c r="I268" i="4"/>
  <c r="A257" i="2"/>
  <c r="M256" i="4"/>
  <c r="E256" i="4"/>
  <c r="C256" i="4"/>
  <c r="K256" i="4"/>
  <c r="G256" i="4"/>
  <c r="B256" i="4"/>
  <c r="L256" i="4"/>
  <c r="F256" i="4"/>
  <c r="I256" i="4"/>
  <c r="D256" i="4"/>
  <c r="J256" i="4"/>
  <c r="M244" i="4"/>
  <c r="A245" i="2"/>
  <c r="E244" i="4"/>
  <c r="C244" i="4"/>
  <c r="K244" i="4"/>
  <c r="G244" i="4"/>
  <c r="J244" i="4"/>
  <c r="H244" i="4"/>
  <c r="D244" i="4"/>
  <c r="F244" i="4"/>
  <c r="B244" i="4"/>
  <c r="A233" i="2"/>
  <c r="M232" i="4"/>
  <c r="E232" i="4"/>
  <c r="C232" i="4"/>
  <c r="K232" i="4"/>
  <c r="G232" i="4"/>
  <c r="L232" i="4"/>
  <c r="I232" i="4"/>
  <c r="B232" i="4"/>
  <c r="J232" i="4"/>
  <c r="F232" i="4"/>
  <c r="H232" i="4"/>
  <c r="A221" i="2"/>
  <c r="M220" i="4"/>
  <c r="E220" i="4"/>
  <c r="C220" i="4"/>
  <c r="K220" i="4"/>
  <c r="G220" i="4"/>
  <c r="H220" i="4"/>
  <c r="D220" i="4"/>
  <c r="J220" i="4"/>
  <c r="L220" i="4"/>
  <c r="F220" i="4"/>
  <c r="B220" i="4"/>
  <c r="A209" i="2"/>
  <c r="M208" i="4"/>
  <c r="E208" i="4"/>
  <c r="K208" i="4"/>
  <c r="L208" i="4"/>
  <c r="I208" i="4"/>
  <c r="G208" i="4"/>
  <c r="B208" i="4"/>
  <c r="H208" i="4"/>
  <c r="D208" i="4"/>
  <c r="C208" i="4"/>
  <c r="F208" i="4"/>
  <c r="A197" i="2"/>
  <c r="M196" i="4"/>
  <c r="J196" i="4"/>
  <c r="H196" i="4"/>
  <c r="F196" i="4"/>
  <c r="D196" i="4"/>
  <c r="L196" i="4"/>
  <c r="K196" i="4"/>
  <c r="I196" i="4"/>
  <c r="E196" i="4"/>
  <c r="C196" i="4"/>
  <c r="A185" i="2"/>
  <c r="M184" i="4"/>
  <c r="J184" i="4"/>
  <c r="H184" i="4"/>
  <c r="F184" i="4"/>
  <c r="D184" i="4"/>
  <c r="L184" i="4"/>
  <c r="E184" i="4"/>
  <c r="B184" i="4"/>
  <c r="I184" i="4"/>
  <c r="G184" i="4"/>
  <c r="C184" i="4"/>
  <c r="A173" i="2"/>
  <c r="M172" i="4"/>
  <c r="J172" i="4"/>
  <c r="F172" i="4"/>
  <c r="D172" i="4"/>
  <c r="L172" i="4"/>
  <c r="K172" i="4"/>
  <c r="H172" i="4"/>
  <c r="C172" i="4"/>
  <c r="I172" i="4"/>
  <c r="B172" i="4"/>
  <c r="A161" i="2"/>
  <c r="M160" i="4"/>
  <c r="J160" i="4"/>
  <c r="D160" i="4"/>
  <c r="E160" i="4"/>
  <c r="B160" i="4"/>
  <c r="K160" i="4"/>
  <c r="G160" i="4"/>
  <c r="L160" i="4"/>
  <c r="F160" i="4"/>
  <c r="A149" i="2"/>
  <c r="M148" i="4"/>
  <c r="K148" i="4"/>
  <c r="I148" i="4"/>
  <c r="H148" i="4"/>
  <c r="F148" i="4"/>
  <c r="C148" i="4"/>
  <c r="L148" i="4"/>
  <c r="G148" i="4"/>
  <c r="B148" i="4"/>
  <c r="A137" i="2"/>
  <c r="K137" i="2"/>
  <c r="M136" i="4"/>
  <c r="H136" i="4"/>
  <c r="G136" i="4"/>
  <c r="E136" i="4"/>
  <c r="C136" i="4"/>
  <c r="B136" i="4"/>
  <c r="J136" i="4"/>
  <c r="A125" i="2"/>
  <c r="M124" i="4"/>
  <c r="J124" i="4"/>
  <c r="H124" i="4"/>
  <c r="F124" i="4"/>
  <c r="E124" i="4"/>
  <c r="C124" i="4"/>
  <c r="L124" i="4"/>
  <c r="A113" i="2"/>
  <c r="M112" i="4"/>
  <c r="J112" i="4"/>
  <c r="H112" i="4"/>
  <c r="F112" i="4"/>
  <c r="E112" i="4"/>
  <c r="C112" i="4"/>
  <c r="L112" i="4"/>
  <c r="A101" i="2"/>
  <c r="M100" i="4"/>
  <c r="J100" i="4"/>
  <c r="H100" i="4"/>
  <c r="F100" i="4"/>
  <c r="E100" i="4"/>
  <c r="C100" i="4"/>
  <c r="L100" i="4"/>
  <c r="A89" i="2"/>
  <c r="M88" i="4"/>
  <c r="J88" i="4"/>
  <c r="H88" i="4"/>
  <c r="F88" i="4"/>
  <c r="E88" i="4"/>
  <c r="L88" i="4"/>
  <c r="A77" i="2"/>
  <c r="M76" i="4"/>
  <c r="J76" i="4"/>
  <c r="E76" i="4"/>
  <c r="A65" i="2"/>
  <c r="M64" i="4"/>
  <c r="A53" i="2"/>
  <c r="M52" i="4"/>
  <c r="A41" i="2"/>
  <c r="M40" i="4"/>
  <c r="B40" i="4"/>
  <c r="C41" i="4"/>
  <c r="D42" i="4"/>
  <c r="E43" i="4"/>
  <c r="F44" i="4"/>
  <c r="G45" i="4"/>
  <c r="H46" i="4"/>
  <c r="I47" i="4"/>
  <c r="J48" i="4"/>
  <c r="B52" i="4"/>
  <c r="D54" i="4"/>
  <c r="E55" i="4"/>
  <c r="F56" i="4"/>
  <c r="G57" i="4"/>
  <c r="H58" i="4"/>
  <c r="I59" i="4"/>
  <c r="J60" i="4"/>
  <c r="B64" i="4"/>
  <c r="C65" i="4"/>
  <c r="D66" i="4"/>
  <c r="E67" i="4"/>
  <c r="F68" i="4"/>
  <c r="G69" i="4"/>
  <c r="H70" i="4"/>
  <c r="I71" i="4"/>
  <c r="J72" i="4"/>
  <c r="B76" i="4"/>
  <c r="E77" i="4"/>
  <c r="I78" i="4"/>
  <c r="L79" i="4"/>
  <c r="E81" i="4"/>
  <c r="H82" i="4"/>
  <c r="L89" i="4"/>
  <c r="C92" i="4"/>
  <c r="E94" i="4"/>
  <c r="G96" i="4"/>
  <c r="I98" i="4"/>
  <c r="K100" i="4"/>
  <c r="B103" i="4"/>
  <c r="D105" i="4"/>
  <c r="F107" i="4"/>
  <c r="J111" i="4"/>
  <c r="C116" i="4"/>
  <c r="E118" i="4"/>
  <c r="G120" i="4"/>
  <c r="I122" i="4"/>
  <c r="K124" i="4"/>
  <c r="B127" i="4"/>
  <c r="D129" i="4"/>
  <c r="F131" i="4"/>
  <c r="B134" i="4"/>
  <c r="I136" i="4"/>
  <c r="E139" i="4"/>
  <c r="K141" i="4"/>
  <c r="B150" i="4"/>
  <c r="C160" i="4"/>
  <c r="F165" i="4"/>
  <c r="C186" i="4"/>
  <c r="B201" i="4"/>
  <c r="J208" i="4"/>
  <c r="H256" i="4"/>
  <c r="I316" i="4"/>
  <c r="M315" i="4"/>
  <c r="D315" i="4"/>
  <c r="C315" i="4"/>
  <c r="B315" i="4"/>
  <c r="L315" i="4"/>
  <c r="J315" i="4"/>
  <c r="I315" i="4"/>
  <c r="G315" i="4"/>
  <c r="F315" i="4"/>
  <c r="E315" i="4"/>
  <c r="K315" i="4"/>
  <c r="H315" i="4"/>
  <c r="B63" i="4"/>
  <c r="D103" i="4"/>
  <c r="F105" i="4"/>
  <c r="I120" i="4"/>
  <c r="K122" i="4"/>
  <c r="B125" i="4"/>
  <c r="D127" i="4"/>
  <c r="F129" i="4"/>
  <c r="G139" i="4"/>
  <c r="K165" i="4"/>
  <c r="C194" i="4"/>
  <c r="H201" i="4"/>
  <c r="H209" i="4"/>
  <c r="C219" i="4"/>
  <c r="G257" i="4"/>
  <c r="B321" i="4"/>
  <c r="M389" i="4"/>
  <c r="G389" i="4"/>
  <c r="F389" i="4"/>
  <c r="D389" i="4"/>
  <c r="C389" i="4"/>
  <c r="J389" i="4"/>
  <c r="I389" i="4"/>
  <c r="E389" i="4"/>
  <c r="B389" i="4"/>
  <c r="L389" i="4"/>
  <c r="K389" i="4"/>
  <c r="H389" i="4"/>
  <c r="A102" i="2"/>
  <c r="M101" i="4"/>
  <c r="K101" i="4"/>
  <c r="I101" i="4"/>
  <c r="G101" i="4"/>
  <c r="F101" i="4"/>
  <c r="D101" i="4"/>
  <c r="M447" i="4"/>
  <c r="L447" i="4"/>
  <c r="K447" i="4"/>
  <c r="J447" i="4"/>
  <c r="H447" i="4"/>
  <c r="G447" i="4"/>
  <c r="F447" i="4"/>
  <c r="E447" i="4"/>
  <c r="B447" i="4"/>
  <c r="I447" i="4"/>
  <c r="D447" i="4"/>
  <c r="C447" i="4"/>
  <c r="M363" i="4"/>
  <c r="E363" i="4"/>
  <c r="D363" i="4"/>
  <c r="B363" i="4"/>
  <c r="K363" i="4"/>
  <c r="H363" i="4"/>
  <c r="G363" i="4"/>
  <c r="C363" i="4"/>
  <c r="J363" i="4"/>
  <c r="I363" i="4"/>
  <c r="F363" i="4"/>
  <c r="L363" i="4"/>
  <c r="A172" i="2"/>
  <c r="M171" i="4"/>
  <c r="I171" i="4"/>
  <c r="E171" i="4"/>
  <c r="C171" i="4"/>
  <c r="K171" i="4"/>
  <c r="L171" i="4"/>
  <c r="H171" i="4"/>
  <c r="F171" i="4"/>
  <c r="D171" i="4"/>
  <c r="G171" i="4"/>
  <c r="H45" i="4"/>
  <c r="M470" i="4"/>
  <c r="L470" i="4"/>
  <c r="K470" i="4"/>
  <c r="J470" i="4"/>
  <c r="I470" i="4"/>
  <c r="H470" i="4"/>
  <c r="G470" i="4"/>
  <c r="F470" i="4"/>
  <c r="E470" i="4"/>
  <c r="D470" i="4"/>
  <c r="C470" i="4"/>
  <c r="B470" i="4"/>
  <c r="M410" i="4"/>
  <c r="L410" i="4"/>
  <c r="K410" i="4"/>
  <c r="J410" i="4"/>
  <c r="I410" i="4"/>
  <c r="G410" i="4"/>
  <c r="E410" i="4"/>
  <c r="D410" i="4"/>
  <c r="B410" i="4"/>
  <c r="H410" i="4"/>
  <c r="F410" i="4"/>
  <c r="C410" i="4"/>
  <c r="M362" i="4"/>
  <c r="D362" i="4"/>
  <c r="C362" i="4"/>
  <c r="L362" i="4"/>
  <c r="J362" i="4"/>
  <c r="G362" i="4"/>
  <c r="F362" i="4"/>
  <c r="K362" i="4"/>
  <c r="I362" i="4"/>
  <c r="E362" i="4"/>
  <c r="B362" i="4"/>
  <c r="M326" i="4"/>
  <c r="C326" i="4"/>
  <c r="B326" i="4"/>
  <c r="K326" i="4"/>
  <c r="I326" i="4"/>
  <c r="H326" i="4"/>
  <c r="F326" i="4"/>
  <c r="E326" i="4"/>
  <c r="D326" i="4"/>
  <c r="J326" i="4"/>
  <c r="L326" i="4"/>
  <c r="G326" i="4"/>
  <c r="M290" i="4"/>
  <c r="A291" i="2"/>
  <c r="C290" i="4"/>
  <c r="B290" i="4"/>
  <c r="K290" i="4"/>
  <c r="I290" i="4"/>
  <c r="H290" i="4"/>
  <c r="D290" i="4"/>
  <c r="L290" i="4"/>
  <c r="G290" i="4"/>
  <c r="J290" i="4"/>
  <c r="E290" i="4"/>
  <c r="F290" i="4"/>
  <c r="A255" i="2"/>
  <c r="M254" i="4"/>
  <c r="C254" i="4"/>
  <c r="K254" i="4"/>
  <c r="I254" i="4"/>
  <c r="E254" i="4"/>
  <c r="D254" i="4"/>
  <c r="G254" i="4"/>
  <c r="J254" i="4"/>
  <c r="B254" i="4"/>
  <c r="H254" i="4"/>
  <c r="M206" i="4"/>
  <c r="A207" i="2"/>
  <c r="H206" i="4"/>
  <c r="F206" i="4"/>
  <c r="D206" i="4"/>
  <c r="B206" i="4"/>
  <c r="J206" i="4"/>
  <c r="K206" i="4"/>
  <c r="G206" i="4"/>
  <c r="C206" i="4"/>
  <c r="L206" i="4"/>
  <c r="I206" i="4"/>
  <c r="A183" i="2"/>
  <c r="M182" i="4"/>
  <c r="H182" i="4"/>
  <c r="F182" i="4"/>
  <c r="D182" i="4"/>
  <c r="B182" i="4"/>
  <c r="J182" i="4"/>
  <c r="G182" i="4"/>
  <c r="C182" i="4"/>
  <c r="K182" i="4"/>
  <c r="I182" i="4"/>
  <c r="A171" i="2"/>
  <c r="M170" i="4"/>
  <c r="H170" i="4"/>
  <c r="D170" i="4"/>
  <c r="B170" i="4"/>
  <c r="J170" i="4"/>
  <c r="E170" i="4"/>
  <c r="L170" i="4"/>
  <c r="G170" i="4"/>
  <c r="K170" i="4"/>
  <c r="F170" i="4"/>
  <c r="C170" i="4"/>
  <c r="A159" i="2"/>
  <c r="M158" i="4"/>
  <c r="H158" i="4"/>
  <c r="B158" i="4"/>
  <c r="L158" i="4"/>
  <c r="J158" i="4"/>
  <c r="G158" i="4"/>
  <c r="F158" i="4"/>
  <c r="D158" i="4"/>
  <c r="K158" i="4"/>
  <c r="E158" i="4"/>
  <c r="A147" i="2"/>
  <c r="M146" i="4"/>
  <c r="K146" i="4"/>
  <c r="I146" i="4"/>
  <c r="G146" i="4"/>
  <c r="F146" i="4"/>
  <c r="D146" i="4"/>
  <c r="L146" i="4"/>
  <c r="J146" i="4"/>
  <c r="E146" i="4"/>
  <c r="A135" i="2"/>
  <c r="M134" i="4"/>
  <c r="K134" i="4"/>
  <c r="F134" i="4"/>
  <c r="J134" i="4"/>
  <c r="I134" i="4"/>
  <c r="G134" i="4"/>
  <c r="C134" i="4"/>
  <c r="A111" i="2"/>
  <c r="M110" i="4"/>
  <c r="H110" i="4"/>
  <c r="F110" i="4"/>
  <c r="D110" i="4"/>
  <c r="C110" i="4"/>
  <c r="J110" i="4"/>
  <c r="A99" i="2"/>
  <c r="M98" i="4"/>
  <c r="H98" i="4"/>
  <c r="F98" i="4"/>
  <c r="D98" i="4"/>
  <c r="C98" i="4"/>
  <c r="J98" i="4"/>
  <c r="A87" i="2"/>
  <c r="M86" i="4"/>
  <c r="H86" i="4"/>
  <c r="C86" i="4"/>
  <c r="A75" i="2"/>
  <c r="M74" i="4"/>
  <c r="A63" i="2"/>
  <c r="M62" i="4"/>
  <c r="A51" i="2"/>
  <c r="M50" i="4"/>
  <c r="C39" i="4"/>
  <c r="G43" i="4"/>
  <c r="I45" i="4"/>
  <c r="B62" i="4"/>
  <c r="C63" i="4"/>
  <c r="G67" i="4"/>
  <c r="G81" i="4"/>
  <c r="J86" i="4"/>
  <c r="C125" i="4"/>
  <c r="E127" i="4"/>
  <c r="G129" i="4"/>
  <c r="H139" i="4"/>
  <c r="G172" i="4"/>
  <c r="D232" i="4"/>
  <c r="L244" i="4"/>
  <c r="M473" i="4"/>
  <c r="C473" i="4"/>
  <c r="B473" i="4"/>
  <c r="L473" i="4"/>
  <c r="K473" i="4"/>
  <c r="J473" i="4"/>
  <c r="I473" i="4"/>
  <c r="H473" i="4"/>
  <c r="G473" i="4"/>
  <c r="F473" i="4"/>
  <c r="E473" i="4"/>
  <c r="D473" i="4"/>
  <c r="M413" i="4"/>
  <c r="C413" i="4"/>
  <c r="B413" i="4"/>
  <c r="L413" i="4"/>
  <c r="J413" i="4"/>
  <c r="H413" i="4"/>
  <c r="G413" i="4"/>
  <c r="K413" i="4"/>
  <c r="E413" i="4"/>
  <c r="D413" i="4"/>
  <c r="F413" i="4"/>
  <c r="I413" i="4"/>
  <c r="M353" i="4"/>
  <c r="G353" i="4"/>
  <c r="F353" i="4"/>
  <c r="D353" i="4"/>
  <c r="C353" i="4"/>
  <c r="J353" i="4"/>
  <c r="I353" i="4"/>
  <c r="L353" i="4"/>
  <c r="K353" i="4"/>
  <c r="E353" i="4"/>
  <c r="B353" i="4"/>
  <c r="M317" i="4"/>
  <c r="F317" i="4"/>
  <c r="E317" i="4"/>
  <c r="D317" i="4"/>
  <c r="B317" i="4"/>
  <c r="L317" i="4"/>
  <c r="K317" i="4"/>
  <c r="I317" i="4"/>
  <c r="H317" i="4"/>
  <c r="G317" i="4"/>
  <c r="C317" i="4"/>
  <c r="J317" i="4"/>
  <c r="A282" i="2"/>
  <c r="M281" i="4"/>
  <c r="F281" i="4"/>
  <c r="E281" i="4"/>
  <c r="B281" i="4"/>
  <c r="L281" i="4"/>
  <c r="K281" i="4"/>
  <c r="G281" i="4"/>
  <c r="J281" i="4"/>
  <c r="C281" i="4"/>
  <c r="H281" i="4"/>
  <c r="D281" i="4"/>
  <c r="M245" i="4"/>
  <c r="A246" i="2"/>
  <c r="F245" i="4"/>
  <c r="D245" i="4"/>
  <c r="B245" i="4"/>
  <c r="L245" i="4"/>
  <c r="H245" i="4"/>
  <c r="J245" i="4"/>
  <c r="C245" i="4"/>
  <c r="K245" i="4"/>
  <c r="I245" i="4"/>
  <c r="E245" i="4"/>
  <c r="G245" i="4"/>
  <c r="A222" i="2"/>
  <c r="M221" i="4"/>
  <c r="F221" i="4"/>
  <c r="D221" i="4"/>
  <c r="B221" i="4"/>
  <c r="L221" i="4"/>
  <c r="H221" i="4"/>
  <c r="J221" i="4"/>
  <c r="G221" i="4"/>
  <c r="E221" i="4"/>
  <c r="K221" i="4"/>
  <c r="I221" i="4"/>
  <c r="C221" i="4"/>
  <c r="A186" i="2"/>
  <c r="M185" i="4"/>
  <c r="K185" i="4"/>
  <c r="I185" i="4"/>
  <c r="G185" i="4"/>
  <c r="E185" i="4"/>
  <c r="L185" i="4"/>
  <c r="H185" i="4"/>
  <c r="F185" i="4"/>
  <c r="C185" i="4"/>
  <c r="J185" i="4"/>
  <c r="B185" i="4"/>
  <c r="A174" i="2"/>
  <c r="M173" i="4"/>
  <c r="K173" i="4"/>
  <c r="G173" i="4"/>
  <c r="E173" i="4"/>
  <c r="H173" i="4"/>
  <c r="D173" i="4"/>
  <c r="B173" i="4"/>
  <c r="J173" i="4"/>
  <c r="I173" i="4"/>
  <c r="F173" i="4"/>
  <c r="A114" i="2"/>
  <c r="M113" i="4"/>
  <c r="K113" i="4"/>
  <c r="I113" i="4"/>
  <c r="G113" i="4"/>
  <c r="F113" i="4"/>
  <c r="D113" i="4"/>
  <c r="A90" i="2"/>
  <c r="M89" i="4"/>
  <c r="K89" i="4"/>
  <c r="I89" i="4"/>
  <c r="G89" i="4"/>
  <c r="F89" i="4"/>
  <c r="D89" i="4"/>
  <c r="A78" i="2"/>
  <c r="M77" i="4"/>
  <c r="K77" i="4"/>
  <c r="F77" i="4"/>
  <c r="A66" i="2"/>
  <c r="M65" i="4"/>
  <c r="A54" i="2"/>
  <c r="M53" i="4"/>
  <c r="A42" i="2"/>
  <c r="M41" i="4"/>
  <c r="B41" i="4"/>
  <c r="B53" i="4"/>
  <c r="D77" i="4"/>
  <c r="M399" i="4"/>
  <c r="L399" i="4"/>
  <c r="K399" i="4"/>
  <c r="J399" i="4"/>
  <c r="E399" i="4"/>
  <c r="B399" i="4"/>
  <c r="I399" i="4"/>
  <c r="F399" i="4"/>
  <c r="D399" i="4"/>
  <c r="G399" i="4"/>
  <c r="C399" i="4"/>
  <c r="H399" i="4"/>
  <c r="D41" i="4"/>
  <c r="F55" i="4"/>
  <c r="H57" i="4"/>
  <c r="B75" i="4"/>
  <c r="G77" i="4"/>
  <c r="F81" i="4"/>
  <c r="M458" i="4"/>
  <c r="L458" i="4"/>
  <c r="K458" i="4"/>
  <c r="J458" i="4"/>
  <c r="I458" i="4"/>
  <c r="H458" i="4"/>
  <c r="G458" i="4"/>
  <c r="F458" i="4"/>
  <c r="E458" i="4"/>
  <c r="D458" i="4"/>
  <c r="C458" i="4"/>
  <c r="B458" i="4"/>
  <c r="M422" i="4"/>
  <c r="L422" i="4"/>
  <c r="K422" i="4"/>
  <c r="J422" i="4"/>
  <c r="I422" i="4"/>
  <c r="G422" i="4"/>
  <c r="F422" i="4"/>
  <c r="E422" i="4"/>
  <c r="D422" i="4"/>
  <c r="C422" i="4"/>
  <c r="H422" i="4"/>
  <c r="B422" i="4"/>
  <c r="M398" i="4"/>
  <c r="L398" i="4"/>
  <c r="K398" i="4"/>
  <c r="J398" i="4"/>
  <c r="I398" i="4"/>
  <c r="D398" i="4"/>
  <c r="H398" i="4"/>
  <c r="F398" i="4"/>
  <c r="E398" i="4"/>
  <c r="B398" i="4"/>
  <c r="C398" i="4"/>
  <c r="G398" i="4"/>
  <c r="M350" i="4"/>
  <c r="D350" i="4"/>
  <c r="C350" i="4"/>
  <c r="L350" i="4"/>
  <c r="J350" i="4"/>
  <c r="G350" i="4"/>
  <c r="F350" i="4"/>
  <c r="B350" i="4"/>
  <c r="I350" i="4"/>
  <c r="H350" i="4"/>
  <c r="E350" i="4"/>
  <c r="K350" i="4"/>
  <c r="M338" i="4"/>
  <c r="D338" i="4"/>
  <c r="C338" i="4"/>
  <c r="L338" i="4"/>
  <c r="J338" i="4"/>
  <c r="G338" i="4"/>
  <c r="F338" i="4"/>
  <c r="I338" i="4"/>
  <c r="E338" i="4"/>
  <c r="B338" i="4"/>
  <c r="K338" i="4"/>
  <c r="M314" i="4"/>
  <c r="C314" i="4"/>
  <c r="B314" i="4"/>
  <c r="K314" i="4"/>
  <c r="I314" i="4"/>
  <c r="H314" i="4"/>
  <c r="F314" i="4"/>
  <c r="E314" i="4"/>
  <c r="D314" i="4"/>
  <c r="L314" i="4"/>
  <c r="G314" i="4"/>
  <c r="J314" i="4"/>
  <c r="M302" i="4"/>
  <c r="C302" i="4"/>
  <c r="B302" i="4"/>
  <c r="K302" i="4"/>
  <c r="I302" i="4"/>
  <c r="H302" i="4"/>
  <c r="D302" i="4"/>
  <c r="F302" i="4"/>
  <c r="J302" i="4"/>
  <c r="E302" i="4"/>
  <c r="G302" i="4"/>
  <c r="L302" i="4"/>
  <c r="M266" i="4"/>
  <c r="A267" i="2"/>
  <c r="P267" i="2"/>
  <c r="C266" i="4"/>
  <c r="K266" i="4"/>
  <c r="I266" i="4"/>
  <c r="E266" i="4"/>
  <c r="L266" i="4"/>
  <c r="H266" i="4"/>
  <c r="F266" i="4"/>
  <c r="D266" i="4"/>
  <c r="J266" i="4"/>
  <c r="G266" i="4"/>
  <c r="B266" i="4"/>
  <c r="A231" i="2"/>
  <c r="M230" i="4"/>
  <c r="C230" i="4"/>
  <c r="K230" i="4"/>
  <c r="I230" i="4"/>
  <c r="E230" i="4"/>
  <c r="J230" i="4"/>
  <c r="D230" i="4"/>
  <c r="L230" i="4"/>
  <c r="G230" i="4"/>
  <c r="B230" i="4"/>
  <c r="F230" i="4"/>
  <c r="A195" i="2"/>
  <c r="M194" i="4"/>
  <c r="H194" i="4"/>
  <c r="F194" i="4"/>
  <c r="D194" i="4"/>
  <c r="B194" i="4"/>
  <c r="J194" i="4"/>
  <c r="L194" i="4"/>
  <c r="K194" i="4"/>
  <c r="G194" i="4"/>
  <c r="I194" i="4"/>
  <c r="A123" i="2"/>
  <c r="M122" i="4"/>
  <c r="H122" i="4"/>
  <c r="F122" i="4"/>
  <c r="D122" i="4"/>
  <c r="C122" i="4"/>
  <c r="J122" i="4"/>
  <c r="E53" i="4"/>
  <c r="E65" i="4"/>
  <c r="I69" i="4"/>
  <c r="B74" i="4"/>
  <c r="C75" i="4"/>
  <c r="C84" i="4"/>
  <c r="J96" i="4"/>
  <c r="L98" i="4"/>
  <c r="C101" i="4"/>
  <c r="E103" i="4"/>
  <c r="G105" i="4"/>
  <c r="J120" i="4"/>
  <c r="E134" i="4"/>
  <c r="C146" i="4"/>
  <c r="L493" i="4"/>
  <c r="K493" i="4"/>
  <c r="J493" i="4"/>
  <c r="I493" i="4"/>
  <c r="H493" i="4"/>
  <c r="G493" i="4"/>
  <c r="F493" i="4"/>
  <c r="C493" i="4"/>
  <c r="M493" i="4"/>
  <c r="B493" i="4"/>
  <c r="E493" i="4"/>
  <c r="D493" i="4"/>
  <c r="K481" i="4"/>
  <c r="I481" i="4"/>
  <c r="H481" i="4"/>
  <c r="G481" i="4"/>
  <c r="C481" i="4"/>
  <c r="M481" i="4"/>
  <c r="B481" i="4"/>
  <c r="L481" i="4"/>
  <c r="J481" i="4"/>
  <c r="F481" i="4"/>
  <c r="E481" i="4"/>
  <c r="D481" i="4"/>
  <c r="M469" i="4"/>
  <c r="K469" i="4"/>
  <c r="J469" i="4"/>
  <c r="I469" i="4"/>
  <c r="H469" i="4"/>
  <c r="G469" i="4"/>
  <c r="F469" i="4"/>
  <c r="E469" i="4"/>
  <c r="D469" i="4"/>
  <c r="C469" i="4"/>
  <c r="B469" i="4"/>
  <c r="L469" i="4"/>
  <c r="M457" i="4"/>
  <c r="K457" i="4"/>
  <c r="J457" i="4"/>
  <c r="I457" i="4"/>
  <c r="H457" i="4"/>
  <c r="G457" i="4"/>
  <c r="F457" i="4"/>
  <c r="E457" i="4"/>
  <c r="D457" i="4"/>
  <c r="C457" i="4"/>
  <c r="B457" i="4"/>
  <c r="L457" i="4"/>
  <c r="M445" i="4"/>
  <c r="K445" i="4"/>
  <c r="J445" i="4"/>
  <c r="I445" i="4"/>
  <c r="H445" i="4"/>
  <c r="F445" i="4"/>
  <c r="E445" i="4"/>
  <c r="D445" i="4"/>
  <c r="C445" i="4"/>
  <c r="L445" i="4"/>
  <c r="B445" i="4"/>
  <c r="G445" i="4"/>
  <c r="M433" i="4"/>
  <c r="K433" i="4"/>
  <c r="J433" i="4"/>
  <c r="I433" i="4"/>
  <c r="H433" i="4"/>
  <c r="F433" i="4"/>
  <c r="E433" i="4"/>
  <c r="D433" i="4"/>
  <c r="C433" i="4"/>
  <c r="L433" i="4"/>
  <c r="G433" i="4"/>
  <c r="B433" i="4"/>
  <c r="M421" i="4"/>
  <c r="K421" i="4"/>
  <c r="J421" i="4"/>
  <c r="I421" i="4"/>
  <c r="H421" i="4"/>
  <c r="F421" i="4"/>
  <c r="E421" i="4"/>
  <c r="D421" i="4"/>
  <c r="C421" i="4"/>
  <c r="G421" i="4"/>
  <c r="B421" i="4"/>
  <c r="L421" i="4"/>
  <c r="M409" i="4"/>
  <c r="K409" i="4"/>
  <c r="J409" i="4"/>
  <c r="I409" i="4"/>
  <c r="H409" i="4"/>
  <c r="F409" i="4"/>
  <c r="D409" i="4"/>
  <c r="C409" i="4"/>
  <c r="L409" i="4"/>
  <c r="E409" i="4"/>
  <c r="B409" i="4"/>
  <c r="G409" i="4"/>
  <c r="M397" i="4"/>
  <c r="K397" i="4"/>
  <c r="C397" i="4"/>
  <c r="F397" i="4"/>
  <c r="E397" i="4"/>
  <c r="B397" i="4"/>
  <c r="I397" i="4"/>
  <c r="H397" i="4"/>
  <c r="G397" i="4"/>
  <c r="D397" i="4"/>
  <c r="L397" i="4"/>
  <c r="J397" i="4"/>
  <c r="M385" i="4"/>
  <c r="C385" i="4"/>
  <c r="B385" i="4"/>
  <c r="L385" i="4"/>
  <c r="K385" i="4"/>
  <c r="I385" i="4"/>
  <c r="F385" i="4"/>
  <c r="E385" i="4"/>
  <c r="J385" i="4"/>
  <c r="G385" i="4"/>
  <c r="D385" i="4"/>
  <c r="H385" i="4"/>
  <c r="M373" i="4"/>
  <c r="C373" i="4"/>
  <c r="B373" i="4"/>
  <c r="L373" i="4"/>
  <c r="K373" i="4"/>
  <c r="I373" i="4"/>
  <c r="F373" i="4"/>
  <c r="E373" i="4"/>
  <c r="H373" i="4"/>
  <c r="G373" i="4"/>
  <c r="D373" i="4"/>
  <c r="J373" i="4"/>
  <c r="M361" i="4"/>
  <c r="C361" i="4"/>
  <c r="B361" i="4"/>
  <c r="L361" i="4"/>
  <c r="K361" i="4"/>
  <c r="I361" i="4"/>
  <c r="F361" i="4"/>
  <c r="E361" i="4"/>
  <c r="J361" i="4"/>
  <c r="H361" i="4"/>
  <c r="D361" i="4"/>
  <c r="G361" i="4"/>
  <c r="M349" i="4"/>
  <c r="C349" i="4"/>
  <c r="B349" i="4"/>
  <c r="L349" i="4"/>
  <c r="K349" i="4"/>
  <c r="I349" i="4"/>
  <c r="F349" i="4"/>
  <c r="E349" i="4"/>
  <c r="J349" i="4"/>
  <c r="H349" i="4"/>
  <c r="D349" i="4"/>
  <c r="G349" i="4"/>
  <c r="M337" i="4"/>
  <c r="C337" i="4"/>
  <c r="B337" i="4"/>
  <c r="L337" i="4"/>
  <c r="K337" i="4"/>
  <c r="I337" i="4"/>
  <c r="F337" i="4"/>
  <c r="E337" i="4"/>
  <c r="H337" i="4"/>
  <c r="G337" i="4"/>
  <c r="D337" i="4"/>
  <c r="J337" i="4"/>
  <c r="M325" i="4"/>
  <c r="B325" i="4"/>
  <c r="L325" i="4"/>
  <c r="J325" i="4"/>
  <c r="H325" i="4"/>
  <c r="G325" i="4"/>
  <c r="E325" i="4"/>
  <c r="D325" i="4"/>
  <c r="C325" i="4"/>
  <c r="K325" i="4"/>
  <c r="I325" i="4"/>
  <c r="F325" i="4"/>
  <c r="M313" i="4"/>
  <c r="B313" i="4"/>
  <c r="L313" i="4"/>
  <c r="J313" i="4"/>
  <c r="H313" i="4"/>
  <c r="G313" i="4"/>
  <c r="E313" i="4"/>
  <c r="D313" i="4"/>
  <c r="C313" i="4"/>
  <c r="I313" i="4"/>
  <c r="F313" i="4"/>
  <c r="K313" i="4"/>
  <c r="M301" i="4"/>
  <c r="B301" i="4"/>
  <c r="L301" i="4"/>
  <c r="J301" i="4"/>
  <c r="H301" i="4"/>
  <c r="G301" i="4"/>
  <c r="C301" i="4"/>
  <c r="K301" i="4"/>
  <c r="F301" i="4"/>
  <c r="D301" i="4"/>
  <c r="E301" i="4"/>
  <c r="A290" i="2"/>
  <c r="M289" i="4"/>
  <c r="B289" i="4"/>
  <c r="J289" i="4"/>
  <c r="H289" i="4"/>
  <c r="G289" i="4"/>
  <c r="C289" i="4"/>
  <c r="F289" i="4"/>
  <c r="D289" i="4"/>
  <c r="K289" i="4"/>
  <c r="L289" i="4"/>
  <c r="E289" i="4"/>
  <c r="A278" i="2"/>
  <c r="G278" i="2"/>
  <c r="M277" i="4"/>
  <c r="B277" i="4"/>
  <c r="L277" i="4"/>
  <c r="J277" i="4"/>
  <c r="H277" i="4"/>
  <c r="D277" i="4"/>
  <c r="K277" i="4"/>
  <c r="G277" i="4"/>
  <c r="I277" i="4"/>
  <c r="E277" i="4"/>
  <c r="F277" i="4"/>
  <c r="A266" i="2"/>
  <c r="M265" i="4"/>
  <c r="B265" i="4"/>
  <c r="L265" i="4"/>
  <c r="J265" i="4"/>
  <c r="H265" i="4"/>
  <c r="D265" i="4"/>
  <c r="F265" i="4"/>
  <c r="C265" i="4"/>
  <c r="I265" i="4"/>
  <c r="K265" i="4"/>
  <c r="E265" i="4"/>
  <c r="A254" i="2"/>
  <c r="M253" i="4"/>
  <c r="B253" i="4"/>
  <c r="L253" i="4"/>
  <c r="J253" i="4"/>
  <c r="H253" i="4"/>
  <c r="D253" i="4"/>
  <c r="K253" i="4"/>
  <c r="G253" i="4"/>
  <c r="E253" i="4"/>
  <c r="F253" i="4"/>
  <c r="I253" i="4"/>
  <c r="C253" i="4"/>
  <c r="A242" i="2"/>
  <c r="M241" i="4"/>
  <c r="B241" i="4"/>
  <c r="L241" i="4"/>
  <c r="J241" i="4"/>
  <c r="H241" i="4"/>
  <c r="D241" i="4"/>
  <c r="C241" i="4"/>
  <c r="F241" i="4"/>
  <c r="K241" i="4"/>
  <c r="E241" i="4"/>
  <c r="I241" i="4"/>
  <c r="A230" i="2"/>
  <c r="M229" i="4"/>
  <c r="B229" i="4"/>
  <c r="L229" i="4"/>
  <c r="J229" i="4"/>
  <c r="H229" i="4"/>
  <c r="D229" i="4"/>
  <c r="K229" i="4"/>
  <c r="G229" i="4"/>
  <c r="E229" i="4"/>
  <c r="I229" i="4"/>
  <c r="C229" i="4"/>
  <c r="A218" i="2"/>
  <c r="M217" i="4"/>
  <c r="B217" i="4"/>
  <c r="J217" i="4"/>
  <c r="H217" i="4"/>
  <c r="D217" i="4"/>
  <c r="C217" i="4"/>
  <c r="L217" i="4"/>
  <c r="F217" i="4"/>
  <c r="K217" i="4"/>
  <c r="G217" i="4"/>
  <c r="E217" i="4"/>
  <c r="I217" i="4"/>
  <c r="A206" i="2"/>
  <c r="M205" i="4"/>
  <c r="G205" i="4"/>
  <c r="E205" i="4"/>
  <c r="C205" i="4"/>
  <c r="I205" i="4"/>
  <c r="L205" i="4"/>
  <c r="J205" i="4"/>
  <c r="D205" i="4"/>
  <c r="K205" i="4"/>
  <c r="B205" i="4"/>
  <c r="A194" i="2"/>
  <c r="M193" i="4"/>
  <c r="G193" i="4"/>
  <c r="E193" i="4"/>
  <c r="C193" i="4"/>
  <c r="I193" i="4"/>
  <c r="J193" i="4"/>
  <c r="F193" i="4"/>
  <c r="B193" i="4"/>
  <c r="L193" i="4"/>
  <c r="D193" i="4"/>
  <c r="K193" i="4"/>
  <c r="A182" i="2"/>
  <c r="M181" i="4"/>
  <c r="G181" i="4"/>
  <c r="E181" i="4"/>
  <c r="C181" i="4"/>
  <c r="I181" i="4"/>
  <c r="K181" i="4"/>
  <c r="J181" i="4"/>
  <c r="F181" i="4"/>
  <c r="L181" i="4"/>
  <c r="D181" i="4"/>
  <c r="A170" i="2"/>
  <c r="M169" i="4"/>
  <c r="G169" i="4"/>
  <c r="C169" i="4"/>
  <c r="I169" i="4"/>
  <c r="L169" i="4"/>
  <c r="J169" i="4"/>
  <c r="H169" i="4"/>
  <c r="E169" i="4"/>
  <c r="F169" i="4"/>
  <c r="A158" i="2"/>
  <c r="M157" i="4"/>
  <c r="G157" i="4"/>
  <c r="I157" i="4"/>
  <c r="F157" i="4"/>
  <c r="D157" i="4"/>
  <c r="C157" i="4"/>
  <c r="K157" i="4"/>
  <c r="E157" i="4"/>
  <c r="J157" i="4"/>
  <c r="A146" i="2"/>
  <c r="M145" i="4"/>
  <c r="J145" i="4"/>
  <c r="H145" i="4"/>
  <c r="F145" i="4"/>
  <c r="E145" i="4"/>
  <c r="C145" i="4"/>
  <c r="L145" i="4"/>
  <c r="G145" i="4"/>
  <c r="B145" i="4"/>
  <c r="K145" i="4"/>
  <c r="A134" i="2"/>
  <c r="M133" i="4"/>
  <c r="J133" i="4"/>
  <c r="E133" i="4"/>
  <c r="L133" i="4"/>
  <c r="I133" i="4"/>
  <c r="G133" i="4"/>
  <c r="F133" i="4"/>
  <c r="C133" i="4"/>
  <c r="A122" i="2"/>
  <c r="M121" i="4"/>
  <c r="G121" i="4"/>
  <c r="E121" i="4"/>
  <c r="C121" i="4"/>
  <c r="B121" i="4"/>
  <c r="L121" i="4"/>
  <c r="I121" i="4"/>
  <c r="A110" i="2"/>
  <c r="M109" i="4"/>
  <c r="G109" i="4"/>
  <c r="E109" i="4"/>
  <c r="C109" i="4"/>
  <c r="B109" i="4"/>
  <c r="L109" i="4"/>
  <c r="I109" i="4"/>
  <c r="A98" i="2"/>
  <c r="M97" i="4"/>
  <c r="G97" i="4"/>
  <c r="E97" i="4"/>
  <c r="C97" i="4"/>
  <c r="B97" i="4"/>
  <c r="L97" i="4"/>
  <c r="I97" i="4"/>
  <c r="A86" i="2"/>
  <c r="M85" i="4"/>
  <c r="G85" i="4"/>
  <c r="B85" i="4"/>
  <c r="A74" i="2"/>
  <c r="M73" i="4"/>
  <c r="A62" i="2"/>
  <c r="M61" i="4"/>
  <c r="A50" i="2"/>
  <c r="M49" i="4"/>
  <c r="E40" i="4"/>
  <c r="F41" i="4"/>
  <c r="G42" i="4"/>
  <c r="H43" i="4"/>
  <c r="I44" i="4"/>
  <c r="J45" i="4"/>
  <c r="B49" i="4"/>
  <c r="C50" i="4"/>
  <c r="E52" i="4"/>
  <c r="F53" i="4"/>
  <c r="G54" i="4"/>
  <c r="H55" i="4"/>
  <c r="I56" i="4"/>
  <c r="J57" i="4"/>
  <c r="B61" i="4"/>
  <c r="C62" i="4"/>
  <c r="E64" i="4"/>
  <c r="F65" i="4"/>
  <c r="G66" i="4"/>
  <c r="H67" i="4"/>
  <c r="I68" i="4"/>
  <c r="J69" i="4"/>
  <c r="B73" i="4"/>
  <c r="C74" i="4"/>
  <c r="F76" i="4"/>
  <c r="I77" i="4"/>
  <c r="B79" i="4"/>
  <c r="E80" i="4"/>
  <c r="H81" i="4"/>
  <c r="D84" i="4"/>
  <c r="H85" i="4"/>
  <c r="K86" i="4"/>
  <c r="D88" i="4"/>
  <c r="F90" i="4"/>
  <c r="E101" i="4"/>
  <c r="G103" i="4"/>
  <c r="I105" i="4"/>
  <c r="B110" i="4"/>
  <c r="D112" i="4"/>
  <c r="F114" i="4"/>
  <c r="E125" i="4"/>
  <c r="G127" i="4"/>
  <c r="I129" i="4"/>
  <c r="H134" i="4"/>
  <c r="D137" i="4"/>
  <c r="H146" i="4"/>
  <c r="D161" i="4"/>
  <c r="C173" i="4"/>
  <c r="I220" i="4"/>
  <c r="I289" i="4"/>
  <c r="C483" i="4"/>
  <c r="M483" i="4"/>
  <c r="K483" i="4"/>
  <c r="J483" i="4"/>
  <c r="I483" i="4"/>
  <c r="H483" i="4"/>
  <c r="E483" i="4"/>
  <c r="D483" i="4"/>
  <c r="L483" i="4"/>
  <c r="G483" i="4"/>
  <c r="F483" i="4"/>
  <c r="B483" i="4"/>
  <c r="M459" i="4"/>
  <c r="L459" i="4"/>
  <c r="K459" i="4"/>
  <c r="J459" i="4"/>
  <c r="I459" i="4"/>
  <c r="H459" i="4"/>
  <c r="G459" i="4"/>
  <c r="F459" i="4"/>
  <c r="E459" i="4"/>
  <c r="D459" i="4"/>
  <c r="C459" i="4"/>
  <c r="B459" i="4"/>
  <c r="M435" i="4"/>
  <c r="L435" i="4"/>
  <c r="K435" i="4"/>
  <c r="J435" i="4"/>
  <c r="H435" i="4"/>
  <c r="G435" i="4"/>
  <c r="F435" i="4"/>
  <c r="E435" i="4"/>
  <c r="D435" i="4"/>
  <c r="C435" i="4"/>
  <c r="B435" i="4"/>
  <c r="I435" i="4"/>
  <c r="M411" i="4"/>
  <c r="L411" i="4"/>
  <c r="K411" i="4"/>
  <c r="J411" i="4"/>
  <c r="H411" i="4"/>
  <c r="F411" i="4"/>
  <c r="E411" i="4"/>
  <c r="I411" i="4"/>
  <c r="D411" i="4"/>
  <c r="C411" i="4"/>
  <c r="B411" i="4"/>
  <c r="G411" i="4"/>
  <c r="M375" i="4"/>
  <c r="E375" i="4"/>
  <c r="D375" i="4"/>
  <c r="B375" i="4"/>
  <c r="K375" i="4"/>
  <c r="H375" i="4"/>
  <c r="G375" i="4"/>
  <c r="L375" i="4"/>
  <c r="J375" i="4"/>
  <c r="F375" i="4"/>
  <c r="I375" i="4"/>
  <c r="C375" i="4"/>
  <c r="M351" i="4"/>
  <c r="E351" i="4"/>
  <c r="D351" i="4"/>
  <c r="B351" i="4"/>
  <c r="K351" i="4"/>
  <c r="H351" i="4"/>
  <c r="G351" i="4"/>
  <c r="J351" i="4"/>
  <c r="F351" i="4"/>
  <c r="C351" i="4"/>
  <c r="I351" i="4"/>
  <c r="L351" i="4"/>
  <c r="M327" i="4"/>
  <c r="D327" i="4"/>
  <c r="C327" i="4"/>
  <c r="B327" i="4"/>
  <c r="L327" i="4"/>
  <c r="J327" i="4"/>
  <c r="I327" i="4"/>
  <c r="G327" i="4"/>
  <c r="F327" i="4"/>
  <c r="E327" i="4"/>
  <c r="H327" i="4"/>
  <c r="M303" i="4"/>
  <c r="D303" i="4"/>
  <c r="C303" i="4"/>
  <c r="B303" i="4"/>
  <c r="L303" i="4"/>
  <c r="J303" i="4"/>
  <c r="I303" i="4"/>
  <c r="E303" i="4"/>
  <c r="H303" i="4"/>
  <c r="G303" i="4"/>
  <c r="K303" i="4"/>
  <c r="F303" i="4"/>
  <c r="A280" i="2"/>
  <c r="M279" i="4"/>
  <c r="L279" i="4"/>
  <c r="E279" i="4"/>
  <c r="D279" i="4"/>
  <c r="B279" i="4"/>
  <c r="K279" i="4"/>
  <c r="G279" i="4"/>
  <c r="J279" i="4"/>
  <c r="H279" i="4"/>
  <c r="C279" i="4"/>
  <c r="I279" i="4"/>
  <c r="F279" i="4"/>
  <c r="A268" i="2"/>
  <c r="M267" i="4"/>
  <c r="D267" i="4"/>
  <c r="B267" i="4"/>
  <c r="L267" i="4"/>
  <c r="J267" i="4"/>
  <c r="F267" i="4"/>
  <c r="E267" i="4"/>
  <c r="H267" i="4"/>
  <c r="I267" i="4"/>
  <c r="G267" i="4"/>
  <c r="M243" i="4"/>
  <c r="A244" i="2"/>
  <c r="D243" i="4"/>
  <c r="B243" i="4"/>
  <c r="L243" i="4"/>
  <c r="J243" i="4"/>
  <c r="F243" i="4"/>
  <c r="K243" i="4"/>
  <c r="E243" i="4"/>
  <c r="I243" i="4"/>
  <c r="G243" i="4"/>
  <c r="C243" i="4"/>
  <c r="A232" i="2"/>
  <c r="M231" i="4"/>
  <c r="D231" i="4"/>
  <c r="B231" i="4"/>
  <c r="L231" i="4"/>
  <c r="J231" i="4"/>
  <c r="F231" i="4"/>
  <c r="I231" i="4"/>
  <c r="G231" i="4"/>
  <c r="C231" i="4"/>
  <c r="H231" i="4"/>
  <c r="E231" i="4"/>
  <c r="A220" i="2"/>
  <c r="M219" i="4"/>
  <c r="D219" i="4"/>
  <c r="L219" i="4"/>
  <c r="J219" i="4"/>
  <c r="F219" i="4"/>
  <c r="K219" i="4"/>
  <c r="H219" i="4"/>
  <c r="B219" i="4"/>
  <c r="G219" i="4"/>
  <c r="I219" i="4"/>
  <c r="A208" i="2"/>
  <c r="M207" i="4"/>
  <c r="D207" i="4"/>
  <c r="J207" i="4"/>
  <c r="K207" i="4"/>
  <c r="H207" i="4"/>
  <c r="F207" i="4"/>
  <c r="C207" i="4"/>
  <c r="I207" i="4"/>
  <c r="B207" i="4"/>
  <c r="G207" i="4"/>
  <c r="A196" i="2"/>
  <c r="M195" i="4"/>
  <c r="I195" i="4"/>
  <c r="G195" i="4"/>
  <c r="E195" i="4"/>
  <c r="C195" i="4"/>
  <c r="K195" i="4"/>
  <c r="H195" i="4"/>
  <c r="D195" i="4"/>
  <c r="L195" i="4"/>
  <c r="J195" i="4"/>
  <c r="F195" i="4"/>
  <c r="A184" i="2"/>
  <c r="M183" i="4"/>
  <c r="I183" i="4"/>
  <c r="G183" i="4"/>
  <c r="E183" i="4"/>
  <c r="C183" i="4"/>
  <c r="K183" i="4"/>
  <c r="J183" i="4"/>
  <c r="H183" i="4"/>
  <c r="D183" i="4"/>
  <c r="F183" i="4"/>
  <c r="A160" i="2"/>
  <c r="M159" i="4"/>
  <c r="I159" i="4"/>
  <c r="C159" i="4"/>
  <c r="K159" i="4"/>
  <c r="J159" i="4"/>
  <c r="G159" i="4"/>
  <c r="D159" i="4"/>
  <c r="L159" i="4"/>
  <c r="F159" i="4"/>
  <c r="B159" i="4"/>
  <c r="A148" i="2"/>
  <c r="U148" i="2"/>
  <c r="M147" i="4"/>
  <c r="L147" i="4"/>
  <c r="J147" i="4"/>
  <c r="H147" i="4"/>
  <c r="G147" i="4"/>
  <c r="E147" i="4"/>
  <c r="B147" i="4"/>
  <c r="I147" i="4"/>
  <c r="D147" i="4"/>
  <c r="A136" i="2"/>
  <c r="M135" i="4"/>
  <c r="L135" i="4"/>
  <c r="G135" i="4"/>
  <c r="D135" i="4"/>
  <c r="B135" i="4"/>
  <c r="J135" i="4"/>
  <c r="F135" i="4"/>
  <c r="A124" i="2"/>
  <c r="M123" i="4"/>
  <c r="I123" i="4"/>
  <c r="G123" i="4"/>
  <c r="E123" i="4"/>
  <c r="D123" i="4"/>
  <c r="B123" i="4"/>
  <c r="K123" i="4"/>
  <c r="A112" i="2"/>
  <c r="M111" i="4"/>
  <c r="I111" i="4"/>
  <c r="G111" i="4"/>
  <c r="E111" i="4"/>
  <c r="D111" i="4"/>
  <c r="B111" i="4"/>
  <c r="K111" i="4"/>
  <c r="A100" i="2"/>
  <c r="M99" i="4"/>
  <c r="I99" i="4"/>
  <c r="G99" i="4"/>
  <c r="E99" i="4"/>
  <c r="D99" i="4"/>
  <c r="B99" i="4"/>
  <c r="K99" i="4"/>
  <c r="A88" i="2"/>
  <c r="X88" i="2"/>
  <c r="M87" i="4"/>
  <c r="I87" i="4"/>
  <c r="D87" i="4"/>
  <c r="K87" i="4"/>
  <c r="A76" i="2"/>
  <c r="M75" i="4"/>
  <c r="A64" i="2"/>
  <c r="M63" i="4"/>
  <c r="A52" i="2"/>
  <c r="M51" i="4"/>
  <c r="A40" i="2"/>
  <c r="Z40" i="2"/>
  <c r="M39" i="4"/>
  <c r="D65" i="4"/>
  <c r="F67" i="4"/>
  <c r="H69" i="4"/>
  <c r="M494" i="4"/>
  <c r="B494" i="4"/>
  <c r="L494" i="4"/>
  <c r="K494" i="4"/>
  <c r="J494" i="4"/>
  <c r="I494" i="4"/>
  <c r="H494" i="4"/>
  <c r="G494" i="4"/>
  <c r="D494" i="4"/>
  <c r="C494" i="4"/>
  <c r="F494" i="4"/>
  <c r="E494" i="4"/>
  <c r="M434" i="4"/>
  <c r="L434" i="4"/>
  <c r="K434" i="4"/>
  <c r="J434" i="4"/>
  <c r="I434" i="4"/>
  <c r="G434" i="4"/>
  <c r="F434" i="4"/>
  <c r="E434" i="4"/>
  <c r="D434" i="4"/>
  <c r="H434" i="4"/>
  <c r="C434" i="4"/>
  <c r="B434" i="4"/>
  <c r="M374" i="4"/>
  <c r="D374" i="4"/>
  <c r="C374" i="4"/>
  <c r="L374" i="4"/>
  <c r="J374" i="4"/>
  <c r="G374" i="4"/>
  <c r="F374" i="4"/>
  <c r="K374" i="4"/>
  <c r="I374" i="4"/>
  <c r="E374" i="4"/>
  <c r="B374" i="4"/>
  <c r="H374" i="4"/>
  <c r="A219" i="2"/>
  <c r="M218" i="4"/>
  <c r="C218" i="4"/>
  <c r="K218" i="4"/>
  <c r="I218" i="4"/>
  <c r="E218" i="4"/>
  <c r="J218" i="4"/>
  <c r="G218" i="4"/>
  <c r="D218" i="4"/>
  <c r="F218" i="4"/>
  <c r="L218" i="4"/>
  <c r="H218" i="4"/>
  <c r="L480" i="4"/>
  <c r="J480" i="4"/>
  <c r="H480" i="4"/>
  <c r="G480" i="4"/>
  <c r="F480" i="4"/>
  <c r="M480" i="4"/>
  <c r="B480" i="4"/>
  <c r="K480" i="4"/>
  <c r="I480" i="4"/>
  <c r="E480" i="4"/>
  <c r="D480" i="4"/>
  <c r="C480" i="4"/>
  <c r="M456" i="4"/>
  <c r="J456" i="4"/>
  <c r="I456" i="4"/>
  <c r="H456" i="4"/>
  <c r="G456" i="4"/>
  <c r="F456" i="4"/>
  <c r="E456" i="4"/>
  <c r="D456" i="4"/>
  <c r="C456" i="4"/>
  <c r="B456" i="4"/>
  <c r="L456" i="4"/>
  <c r="K456" i="4"/>
  <c r="M420" i="4"/>
  <c r="J420" i="4"/>
  <c r="I420" i="4"/>
  <c r="H420" i="4"/>
  <c r="G420" i="4"/>
  <c r="E420" i="4"/>
  <c r="D420" i="4"/>
  <c r="C420" i="4"/>
  <c r="B420" i="4"/>
  <c r="K420" i="4"/>
  <c r="F420" i="4"/>
  <c r="L420" i="4"/>
  <c r="M408" i="4"/>
  <c r="J408" i="4"/>
  <c r="I408" i="4"/>
  <c r="H408" i="4"/>
  <c r="G408" i="4"/>
  <c r="E408" i="4"/>
  <c r="C408" i="4"/>
  <c r="B408" i="4"/>
  <c r="K408" i="4"/>
  <c r="F408" i="4"/>
  <c r="D408" i="4"/>
  <c r="L408" i="4"/>
  <c r="M372" i="4"/>
  <c r="B372" i="4"/>
  <c r="K372" i="4"/>
  <c r="J372" i="4"/>
  <c r="H372" i="4"/>
  <c r="E372" i="4"/>
  <c r="D372" i="4"/>
  <c r="I372" i="4"/>
  <c r="F372" i="4"/>
  <c r="C372" i="4"/>
  <c r="G372" i="4"/>
  <c r="L372" i="4"/>
  <c r="M348" i="4"/>
  <c r="B348" i="4"/>
  <c r="K348" i="4"/>
  <c r="J348" i="4"/>
  <c r="H348" i="4"/>
  <c r="E348" i="4"/>
  <c r="D348" i="4"/>
  <c r="I348" i="4"/>
  <c r="G348" i="4"/>
  <c r="C348" i="4"/>
  <c r="F348" i="4"/>
  <c r="L348" i="4"/>
  <c r="M324" i="4"/>
  <c r="L324" i="4"/>
  <c r="K324" i="4"/>
  <c r="I324" i="4"/>
  <c r="G324" i="4"/>
  <c r="F324" i="4"/>
  <c r="D324" i="4"/>
  <c r="C324" i="4"/>
  <c r="B324" i="4"/>
  <c r="H324" i="4"/>
  <c r="J324" i="4"/>
  <c r="E324" i="4"/>
  <c r="M300" i="4"/>
  <c r="L300" i="4"/>
  <c r="K300" i="4"/>
  <c r="I300" i="4"/>
  <c r="G300" i="4"/>
  <c r="F300" i="4"/>
  <c r="B300" i="4"/>
  <c r="D300" i="4"/>
  <c r="H300" i="4"/>
  <c r="C300" i="4"/>
  <c r="E300" i="4"/>
  <c r="A277" i="2"/>
  <c r="M276" i="4"/>
  <c r="K276" i="4"/>
  <c r="I276" i="4"/>
  <c r="G276" i="4"/>
  <c r="C276" i="4"/>
  <c r="H276" i="4"/>
  <c r="E276" i="4"/>
  <c r="B276" i="4"/>
  <c r="L276" i="4"/>
  <c r="F276" i="4"/>
  <c r="D276" i="4"/>
  <c r="A253" i="2"/>
  <c r="M252" i="4"/>
  <c r="K252" i="4"/>
  <c r="I252" i="4"/>
  <c r="G252" i="4"/>
  <c r="C252" i="4"/>
  <c r="E252" i="4"/>
  <c r="B252" i="4"/>
  <c r="H252" i="4"/>
  <c r="L252" i="4"/>
  <c r="F252" i="4"/>
  <c r="D252" i="4"/>
  <c r="A229" i="2"/>
  <c r="M228" i="4"/>
  <c r="K228" i="4"/>
  <c r="I228" i="4"/>
  <c r="G228" i="4"/>
  <c r="C228" i="4"/>
  <c r="B228" i="4"/>
  <c r="L228" i="4"/>
  <c r="E228" i="4"/>
  <c r="F228" i="4"/>
  <c r="J228" i="4"/>
  <c r="D228" i="4"/>
  <c r="A181" i="2"/>
  <c r="M180" i="4"/>
  <c r="F180" i="4"/>
  <c r="D180" i="4"/>
  <c r="B180" i="4"/>
  <c r="L180" i="4"/>
  <c r="H180" i="4"/>
  <c r="I180" i="4"/>
  <c r="E180" i="4"/>
  <c r="K180" i="4"/>
  <c r="J180" i="4"/>
  <c r="G180" i="4"/>
  <c r="A73" i="2"/>
  <c r="M72" i="4"/>
  <c r="I43" i="4"/>
  <c r="I67" i="4"/>
  <c r="D74" i="4"/>
  <c r="E75" i="4"/>
  <c r="F99" i="4"/>
  <c r="H101" i="4"/>
  <c r="J103" i="4"/>
  <c r="E110" i="4"/>
  <c r="F57" i="4"/>
  <c r="M471" i="4"/>
  <c r="L471" i="4"/>
  <c r="K471" i="4"/>
  <c r="J471" i="4"/>
  <c r="I471" i="4"/>
  <c r="H471" i="4"/>
  <c r="G471" i="4"/>
  <c r="F471" i="4"/>
  <c r="E471" i="4"/>
  <c r="D471" i="4"/>
  <c r="C471" i="4"/>
  <c r="B471" i="4"/>
  <c r="M423" i="4"/>
  <c r="L423" i="4"/>
  <c r="K423" i="4"/>
  <c r="J423" i="4"/>
  <c r="H423" i="4"/>
  <c r="G423" i="4"/>
  <c r="F423" i="4"/>
  <c r="E423" i="4"/>
  <c r="I423" i="4"/>
  <c r="C423" i="4"/>
  <c r="B423" i="4"/>
  <c r="D423" i="4"/>
  <c r="M387" i="4"/>
  <c r="E387" i="4"/>
  <c r="D387" i="4"/>
  <c r="B387" i="4"/>
  <c r="K387" i="4"/>
  <c r="H387" i="4"/>
  <c r="G387" i="4"/>
  <c r="L387" i="4"/>
  <c r="J387" i="4"/>
  <c r="F387" i="4"/>
  <c r="C387" i="4"/>
  <c r="I387" i="4"/>
  <c r="M339" i="4"/>
  <c r="E339" i="4"/>
  <c r="D339" i="4"/>
  <c r="B339" i="4"/>
  <c r="K339" i="4"/>
  <c r="H339" i="4"/>
  <c r="G339" i="4"/>
  <c r="I339" i="4"/>
  <c r="F339" i="4"/>
  <c r="C339" i="4"/>
  <c r="L339" i="4"/>
  <c r="J339" i="4"/>
  <c r="A256" i="2"/>
  <c r="M255" i="4"/>
  <c r="D255" i="4"/>
  <c r="B255" i="4"/>
  <c r="L255" i="4"/>
  <c r="J255" i="4"/>
  <c r="F255" i="4"/>
  <c r="I255" i="4"/>
  <c r="G255" i="4"/>
  <c r="C255" i="4"/>
  <c r="H255" i="4"/>
  <c r="E255" i="4"/>
  <c r="K255" i="4"/>
  <c r="B39" i="4"/>
  <c r="M482" i="4"/>
  <c r="B482" i="4"/>
  <c r="L482" i="4"/>
  <c r="J482" i="4"/>
  <c r="I482" i="4"/>
  <c r="H482" i="4"/>
  <c r="D482" i="4"/>
  <c r="C482" i="4"/>
  <c r="F482" i="4"/>
  <c r="E482" i="4"/>
  <c r="K482" i="4"/>
  <c r="G482" i="4"/>
  <c r="A279" i="2"/>
  <c r="M278" i="4"/>
  <c r="C278" i="4"/>
  <c r="K278" i="4"/>
  <c r="I278" i="4"/>
  <c r="E278" i="4"/>
  <c r="G278" i="4"/>
  <c r="D278" i="4"/>
  <c r="J278" i="4"/>
  <c r="H278" i="4"/>
  <c r="B278" i="4"/>
  <c r="L278" i="4"/>
  <c r="B50" i="4"/>
  <c r="I57" i="4"/>
  <c r="M468" i="4"/>
  <c r="J468" i="4"/>
  <c r="I468" i="4"/>
  <c r="H468" i="4"/>
  <c r="G468" i="4"/>
  <c r="F468" i="4"/>
  <c r="E468" i="4"/>
  <c r="D468" i="4"/>
  <c r="C468" i="4"/>
  <c r="B468" i="4"/>
  <c r="L468" i="4"/>
  <c r="K468" i="4"/>
  <c r="M432" i="4"/>
  <c r="J432" i="4"/>
  <c r="I432" i="4"/>
  <c r="H432" i="4"/>
  <c r="G432" i="4"/>
  <c r="E432" i="4"/>
  <c r="D432" i="4"/>
  <c r="C432" i="4"/>
  <c r="B432" i="4"/>
  <c r="L432" i="4"/>
  <c r="K432" i="4"/>
  <c r="F432" i="4"/>
  <c r="M396" i="4"/>
  <c r="J396" i="4"/>
  <c r="B396" i="4"/>
  <c r="C396" i="4"/>
  <c r="L396" i="4"/>
  <c r="I396" i="4"/>
  <c r="F396" i="4"/>
  <c r="E396" i="4"/>
  <c r="K396" i="4"/>
  <c r="G396" i="4"/>
  <c r="H396" i="4"/>
  <c r="D396" i="4"/>
  <c r="M360" i="4"/>
  <c r="B360" i="4"/>
  <c r="K360" i="4"/>
  <c r="J360" i="4"/>
  <c r="H360" i="4"/>
  <c r="E360" i="4"/>
  <c r="D360" i="4"/>
  <c r="G360" i="4"/>
  <c r="F360" i="4"/>
  <c r="C360" i="4"/>
  <c r="L360" i="4"/>
  <c r="I360" i="4"/>
  <c r="M336" i="4"/>
  <c r="B336" i="4"/>
  <c r="K336" i="4"/>
  <c r="J336" i="4"/>
  <c r="H336" i="4"/>
  <c r="E336" i="4"/>
  <c r="D336" i="4"/>
  <c r="L336" i="4"/>
  <c r="I336" i="4"/>
  <c r="G336" i="4"/>
  <c r="C336" i="4"/>
  <c r="F336" i="4"/>
  <c r="M312" i="4"/>
  <c r="L312" i="4"/>
  <c r="K312" i="4"/>
  <c r="I312" i="4"/>
  <c r="G312" i="4"/>
  <c r="F312" i="4"/>
  <c r="D312" i="4"/>
  <c r="C312" i="4"/>
  <c r="B312" i="4"/>
  <c r="J312" i="4"/>
  <c r="E312" i="4"/>
  <c r="H312" i="4"/>
  <c r="A289" i="2"/>
  <c r="M288" i="4"/>
  <c r="L288" i="4"/>
  <c r="I288" i="4"/>
  <c r="G288" i="4"/>
  <c r="F288" i="4"/>
  <c r="B288" i="4"/>
  <c r="J288" i="4"/>
  <c r="E288" i="4"/>
  <c r="D288" i="4"/>
  <c r="K288" i="4"/>
  <c r="H288" i="4"/>
  <c r="C288" i="4"/>
  <c r="A265" i="2"/>
  <c r="M264" i="4"/>
  <c r="K264" i="4"/>
  <c r="I264" i="4"/>
  <c r="G264" i="4"/>
  <c r="C264" i="4"/>
  <c r="J264" i="4"/>
  <c r="F264" i="4"/>
  <c r="L264" i="4"/>
  <c r="E264" i="4"/>
  <c r="H264" i="4"/>
  <c r="A241" i="2"/>
  <c r="M240" i="4"/>
  <c r="K240" i="4"/>
  <c r="I240" i="4"/>
  <c r="G240" i="4"/>
  <c r="C240" i="4"/>
  <c r="J240" i="4"/>
  <c r="F240" i="4"/>
  <c r="D240" i="4"/>
  <c r="H240" i="4"/>
  <c r="B240" i="4"/>
  <c r="L240" i="4"/>
  <c r="E240" i="4"/>
  <c r="A205" i="2"/>
  <c r="M204" i="4"/>
  <c r="F204" i="4"/>
  <c r="D204" i="4"/>
  <c r="B204" i="4"/>
  <c r="L204" i="4"/>
  <c r="H204" i="4"/>
  <c r="K204" i="4"/>
  <c r="I204" i="4"/>
  <c r="E204" i="4"/>
  <c r="C204" i="4"/>
  <c r="G204" i="4"/>
  <c r="A193" i="2"/>
  <c r="M192" i="4"/>
  <c r="F192" i="4"/>
  <c r="D192" i="4"/>
  <c r="B192" i="4"/>
  <c r="L192" i="4"/>
  <c r="H192" i="4"/>
  <c r="K192" i="4"/>
  <c r="I192" i="4"/>
  <c r="C192" i="4"/>
  <c r="G192" i="4"/>
  <c r="A169" i="2"/>
  <c r="M168" i="4"/>
  <c r="F168" i="4"/>
  <c r="B168" i="4"/>
  <c r="L168" i="4"/>
  <c r="H168" i="4"/>
  <c r="I168" i="4"/>
  <c r="E168" i="4"/>
  <c r="C168" i="4"/>
  <c r="K168" i="4"/>
  <c r="D168" i="4"/>
  <c r="J168" i="4"/>
  <c r="A157" i="2"/>
  <c r="M156" i="4"/>
  <c r="F156" i="4"/>
  <c r="L156" i="4"/>
  <c r="E156" i="4"/>
  <c r="C156" i="4"/>
  <c r="K156" i="4"/>
  <c r="H156" i="4"/>
  <c r="J156" i="4"/>
  <c r="G156" i="4"/>
  <c r="D156" i="4"/>
  <c r="A145" i="2"/>
  <c r="AD145" i="2"/>
  <c r="M144" i="4"/>
  <c r="I144" i="4"/>
  <c r="G144" i="4"/>
  <c r="E144" i="4"/>
  <c r="D144" i="4"/>
  <c r="B144" i="4"/>
  <c r="K144" i="4"/>
  <c r="J144" i="4"/>
  <c r="H144" i="4"/>
  <c r="C144" i="4"/>
  <c r="A133" i="2"/>
  <c r="M132" i="4"/>
  <c r="I132" i="4"/>
  <c r="D132" i="4"/>
  <c r="H132" i="4"/>
  <c r="F132" i="4"/>
  <c r="C132" i="4"/>
  <c r="B132" i="4"/>
  <c r="K132" i="4"/>
  <c r="A121" i="2"/>
  <c r="M120" i="4"/>
  <c r="F120" i="4"/>
  <c r="D120" i="4"/>
  <c r="B120" i="4"/>
  <c r="K120" i="4"/>
  <c r="H120" i="4"/>
  <c r="A109" i="2"/>
  <c r="M108" i="4"/>
  <c r="F108" i="4"/>
  <c r="D108" i="4"/>
  <c r="B108" i="4"/>
  <c r="K108" i="4"/>
  <c r="H108" i="4"/>
  <c r="A97" i="2"/>
  <c r="M96" i="4"/>
  <c r="F96" i="4"/>
  <c r="D96" i="4"/>
  <c r="B96" i="4"/>
  <c r="K96" i="4"/>
  <c r="H96" i="4"/>
  <c r="A85" i="2"/>
  <c r="M84" i="4"/>
  <c r="F84" i="4"/>
  <c r="A61" i="2"/>
  <c r="M60" i="4"/>
  <c r="A49" i="2"/>
  <c r="M48" i="4"/>
  <c r="E39" i="4"/>
  <c r="G53" i="4"/>
  <c r="I55" i="4"/>
  <c r="B60" i="4"/>
  <c r="D62" i="4"/>
  <c r="E63" i="4"/>
  <c r="K69" i="4"/>
  <c r="J77" i="4"/>
  <c r="C79" i="4"/>
  <c r="L86" i="4"/>
  <c r="C147" i="4"/>
  <c r="G151" i="4"/>
  <c r="I156" i="4"/>
  <c r="K491" i="4"/>
  <c r="J491" i="4"/>
  <c r="I491" i="4"/>
  <c r="H491" i="4"/>
  <c r="G491" i="4"/>
  <c r="F491" i="4"/>
  <c r="E491" i="4"/>
  <c r="D491" i="4"/>
  <c r="L491" i="4"/>
  <c r="C491" i="4"/>
  <c r="B491" i="4"/>
  <c r="M491" i="4"/>
  <c r="K479" i="4"/>
  <c r="F479" i="4"/>
  <c r="E479" i="4"/>
  <c r="L479" i="4"/>
  <c r="J479" i="4"/>
  <c r="I479" i="4"/>
  <c r="H479" i="4"/>
  <c r="G479" i="4"/>
  <c r="D479" i="4"/>
  <c r="C479" i="4"/>
  <c r="B479" i="4"/>
  <c r="M479" i="4"/>
  <c r="I467" i="4"/>
  <c r="H467" i="4"/>
  <c r="G467" i="4"/>
  <c r="F467" i="4"/>
  <c r="E467" i="4"/>
  <c r="D467" i="4"/>
  <c r="C467" i="4"/>
  <c r="M467" i="4"/>
  <c r="B467" i="4"/>
  <c r="L467" i="4"/>
  <c r="J467" i="4"/>
  <c r="K467" i="4"/>
  <c r="I455" i="4"/>
  <c r="H455" i="4"/>
  <c r="G455" i="4"/>
  <c r="F455" i="4"/>
  <c r="E455" i="4"/>
  <c r="D455" i="4"/>
  <c r="M455" i="4"/>
  <c r="C455" i="4"/>
  <c r="B455" i="4"/>
  <c r="L455" i="4"/>
  <c r="K455" i="4"/>
  <c r="J455" i="4"/>
  <c r="I443" i="4"/>
  <c r="H443" i="4"/>
  <c r="G443" i="4"/>
  <c r="F443" i="4"/>
  <c r="M443" i="4"/>
  <c r="D443" i="4"/>
  <c r="C443" i="4"/>
  <c r="B443" i="4"/>
  <c r="J443" i="4"/>
  <c r="E443" i="4"/>
  <c r="L443" i="4"/>
  <c r="K443" i="4"/>
  <c r="I431" i="4"/>
  <c r="H431" i="4"/>
  <c r="G431" i="4"/>
  <c r="F431" i="4"/>
  <c r="M431" i="4"/>
  <c r="D431" i="4"/>
  <c r="C431" i="4"/>
  <c r="B431" i="4"/>
  <c r="L431" i="4"/>
  <c r="E431" i="4"/>
  <c r="J431" i="4"/>
  <c r="K431" i="4"/>
  <c r="I419" i="4"/>
  <c r="H419" i="4"/>
  <c r="G419" i="4"/>
  <c r="M419" i="4"/>
  <c r="F419" i="4"/>
  <c r="D419" i="4"/>
  <c r="B419" i="4"/>
  <c r="K419" i="4"/>
  <c r="J419" i="4"/>
  <c r="C419" i="4"/>
  <c r="E419" i="4"/>
  <c r="L419" i="4"/>
  <c r="I407" i="4"/>
  <c r="H407" i="4"/>
  <c r="M407" i="4"/>
  <c r="G407" i="4"/>
  <c r="F407" i="4"/>
  <c r="D407" i="4"/>
  <c r="B407" i="4"/>
  <c r="E407" i="4"/>
  <c r="C407" i="4"/>
  <c r="L407" i="4"/>
  <c r="K407" i="4"/>
  <c r="J407" i="4"/>
  <c r="M395" i="4"/>
  <c r="L395" i="4"/>
  <c r="J395" i="4"/>
  <c r="I395" i="4"/>
  <c r="G395" i="4"/>
  <c r="D395" i="4"/>
  <c r="C395" i="4"/>
  <c r="K395" i="4"/>
  <c r="H395" i="4"/>
  <c r="E395" i="4"/>
  <c r="B395" i="4"/>
  <c r="F395" i="4"/>
  <c r="M383" i="4"/>
  <c r="L383" i="4"/>
  <c r="J383" i="4"/>
  <c r="I383" i="4"/>
  <c r="G383" i="4"/>
  <c r="D383" i="4"/>
  <c r="C383" i="4"/>
  <c r="K383" i="4"/>
  <c r="H383" i="4"/>
  <c r="E383" i="4"/>
  <c r="B383" i="4"/>
  <c r="F383" i="4"/>
  <c r="L371" i="4"/>
  <c r="J371" i="4"/>
  <c r="I371" i="4"/>
  <c r="M371" i="4"/>
  <c r="G371" i="4"/>
  <c r="D371" i="4"/>
  <c r="C371" i="4"/>
  <c r="B371" i="4"/>
  <c r="H371" i="4"/>
  <c r="F371" i="4"/>
  <c r="E371" i="4"/>
  <c r="K371" i="4"/>
  <c r="M359" i="4"/>
  <c r="L359" i="4"/>
  <c r="J359" i="4"/>
  <c r="I359" i="4"/>
  <c r="G359" i="4"/>
  <c r="D359" i="4"/>
  <c r="C359" i="4"/>
  <c r="H359" i="4"/>
  <c r="E359" i="4"/>
  <c r="B359" i="4"/>
  <c r="K359" i="4"/>
  <c r="F359" i="4"/>
  <c r="L347" i="4"/>
  <c r="J347" i="4"/>
  <c r="M347" i="4"/>
  <c r="I347" i="4"/>
  <c r="G347" i="4"/>
  <c r="D347" i="4"/>
  <c r="C347" i="4"/>
  <c r="F347" i="4"/>
  <c r="E347" i="4"/>
  <c r="B347" i="4"/>
  <c r="K347" i="4"/>
  <c r="H347" i="4"/>
  <c r="M335" i="4"/>
  <c r="L335" i="4"/>
  <c r="J335" i="4"/>
  <c r="I335" i="4"/>
  <c r="G335" i="4"/>
  <c r="H335" i="4"/>
  <c r="F335" i="4"/>
  <c r="D335" i="4"/>
  <c r="C335" i="4"/>
  <c r="B335" i="4"/>
  <c r="K335" i="4"/>
  <c r="E335" i="4"/>
  <c r="M323" i="4"/>
  <c r="L323" i="4"/>
  <c r="K323" i="4"/>
  <c r="J323" i="4"/>
  <c r="H323" i="4"/>
  <c r="F323" i="4"/>
  <c r="E323" i="4"/>
  <c r="C323" i="4"/>
  <c r="B323" i="4"/>
  <c r="I323" i="4"/>
  <c r="D323" i="4"/>
  <c r="G323" i="4"/>
  <c r="M311" i="4"/>
  <c r="L311" i="4"/>
  <c r="K311" i="4"/>
  <c r="J311" i="4"/>
  <c r="H311" i="4"/>
  <c r="F311" i="4"/>
  <c r="E311" i="4"/>
  <c r="B311" i="4"/>
  <c r="C311" i="4"/>
  <c r="G311" i="4"/>
  <c r="D311" i="4"/>
  <c r="A300" i="2"/>
  <c r="M299" i="4"/>
  <c r="L299" i="4"/>
  <c r="K299" i="4"/>
  <c r="J299" i="4"/>
  <c r="H299" i="4"/>
  <c r="F299" i="4"/>
  <c r="E299" i="4"/>
  <c r="I299" i="4"/>
  <c r="D299" i="4"/>
  <c r="B299" i="4"/>
  <c r="C299" i="4"/>
  <c r="G299" i="4"/>
  <c r="A288" i="2"/>
  <c r="M287" i="4"/>
  <c r="L287" i="4"/>
  <c r="K287" i="4"/>
  <c r="H287" i="4"/>
  <c r="F287" i="4"/>
  <c r="E287" i="4"/>
  <c r="D287" i="4"/>
  <c r="B287" i="4"/>
  <c r="I287" i="4"/>
  <c r="J287" i="4"/>
  <c r="C287" i="4"/>
  <c r="G287" i="4"/>
  <c r="A276" i="2"/>
  <c r="M275" i="4"/>
  <c r="L275" i="4"/>
  <c r="J275" i="4"/>
  <c r="H275" i="4"/>
  <c r="F275" i="4"/>
  <c r="B275" i="4"/>
  <c r="I275" i="4"/>
  <c r="C275" i="4"/>
  <c r="K275" i="4"/>
  <c r="E275" i="4"/>
  <c r="D275" i="4"/>
  <c r="A264" i="2"/>
  <c r="M263" i="4"/>
  <c r="L263" i="4"/>
  <c r="J263" i="4"/>
  <c r="H263" i="4"/>
  <c r="F263" i="4"/>
  <c r="B263" i="4"/>
  <c r="G263" i="4"/>
  <c r="D263" i="4"/>
  <c r="K263" i="4"/>
  <c r="C263" i="4"/>
  <c r="I263" i="4"/>
  <c r="E263" i="4"/>
  <c r="A252" i="2"/>
  <c r="M251" i="4"/>
  <c r="L251" i="4"/>
  <c r="J251" i="4"/>
  <c r="H251" i="4"/>
  <c r="F251" i="4"/>
  <c r="B251" i="4"/>
  <c r="I251" i="4"/>
  <c r="E251" i="4"/>
  <c r="G251" i="4"/>
  <c r="K251" i="4"/>
  <c r="A240" i="2"/>
  <c r="M239" i="4"/>
  <c r="L239" i="4"/>
  <c r="J239" i="4"/>
  <c r="H239" i="4"/>
  <c r="F239" i="4"/>
  <c r="B239" i="4"/>
  <c r="D239" i="4"/>
  <c r="G239" i="4"/>
  <c r="I239" i="4"/>
  <c r="E239" i="4"/>
  <c r="C239" i="4"/>
  <c r="A228" i="2"/>
  <c r="M227" i="4"/>
  <c r="L227" i="4"/>
  <c r="J227" i="4"/>
  <c r="H227" i="4"/>
  <c r="F227" i="4"/>
  <c r="B227" i="4"/>
  <c r="I227" i="4"/>
  <c r="E227" i="4"/>
  <c r="C227" i="4"/>
  <c r="K227" i="4"/>
  <c r="D227" i="4"/>
  <c r="G227" i="4"/>
  <c r="A216" i="2"/>
  <c r="M215" i="4"/>
  <c r="L215" i="4"/>
  <c r="F215" i="4"/>
  <c r="I215" i="4"/>
  <c r="G215" i="4"/>
  <c r="D215" i="4"/>
  <c r="B215" i="4"/>
  <c r="K215" i="4"/>
  <c r="J215" i="4"/>
  <c r="E215" i="4"/>
  <c r="H215" i="4"/>
  <c r="A204" i="2"/>
  <c r="M203" i="4"/>
  <c r="E203" i="4"/>
  <c r="C203" i="4"/>
  <c r="K203" i="4"/>
  <c r="G203" i="4"/>
  <c r="B203" i="4"/>
  <c r="J203" i="4"/>
  <c r="F203" i="4"/>
  <c r="I203" i="4"/>
  <c r="D203" i="4"/>
  <c r="A192" i="2"/>
  <c r="M191" i="4"/>
  <c r="E191" i="4"/>
  <c r="C191" i="4"/>
  <c r="K191" i="4"/>
  <c r="G191" i="4"/>
  <c r="J191" i="4"/>
  <c r="H191" i="4"/>
  <c r="D191" i="4"/>
  <c r="B191" i="4"/>
  <c r="L191" i="4"/>
  <c r="I191" i="4"/>
  <c r="A180" i="2"/>
  <c r="M179" i="4"/>
  <c r="E179" i="4"/>
  <c r="C179" i="4"/>
  <c r="K179" i="4"/>
  <c r="G179" i="4"/>
  <c r="L179" i="4"/>
  <c r="J179" i="4"/>
  <c r="H179" i="4"/>
  <c r="B179" i="4"/>
  <c r="I179" i="4"/>
  <c r="A168" i="2"/>
  <c r="M167" i="4"/>
  <c r="E167" i="4"/>
  <c r="K167" i="4"/>
  <c r="G167" i="4"/>
  <c r="B167" i="4"/>
  <c r="L167" i="4"/>
  <c r="I167" i="4"/>
  <c r="D167" i="4"/>
  <c r="H167" i="4"/>
  <c r="C167" i="4"/>
  <c r="A156" i="2"/>
  <c r="Q156" i="2"/>
  <c r="M155" i="4"/>
  <c r="E155" i="4"/>
  <c r="K155" i="4"/>
  <c r="B155" i="4"/>
  <c r="L155" i="4"/>
  <c r="J155" i="4"/>
  <c r="H155" i="4"/>
  <c r="D155" i="4"/>
  <c r="I155" i="4"/>
  <c r="C155" i="4"/>
  <c r="A144" i="2"/>
  <c r="M143" i="4"/>
  <c r="H143" i="4"/>
  <c r="F143" i="4"/>
  <c r="D143" i="4"/>
  <c r="C143" i="4"/>
  <c r="J143" i="4"/>
  <c r="E143" i="4"/>
  <c r="I143" i="4"/>
  <c r="A132" i="2"/>
  <c r="M131" i="4"/>
  <c r="H131" i="4"/>
  <c r="E131" i="4"/>
  <c r="C131" i="4"/>
  <c r="K131" i="4"/>
  <c r="G131" i="4"/>
  <c r="A120" i="2"/>
  <c r="M119" i="4"/>
  <c r="E119" i="4"/>
  <c r="C119" i="4"/>
  <c r="L119" i="4"/>
  <c r="J119" i="4"/>
  <c r="G119" i="4"/>
  <c r="A108" i="2"/>
  <c r="M107" i="4"/>
  <c r="E107" i="4"/>
  <c r="C107" i="4"/>
  <c r="L107" i="4"/>
  <c r="J107" i="4"/>
  <c r="G107" i="4"/>
  <c r="A96" i="2"/>
  <c r="M95" i="4"/>
  <c r="E95" i="4"/>
  <c r="C95" i="4"/>
  <c r="L95" i="4"/>
  <c r="J95" i="4"/>
  <c r="G95" i="4"/>
  <c r="A84" i="2"/>
  <c r="G84" i="2"/>
  <c r="M83" i="4"/>
  <c r="E83" i="4"/>
  <c r="L83" i="4"/>
  <c r="A72" i="2"/>
  <c r="M71" i="4"/>
  <c r="A60" i="2"/>
  <c r="M59" i="4"/>
  <c r="A48" i="2"/>
  <c r="M47" i="4"/>
  <c r="F39" i="4"/>
  <c r="G40" i="4"/>
  <c r="H41" i="4"/>
  <c r="I42" i="4"/>
  <c r="J43" i="4"/>
  <c r="K44" i="4"/>
  <c r="L45" i="4"/>
  <c r="B47" i="4"/>
  <c r="C48" i="4"/>
  <c r="D49" i="4"/>
  <c r="E50" i="4"/>
  <c r="F51" i="4"/>
  <c r="G52" i="4"/>
  <c r="H53" i="4"/>
  <c r="I54" i="4"/>
  <c r="J55" i="4"/>
  <c r="K56" i="4"/>
  <c r="L57" i="4"/>
  <c r="B59" i="4"/>
  <c r="C60" i="4"/>
  <c r="D61" i="4"/>
  <c r="E62" i="4"/>
  <c r="F63" i="4"/>
  <c r="G64" i="4"/>
  <c r="H65" i="4"/>
  <c r="I66" i="4"/>
  <c r="J67" i="4"/>
  <c r="K68" i="4"/>
  <c r="L69" i="4"/>
  <c r="B71" i="4"/>
  <c r="C72" i="4"/>
  <c r="D73" i="4"/>
  <c r="E74" i="4"/>
  <c r="F75" i="4"/>
  <c r="H76" i="4"/>
  <c r="L77" i="4"/>
  <c r="D79" i="4"/>
  <c r="G80" i="4"/>
  <c r="K81" i="4"/>
  <c r="C83" i="4"/>
  <c r="G84" i="4"/>
  <c r="J85" i="4"/>
  <c r="B87" i="4"/>
  <c r="I88" i="4"/>
  <c r="B93" i="4"/>
  <c r="D95" i="4"/>
  <c r="F97" i="4"/>
  <c r="H99" i="4"/>
  <c r="J101" i="4"/>
  <c r="E108" i="4"/>
  <c r="G110" i="4"/>
  <c r="I112" i="4"/>
  <c r="B117" i="4"/>
  <c r="D119" i="4"/>
  <c r="F121" i="4"/>
  <c r="H123" i="4"/>
  <c r="J125" i="4"/>
  <c r="L127" i="4"/>
  <c r="G132" i="4"/>
  <c r="C135" i="4"/>
  <c r="J137" i="4"/>
  <c r="F140" i="4"/>
  <c r="B143" i="4"/>
  <c r="F147" i="4"/>
  <c r="B157" i="4"/>
  <c r="D162" i="4"/>
  <c r="J167" i="4"/>
  <c r="H181" i="4"/>
  <c r="B189" i="4"/>
  <c r="G196" i="4"/>
  <c r="L203" i="4"/>
  <c r="H338" i="4"/>
  <c r="F69" i="4"/>
  <c r="D81" i="4"/>
  <c r="C495" i="4"/>
  <c r="M495" i="4"/>
  <c r="B495" i="4"/>
  <c r="L495" i="4"/>
  <c r="K495" i="4"/>
  <c r="J495" i="4"/>
  <c r="I495" i="4"/>
  <c r="H495" i="4"/>
  <c r="E495" i="4"/>
  <c r="D495" i="4"/>
  <c r="G495" i="4"/>
  <c r="F495" i="4"/>
  <c r="M291" i="4"/>
  <c r="A292" i="2"/>
  <c r="D291" i="4"/>
  <c r="C291" i="4"/>
  <c r="B291" i="4"/>
  <c r="L291" i="4"/>
  <c r="J291" i="4"/>
  <c r="I291" i="4"/>
  <c r="E291" i="4"/>
  <c r="K291" i="4"/>
  <c r="G291" i="4"/>
  <c r="H291" i="4"/>
  <c r="F291" i="4"/>
  <c r="B51" i="4"/>
  <c r="D53" i="4"/>
  <c r="M446" i="4"/>
  <c r="L446" i="4"/>
  <c r="K446" i="4"/>
  <c r="J446" i="4"/>
  <c r="I446" i="4"/>
  <c r="G446" i="4"/>
  <c r="F446" i="4"/>
  <c r="E446" i="4"/>
  <c r="D446" i="4"/>
  <c r="H446" i="4"/>
  <c r="B446" i="4"/>
  <c r="C446" i="4"/>
  <c r="M386" i="4"/>
  <c r="D386" i="4"/>
  <c r="C386" i="4"/>
  <c r="L386" i="4"/>
  <c r="J386" i="4"/>
  <c r="G386" i="4"/>
  <c r="F386" i="4"/>
  <c r="I386" i="4"/>
  <c r="H386" i="4"/>
  <c r="E386" i="4"/>
  <c r="K386" i="4"/>
  <c r="B386" i="4"/>
  <c r="A243" i="2"/>
  <c r="M242" i="4"/>
  <c r="C242" i="4"/>
  <c r="K242" i="4"/>
  <c r="I242" i="4"/>
  <c r="E242" i="4"/>
  <c r="L242" i="4"/>
  <c r="H242" i="4"/>
  <c r="F242" i="4"/>
  <c r="B242" i="4"/>
  <c r="J242" i="4"/>
  <c r="G242" i="4"/>
  <c r="C51" i="4"/>
  <c r="G55" i="4"/>
  <c r="L492" i="4"/>
  <c r="K492" i="4"/>
  <c r="J492" i="4"/>
  <c r="I492" i="4"/>
  <c r="H492" i="4"/>
  <c r="G492" i="4"/>
  <c r="F492" i="4"/>
  <c r="E492" i="4"/>
  <c r="M492" i="4"/>
  <c r="B492" i="4"/>
  <c r="D492" i="4"/>
  <c r="C492" i="4"/>
  <c r="M444" i="4"/>
  <c r="J444" i="4"/>
  <c r="I444" i="4"/>
  <c r="H444" i="4"/>
  <c r="G444" i="4"/>
  <c r="E444" i="4"/>
  <c r="D444" i="4"/>
  <c r="C444" i="4"/>
  <c r="B444" i="4"/>
  <c r="F444" i="4"/>
  <c r="L444" i="4"/>
  <c r="K444" i="4"/>
  <c r="M384" i="4"/>
  <c r="B384" i="4"/>
  <c r="K384" i="4"/>
  <c r="J384" i="4"/>
  <c r="H384" i="4"/>
  <c r="E384" i="4"/>
  <c r="D384" i="4"/>
  <c r="C384" i="4"/>
  <c r="I384" i="4"/>
  <c r="G384" i="4"/>
  <c r="F384" i="4"/>
  <c r="L384" i="4"/>
  <c r="A217" i="2"/>
  <c r="M216" i="4"/>
  <c r="I216" i="4"/>
  <c r="G216" i="4"/>
  <c r="K216" i="4"/>
  <c r="H216" i="4"/>
  <c r="E216" i="4"/>
  <c r="J216" i="4"/>
  <c r="C216" i="4"/>
  <c r="F216" i="4"/>
  <c r="B216" i="4"/>
  <c r="G41" i="4"/>
  <c r="D50" i="4"/>
  <c r="E51" i="4"/>
  <c r="K57" i="4"/>
  <c r="G65" i="4"/>
  <c r="B72" i="4"/>
  <c r="I81" i="4"/>
  <c r="F123" i="4"/>
  <c r="H125" i="4"/>
  <c r="E132" i="4"/>
  <c r="L134" i="4"/>
  <c r="G137" i="4"/>
  <c r="L173" i="4"/>
  <c r="J490" i="4"/>
  <c r="I490" i="4"/>
  <c r="H490" i="4"/>
  <c r="G490" i="4"/>
  <c r="F490" i="4"/>
  <c r="E490" i="4"/>
  <c r="D490" i="4"/>
  <c r="C490" i="4"/>
  <c r="M490" i="4"/>
  <c r="L490" i="4"/>
  <c r="K490" i="4"/>
  <c r="B490" i="4"/>
  <c r="M478" i="4"/>
  <c r="H478" i="4"/>
  <c r="G478" i="4"/>
  <c r="F478" i="4"/>
  <c r="E478" i="4"/>
  <c r="D478" i="4"/>
  <c r="C478" i="4"/>
  <c r="B478" i="4"/>
  <c r="L478" i="4"/>
  <c r="K478" i="4"/>
  <c r="J478" i="4"/>
  <c r="M466" i="4"/>
  <c r="H466" i="4"/>
  <c r="G466" i="4"/>
  <c r="F466" i="4"/>
  <c r="E466" i="4"/>
  <c r="D466" i="4"/>
  <c r="C466" i="4"/>
  <c r="B466" i="4"/>
  <c r="L466" i="4"/>
  <c r="K466" i="4"/>
  <c r="J466" i="4"/>
  <c r="I466" i="4"/>
  <c r="M454" i="4"/>
  <c r="H454" i="4"/>
  <c r="G454" i="4"/>
  <c r="F454" i="4"/>
  <c r="E454" i="4"/>
  <c r="C454" i="4"/>
  <c r="B454" i="4"/>
  <c r="L454" i="4"/>
  <c r="K454" i="4"/>
  <c r="D454" i="4"/>
  <c r="J454" i="4"/>
  <c r="I454" i="4"/>
  <c r="M442" i="4"/>
  <c r="H442" i="4"/>
  <c r="G442" i="4"/>
  <c r="F442" i="4"/>
  <c r="E442" i="4"/>
  <c r="C442" i="4"/>
  <c r="B442" i="4"/>
  <c r="L442" i="4"/>
  <c r="J442" i="4"/>
  <c r="I442" i="4"/>
  <c r="K442" i="4"/>
  <c r="D442" i="4"/>
  <c r="M430" i="4"/>
  <c r="H430" i="4"/>
  <c r="G430" i="4"/>
  <c r="F430" i="4"/>
  <c r="E430" i="4"/>
  <c r="C430" i="4"/>
  <c r="B430" i="4"/>
  <c r="L430" i="4"/>
  <c r="I430" i="4"/>
  <c r="D430" i="4"/>
  <c r="K430" i="4"/>
  <c r="J430" i="4"/>
  <c r="M418" i="4"/>
  <c r="H418" i="4"/>
  <c r="G418" i="4"/>
  <c r="F418" i="4"/>
  <c r="E418" i="4"/>
  <c r="C418" i="4"/>
  <c r="L418" i="4"/>
  <c r="I418" i="4"/>
  <c r="D418" i="4"/>
  <c r="K418" i="4"/>
  <c r="J418" i="4"/>
  <c r="B418" i="4"/>
  <c r="M406" i="4"/>
  <c r="H406" i="4"/>
  <c r="G406" i="4"/>
  <c r="F406" i="4"/>
  <c r="E406" i="4"/>
  <c r="C406" i="4"/>
  <c r="L406" i="4"/>
  <c r="J406" i="4"/>
  <c r="I406" i="4"/>
  <c r="B406" i="4"/>
  <c r="K406" i="4"/>
  <c r="D406" i="4"/>
  <c r="M394" i="4"/>
  <c r="L394" i="4"/>
  <c r="K394" i="4"/>
  <c r="I394" i="4"/>
  <c r="H394" i="4"/>
  <c r="F394" i="4"/>
  <c r="C394" i="4"/>
  <c r="B394" i="4"/>
  <c r="G394" i="4"/>
  <c r="E394" i="4"/>
  <c r="D394" i="4"/>
  <c r="J394" i="4"/>
  <c r="M382" i="4"/>
  <c r="L382" i="4"/>
  <c r="K382" i="4"/>
  <c r="I382" i="4"/>
  <c r="H382" i="4"/>
  <c r="F382" i="4"/>
  <c r="C382" i="4"/>
  <c r="B382" i="4"/>
  <c r="J382" i="4"/>
  <c r="G382" i="4"/>
  <c r="D382" i="4"/>
  <c r="E382" i="4"/>
  <c r="M370" i="4"/>
  <c r="L370" i="4"/>
  <c r="K370" i="4"/>
  <c r="I370" i="4"/>
  <c r="H370" i="4"/>
  <c r="F370" i="4"/>
  <c r="C370" i="4"/>
  <c r="B370" i="4"/>
  <c r="J370" i="4"/>
  <c r="G370" i="4"/>
  <c r="D370" i="4"/>
  <c r="E370" i="4"/>
  <c r="M358" i="4"/>
  <c r="L358" i="4"/>
  <c r="K358" i="4"/>
  <c r="I358" i="4"/>
  <c r="H358" i="4"/>
  <c r="F358" i="4"/>
  <c r="C358" i="4"/>
  <c r="B358" i="4"/>
  <c r="G358" i="4"/>
  <c r="E358" i="4"/>
  <c r="D358" i="4"/>
  <c r="J358" i="4"/>
  <c r="M346" i="4"/>
  <c r="L346" i="4"/>
  <c r="K346" i="4"/>
  <c r="I346" i="4"/>
  <c r="H346" i="4"/>
  <c r="F346" i="4"/>
  <c r="C346" i="4"/>
  <c r="B346" i="4"/>
  <c r="G346" i="4"/>
  <c r="D346" i="4"/>
  <c r="E346" i="4"/>
  <c r="J346" i="4"/>
  <c r="M334" i="4"/>
  <c r="L334" i="4"/>
  <c r="K334" i="4"/>
  <c r="J334" i="4"/>
  <c r="I334" i="4"/>
  <c r="G334" i="4"/>
  <c r="E334" i="4"/>
  <c r="D334" i="4"/>
  <c r="B334" i="4"/>
  <c r="H334" i="4"/>
  <c r="F334" i="4"/>
  <c r="M322" i="4"/>
  <c r="K322" i="4"/>
  <c r="J322" i="4"/>
  <c r="I322" i="4"/>
  <c r="G322" i="4"/>
  <c r="E322" i="4"/>
  <c r="D322" i="4"/>
  <c r="B322" i="4"/>
  <c r="L322" i="4"/>
  <c r="F322" i="4"/>
  <c r="C322" i="4"/>
  <c r="H322" i="4"/>
  <c r="M310" i="4"/>
  <c r="K310" i="4"/>
  <c r="J310" i="4"/>
  <c r="I310" i="4"/>
  <c r="G310" i="4"/>
  <c r="E310" i="4"/>
  <c r="D310" i="4"/>
  <c r="L310" i="4"/>
  <c r="F310" i="4"/>
  <c r="B310" i="4"/>
  <c r="C310" i="4"/>
  <c r="H310" i="4"/>
  <c r="A299" i="2"/>
  <c r="M298" i="4"/>
  <c r="K298" i="4"/>
  <c r="J298" i="4"/>
  <c r="I298" i="4"/>
  <c r="G298" i="4"/>
  <c r="E298" i="4"/>
  <c r="D298" i="4"/>
  <c r="L298" i="4"/>
  <c r="F298" i="4"/>
  <c r="H298" i="4"/>
  <c r="B298" i="4"/>
  <c r="A287" i="2"/>
  <c r="M286" i="4"/>
  <c r="K286" i="4"/>
  <c r="J286" i="4"/>
  <c r="G286" i="4"/>
  <c r="E286" i="4"/>
  <c r="D286" i="4"/>
  <c r="L286" i="4"/>
  <c r="H286" i="4"/>
  <c r="C286" i="4"/>
  <c r="F286" i="4"/>
  <c r="A275" i="2"/>
  <c r="M275" i="2"/>
  <c r="M274" i="4"/>
  <c r="K274" i="4"/>
  <c r="I274" i="4"/>
  <c r="G274" i="4"/>
  <c r="E274" i="4"/>
  <c r="J274" i="4"/>
  <c r="F274" i="4"/>
  <c r="C274" i="4"/>
  <c r="L274" i="4"/>
  <c r="H274" i="4"/>
  <c r="B274" i="4"/>
  <c r="A263" i="2"/>
  <c r="M262" i="4"/>
  <c r="K262" i="4"/>
  <c r="I262" i="4"/>
  <c r="G262" i="4"/>
  <c r="E262" i="4"/>
  <c r="L262" i="4"/>
  <c r="H262" i="4"/>
  <c r="B262" i="4"/>
  <c r="F262" i="4"/>
  <c r="C262" i="4"/>
  <c r="D262" i="4"/>
  <c r="A251" i="2"/>
  <c r="M250" i="4"/>
  <c r="K250" i="4"/>
  <c r="I250" i="4"/>
  <c r="G250" i="4"/>
  <c r="E250" i="4"/>
  <c r="F250" i="4"/>
  <c r="C250" i="4"/>
  <c r="J250" i="4"/>
  <c r="D250" i="4"/>
  <c r="L250" i="4"/>
  <c r="H250" i="4"/>
  <c r="M238" i="4"/>
  <c r="A239" i="2"/>
  <c r="K238" i="4"/>
  <c r="I238" i="4"/>
  <c r="G238" i="4"/>
  <c r="E238" i="4"/>
  <c r="L238" i="4"/>
  <c r="H238" i="4"/>
  <c r="D238" i="4"/>
  <c r="J238" i="4"/>
  <c r="B238" i="4"/>
  <c r="A227" i="2"/>
  <c r="M226" i="4"/>
  <c r="K226" i="4"/>
  <c r="I226" i="4"/>
  <c r="G226" i="4"/>
  <c r="E226" i="4"/>
  <c r="C226" i="4"/>
  <c r="F226" i="4"/>
  <c r="J226" i="4"/>
  <c r="H226" i="4"/>
  <c r="B226" i="4"/>
  <c r="D226" i="4"/>
  <c r="A215" i="2"/>
  <c r="M214" i="4"/>
  <c r="K214" i="4"/>
  <c r="E214" i="4"/>
  <c r="F214" i="4"/>
  <c r="C214" i="4"/>
  <c r="H214" i="4"/>
  <c r="L214" i="4"/>
  <c r="J214" i="4"/>
  <c r="G214" i="4"/>
  <c r="I214" i="4"/>
  <c r="A203" i="2"/>
  <c r="H203" i="2"/>
  <c r="M202" i="4"/>
  <c r="D202" i="4"/>
  <c r="B202" i="4"/>
  <c r="L202" i="4"/>
  <c r="J202" i="4"/>
  <c r="F202" i="4"/>
  <c r="I202" i="4"/>
  <c r="G202" i="4"/>
  <c r="E202" i="4"/>
  <c r="K202" i="4"/>
  <c r="C202" i="4"/>
  <c r="A191" i="2"/>
  <c r="M190" i="4"/>
  <c r="D190" i="4"/>
  <c r="B190" i="4"/>
  <c r="L190" i="4"/>
  <c r="J190" i="4"/>
  <c r="F190" i="4"/>
  <c r="I190" i="4"/>
  <c r="E190" i="4"/>
  <c r="K190" i="4"/>
  <c r="C190" i="4"/>
  <c r="A179" i="2"/>
  <c r="M178" i="4"/>
  <c r="D178" i="4"/>
  <c r="B178" i="4"/>
  <c r="L178" i="4"/>
  <c r="J178" i="4"/>
  <c r="F178" i="4"/>
  <c r="I178" i="4"/>
  <c r="G178" i="4"/>
  <c r="C178" i="4"/>
  <c r="E178" i="4"/>
  <c r="K178" i="4"/>
  <c r="A167" i="2"/>
  <c r="M166" i="4"/>
  <c r="D166" i="4"/>
  <c r="L166" i="4"/>
  <c r="J166" i="4"/>
  <c r="F166" i="4"/>
  <c r="I166" i="4"/>
  <c r="G166" i="4"/>
  <c r="E166" i="4"/>
  <c r="B166" i="4"/>
  <c r="K166" i="4"/>
  <c r="C166" i="4"/>
  <c r="A155" i="2"/>
  <c r="M154" i="4"/>
  <c r="D154" i="4"/>
  <c r="J154" i="4"/>
  <c r="K154" i="4"/>
  <c r="H154" i="4"/>
  <c r="G154" i="4"/>
  <c r="E154" i="4"/>
  <c r="I154" i="4"/>
  <c r="C154" i="4"/>
  <c r="A143" i="2"/>
  <c r="M142" i="4"/>
  <c r="G142" i="4"/>
  <c r="B142" i="4"/>
  <c r="L142" i="4"/>
  <c r="K142" i="4"/>
  <c r="I142" i="4"/>
  <c r="H142" i="4"/>
  <c r="E142" i="4"/>
  <c r="A131" i="2"/>
  <c r="M130" i="4"/>
  <c r="D130" i="4"/>
  <c r="B130" i="4"/>
  <c r="L130" i="4"/>
  <c r="K130" i="4"/>
  <c r="I130" i="4"/>
  <c r="F130" i="4"/>
  <c r="A119" i="2"/>
  <c r="M118" i="4"/>
  <c r="D118" i="4"/>
  <c r="B118" i="4"/>
  <c r="L118" i="4"/>
  <c r="K118" i="4"/>
  <c r="I118" i="4"/>
  <c r="F118" i="4"/>
  <c r="A107" i="2"/>
  <c r="M106" i="4"/>
  <c r="D106" i="4"/>
  <c r="B106" i="4"/>
  <c r="L106" i="4"/>
  <c r="K106" i="4"/>
  <c r="I106" i="4"/>
  <c r="F106" i="4"/>
  <c r="A95" i="2"/>
  <c r="M94" i="4"/>
  <c r="D94" i="4"/>
  <c r="B94" i="4"/>
  <c r="L94" i="4"/>
  <c r="K94" i="4"/>
  <c r="I94" i="4"/>
  <c r="F94" i="4"/>
  <c r="A83" i="2"/>
  <c r="M82" i="4"/>
  <c r="D82" i="4"/>
  <c r="K82" i="4"/>
  <c r="A71" i="2"/>
  <c r="M70" i="4"/>
  <c r="A59" i="2"/>
  <c r="M58" i="4"/>
  <c r="A47" i="2"/>
  <c r="M46" i="4"/>
  <c r="G39" i="4"/>
  <c r="H40" i="4"/>
  <c r="I41" i="4"/>
  <c r="J42" i="4"/>
  <c r="K43" i="4"/>
  <c r="B46" i="4"/>
  <c r="C47" i="4"/>
  <c r="D48" i="4"/>
  <c r="E49" i="4"/>
  <c r="F50" i="4"/>
  <c r="G51" i="4"/>
  <c r="H52" i="4"/>
  <c r="I53" i="4"/>
  <c r="J54" i="4"/>
  <c r="B58" i="4"/>
  <c r="C59" i="4"/>
  <c r="D60" i="4"/>
  <c r="E61" i="4"/>
  <c r="F62" i="4"/>
  <c r="G63" i="4"/>
  <c r="H64" i="4"/>
  <c r="I65" i="4"/>
  <c r="J66" i="4"/>
  <c r="B70" i="4"/>
  <c r="C71" i="4"/>
  <c r="D72" i="4"/>
  <c r="E73" i="4"/>
  <c r="F74" i="4"/>
  <c r="G75" i="4"/>
  <c r="I76" i="4"/>
  <c r="B78" i="4"/>
  <c r="E79" i="4"/>
  <c r="D83" i="4"/>
  <c r="H84" i="4"/>
  <c r="K85" i="4"/>
  <c r="C87" i="4"/>
  <c r="K88" i="4"/>
  <c r="B91" i="4"/>
  <c r="D93" i="4"/>
  <c r="F95" i="4"/>
  <c r="H97" i="4"/>
  <c r="J99" i="4"/>
  <c r="L101" i="4"/>
  <c r="E106" i="4"/>
  <c r="G108" i="4"/>
  <c r="I110" i="4"/>
  <c r="K112" i="4"/>
  <c r="B115" i="4"/>
  <c r="D117" i="4"/>
  <c r="F119" i="4"/>
  <c r="H121" i="4"/>
  <c r="J123" i="4"/>
  <c r="E130" i="4"/>
  <c r="J132" i="4"/>
  <c r="E135" i="4"/>
  <c r="G143" i="4"/>
  <c r="K147" i="4"/>
  <c r="H157" i="4"/>
  <c r="G168" i="4"/>
  <c r="B175" i="4"/>
  <c r="E182" i="4"/>
  <c r="D197" i="4"/>
  <c r="J204" i="4"/>
  <c r="B250" i="4"/>
  <c r="J262" i="4"/>
  <c r="G275" i="4"/>
  <c r="C298" i="4"/>
  <c r="H353" i="4"/>
  <c r="E485" i="4"/>
  <c r="C485" i="4"/>
  <c r="M485" i="4"/>
  <c r="L485" i="4"/>
  <c r="K485" i="4"/>
  <c r="J485" i="4"/>
  <c r="G485" i="4"/>
  <c r="F485" i="4"/>
  <c r="H485" i="4"/>
  <c r="D485" i="4"/>
  <c r="B485" i="4"/>
  <c r="I485" i="4"/>
  <c r="M449" i="4"/>
  <c r="C449" i="4"/>
  <c r="B449" i="4"/>
  <c r="L449" i="4"/>
  <c r="J449" i="4"/>
  <c r="I449" i="4"/>
  <c r="H449" i="4"/>
  <c r="G449" i="4"/>
  <c r="K449" i="4"/>
  <c r="E449" i="4"/>
  <c r="D449" i="4"/>
  <c r="F449" i="4"/>
  <c r="M377" i="4"/>
  <c r="G377" i="4"/>
  <c r="F377" i="4"/>
  <c r="D377" i="4"/>
  <c r="C377" i="4"/>
  <c r="J377" i="4"/>
  <c r="I377" i="4"/>
  <c r="L377" i="4"/>
  <c r="H377" i="4"/>
  <c r="E377" i="4"/>
  <c r="K377" i="4"/>
  <c r="M305" i="4"/>
  <c r="F305" i="4"/>
  <c r="E305" i="4"/>
  <c r="D305" i="4"/>
  <c r="B305" i="4"/>
  <c r="L305" i="4"/>
  <c r="K305" i="4"/>
  <c r="G305" i="4"/>
  <c r="H305" i="4"/>
  <c r="J305" i="4"/>
  <c r="C305" i="4"/>
  <c r="I305" i="4"/>
  <c r="A162" i="2"/>
  <c r="M161" i="4"/>
  <c r="K161" i="4"/>
  <c r="E161" i="4"/>
  <c r="H161" i="4"/>
  <c r="F161" i="4"/>
  <c r="C161" i="4"/>
  <c r="B161" i="4"/>
  <c r="J161" i="4"/>
  <c r="I161" i="4"/>
  <c r="G161" i="4"/>
  <c r="I489" i="4"/>
  <c r="G489" i="4"/>
  <c r="F489" i="4"/>
  <c r="E489" i="4"/>
  <c r="D489" i="4"/>
  <c r="C489" i="4"/>
  <c r="M489" i="4"/>
  <c r="B489" i="4"/>
  <c r="K489" i="4"/>
  <c r="J489" i="4"/>
  <c r="L489" i="4"/>
  <c r="H489" i="4"/>
  <c r="M453" i="4"/>
  <c r="G453" i="4"/>
  <c r="F453" i="4"/>
  <c r="E453" i="4"/>
  <c r="D453" i="4"/>
  <c r="B453" i="4"/>
  <c r="L453" i="4"/>
  <c r="K453" i="4"/>
  <c r="H453" i="4"/>
  <c r="C453" i="4"/>
  <c r="J453" i="4"/>
  <c r="I453" i="4"/>
  <c r="M429" i="4"/>
  <c r="G429" i="4"/>
  <c r="F429" i="4"/>
  <c r="E429" i="4"/>
  <c r="D429" i="4"/>
  <c r="B429" i="4"/>
  <c r="L429" i="4"/>
  <c r="K429" i="4"/>
  <c r="I429" i="4"/>
  <c r="H429" i="4"/>
  <c r="C429" i="4"/>
  <c r="J429" i="4"/>
  <c r="M393" i="4"/>
  <c r="K393" i="4"/>
  <c r="J393" i="4"/>
  <c r="H393" i="4"/>
  <c r="G393" i="4"/>
  <c r="E393" i="4"/>
  <c r="B393" i="4"/>
  <c r="I393" i="4"/>
  <c r="D393" i="4"/>
  <c r="C393" i="4"/>
  <c r="F393" i="4"/>
  <c r="L393" i="4"/>
  <c r="M381" i="4"/>
  <c r="K381" i="4"/>
  <c r="J381" i="4"/>
  <c r="H381" i="4"/>
  <c r="G381" i="4"/>
  <c r="E381" i="4"/>
  <c r="B381" i="4"/>
  <c r="F381" i="4"/>
  <c r="D381" i="4"/>
  <c r="C381" i="4"/>
  <c r="L381" i="4"/>
  <c r="I381" i="4"/>
  <c r="M333" i="4"/>
  <c r="J333" i="4"/>
  <c r="I333" i="4"/>
  <c r="H333" i="4"/>
  <c r="F333" i="4"/>
  <c r="D333" i="4"/>
  <c r="C333" i="4"/>
  <c r="L333" i="4"/>
  <c r="K333" i="4"/>
  <c r="E333" i="4"/>
  <c r="G333" i="4"/>
  <c r="B333" i="4"/>
  <c r="M297" i="4"/>
  <c r="A298" i="2"/>
  <c r="J297" i="4"/>
  <c r="I297" i="4"/>
  <c r="H297" i="4"/>
  <c r="F297" i="4"/>
  <c r="D297" i="4"/>
  <c r="C297" i="4"/>
  <c r="K297" i="4"/>
  <c r="B297" i="4"/>
  <c r="G297" i="4"/>
  <c r="L297" i="4"/>
  <c r="E297" i="4"/>
  <c r="A262" i="2"/>
  <c r="M261" i="4"/>
  <c r="J261" i="4"/>
  <c r="H261" i="4"/>
  <c r="F261" i="4"/>
  <c r="D261" i="4"/>
  <c r="L261" i="4"/>
  <c r="I261" i="4"/>
  <c r="E261" i="4"/>
  <c r="B261" i="4"/>
  <c r="K261" i="4"/>
  <c r="C261" i="4"/>
  <c r="A226" i="2"/>
  <c r="M225" i="4"/>
  <c r="J225" i="4"/>
  <c r="H225" i="4"/>
  <c r="F225" i="4"/>
  <c r="D225" i="4"/>
  <c r="L225" i="4"/>
  <c r="K225" i="4"/>
  <c r="G225" i="4"/>
  <c r="C225" i="4"/>
  <c r="B225" i="4"/>
  <c r="A190" i="2"/>
  <c r="M189" i="4"/>
  <c r="C189" i="4"/>
  <c r="K189" i="4"/>
  <c r="I189" i="4"/>
  <c r="E189" i="4"/>
  <c r="L189" i="4"/>
  <c r="H189" i="4"/>
  <c r="F189" i="4"/>
  <c r="D189" i="4"/>
  <c r="G189" i="4"/>
  <c r="A154" i="2"/>
  <c r="M153" i="4"/>
  <c r="C153" i="4"/>
  <c r="I153" i="4"/>
  <c r="J153" i="4"/>
  <c r="G153" i="4"/>
  <c r="E153" i="4"/>
  <c r="D153" i="4"/>
  <c r="L153" i="4"/>
  <c r="K153" i="4"/>
  <c r="H153" i="4"/>
  <c r="B153" i="4"/>
  <c r="A46" i="2"/>
  <c r="M45" i="4"/>
  <c r="J41" i="4"/>
  <c r="B69" i="4"/>
  <c r="L132" i="4"/>
  <c r="H135" i="4"/>
  <c r="D163" i="4"/>
  <c r="E225" i="4"/>
  <c r="B264" i="4"/>
  <c r="J276" i="4"/>
  <c r="J300" i="4"/>
  <c r="H362" i="4"/>
  <c r="M461" i="4"/>
  <c r="C461" i="4"/>
  <c r="B461" i="4"/>
  <c r="L461" i="4"/>
  <c r="K461" i="4"/>
  <c r="J461" i="4"/>
  <c r="I461" i="4"/>
  <c r="H461" i="4"/>
  <c r="G461" i="4"/>
  <c r="F461" i="4"/>
  <c r="E461" i="4"/>
  <c r="D461" i="4"/>
  <c r="M401" i="4"/>
  <c r="C401" i="4"/>
  <c r="B401" i="4"/>
  <c r="L401" i="4"/>
  <c r="G401" i="4"/>
  <c r="K401" i="4"/>
  <c r="I401" i="4"/>
  <c r="E401" i="4"/>
  <c r="D401" i="4"/>
  <c r="H401" i="4"/>
  <c r="F401" i="4"/>
  <c r="J401" i="4"/>
  <c r="M341" i="4"/>
  <c r="G341" i="4"/>
  <c r="F341" i="4"/>
  <c r="D341" i="4"/>
  <c r="C341" i="4"/>
  <c r="J341" i="4"/>
  <c r="I341" i="4"/>
  <c r="L341" i="4"/>
  <c r="K341" i="4"/>
  <c r="E341" i="4"/>
  <c r="B341" i="4"/>
  <c r="H341" i="4"/>
  <c r="A294" i="2"/>
  <c r="M293" i="4"/>
  <c r="F293" i="4"/>
  <c r="E293" i="4"/>
  <c r="D293" i="4"/>
  <c r="B293" i="4"/>
  <c r="L293" i="4"/>
  <c r="K293" i="4"/>
  <c r="G293" i="4"/>
  <c r="I293" i="4"/>
  <c r="C293" i="4"/>
  <c r="J293" i="4"/>
  <c r="A234" i="2"/>
  <c r="M233" i="4"/>
  <c r="F233" i="4"/>
  <c r="D233" i="4"/>
  <c r="B233" i="4"/>
  <c r="L233" i="4"/>
  <c r="H233" i="4"/>
  <c r="I233" i="4"/>
  <c r="E233" i="4"/>
  <c r="K233" i="4"/>
  <c r="J233" i="4"/>
  <c r="C233" i="4"/>
  <c r="A210" i="2"/>
  <c r="M209" i="4"/>
  <c r="F209" i="4"/>
  <c r="L209" i="4"/>
  <c r="C209" i="4"/>
  <c r="J209" i="4"/>
  <c r="E209" i="4"/>
  <c r="B209" i="4"/>
  <c r="K209" i="4"/>
  <c r="G209" i="4"/>
  <c r="D209" i="4"/>
  <c r="A198" i="2"/>
  <c r="M197" i="4"/>
  <c r="K197" i="4"/>
  <c r="I197" i="4"/>
  <c r="G197" i="4"/>
  <c r="E197" i="4"/>
  <c r="F197" i="4"/>
  <c r="C197" i="4"/>
  <c r="J197" i="4"/>
  <c r="B197" i="4"/>
  <c r="H197" i="4"/>
  <c r="A126" i="2"/>
  <c r="M125" i="4"/>
  <c r="K125" i="4"/>
  <c r="I125" i="4"/>
  <c r="G125" i="4"/>
  <c r="F125" i="4"/>
  <c r="D125" i="4"/>
  <c r="M369" i="4"/>
  <c r="K369" i="4"/>
  <c r="J369" i="4"/>
  <c r="H369" i="4"/>
  <c r="G369" i="4"/>
  <c r="E369" i="4"/>
  <c r="B369" i="4"/>
  <c r="I369" i="4"/>
  <c r="F369" i="4"/>
  <c r="C369" i="4"/>
  <c r="D369" i="4"/>
  <c r="L369" i="4"/>
  <c r="B57" i="4"/>
  <c r="H75" i="4"/>
  <c r="F79" i="4"/>
  <c r="E87" i="4"/>
  <c r="B89" i="4"/>
  <c r="D91" i="4"/>
  <c r="F93" i="4"/>
  <c r="L99" i="4"/>
  <c r="I108" i="4"/>
  <c r="K110" i="4"/>
  <c r="B113" i="4"/>
  <c r="D115" i="4"/>
  <c r="F117" i="4"/>
  <c r="L123" i="4"/>
  <c r="H175" i="4"/>
  <c r="L182" i="4"/>
  <c r="H500" i="4"/>
  <c r="G500" i="4"/>
  <c r="F500" i="4"/>
  <c r="E500" i="4"/>
  <c r="D500" i="4"/>
  <c r="C500" i="4"/>
  <c r="M500" i="4"/>
  <c r="B500" i="4"/>
  <c r="J500" i="4"/>
  <c r="I500" i="4"/>
  <c r="L500" i="4"/>
  <c r="K500" i="4"/>
  <c r="H488" i="4"/>
  <c r="F488" i="4"/>
  <c r="D488" i="4"/>
  <c r="C488" i="4"/>
  <c r="M488" i="4"/>
  <c r="B488" i="4"/>
  <c r="J488" i="4"/>
  <c r="I488" i="4"/>
  <c r="K488" i="4"/>
  <c r="G488" i="4"/>
  <c r="E488" i="4"/>
  <c r="L488" i="4"/>
  <c r="M476" i="4"/>
  <c r="F476" i="4"/>
  <c r="E476" i="4"/>
  <c r="D476" i="4"/>
  <c r="C476" i="4"/>
  <c r="B476" i="4"/>
  <c r="L476" i="4"/>
  <c r="K476" i="4"/>
  <c r="J476" i="4"/>
  <c r="I476" i="4"/>
  <c r="G476" i="4"/>
  <c r="H476" i="4"/>
  <c r="M464" i="4"/>
  <c r="F464" i="4"/>
  <c r="E464" i="4"/>
  <c r="D464" i="4"/>
  <c r="C464" i="4"/>
  <c r="B464" i="4"/>
  <c r="L464" i="4"/>
  <c r="K464" i="4"/>
  <c r="J464" i="4"/>
  <c r="I464" i="4"/>
  <c r="H464" i="4"/>
  <c r="G464" i="4"/>
  <c r="M452" i="4"/>
  <c r="F452" i="4"/>
  <c r="E452" i="4"/>
  <c r="D452" i="4"/>
  <c r="C452" i="4"/>
  <c r="L452" i="4"/>
  <c r="K452" i="4"/>
  <c r="J452" i="4"/>
  <c r="H452" i="4"/>
  <c r="G452" i="4"/>
  <c r="I452" i="4"/>
  <c r="B452" i="4"/>
  <c r="M440" i="4"/>
  <c r="F440" i="4"/>
  <c r="E440" i="4"/>
  <c r="D440" i="4"/>
  <c r="C440" i="4"/>
  <c r="L440" i="4"/>
  <c r="K440" i="4"/>
  <c r="J440" i="4"/>
  <c r="G440" i="4"/>
  <c r="B440" i="4"/>
  <c r="I440" i="4"/>
  <c r="H440" i="4"/>
  <c r="M428" i="4"/>
  <c r="F428" i="4"/>
  <c r="E428" i="4"/>
  <c r="D428" i="4"/>
  <c r="C428" i="4"/>
  <c r="L428" i="4"/>
  <c r="K428" i="4"/>
  <c r="J428" i="4"/>
  <c r="I428" i="4"/>
  <c r="B428" i="4"/>
  <c r="H428" i="4"/>
  <c r="G428" i="4"/>
  <c r="M416" i="4"/>
  <c r="F416" i="4"/>
  <c r="E416" i="4"/>
  <c r="D416" i="4"/>
  <c r="C416" i="4"/>
  <c r="K416" i="4"/>
  <c r="J416" i="4"/>
  <c r="L416" i="4"/>
  <c r="H416" i="4"/>
  <c r="G416" i="4"/>
  <c r="B416" i="4"/>
  <c r="I416" i="4"/>
  <c r="M404" i="4"/>
  <c r="F404" i="4"/>
  <c r="E404" i="4"/>
  <c r="D404" i="4"/>
  <c r="C404" i="4"/>
  <c r="K404" i="4"/>
  <c r="J404" i="4"/>
  <c r="I404" i="4"/>
  <c r="H404" i="4"/>
  <c r="B404" i="4"/>
  <c r="L404" i="4"/>
  <c r="M392" i="4"/>
  <c r="J392" i="4"/>
  <c r="I392" i="4"/>
  <c r="G392" i="4"/>
  <c r="F392" i="4"/>
  <c r="D392" i="4"/>
  <c r="L392" i="4"/>
  <c r="B392" i="4"/>
  <c r="H392" i="4"/>
  <c r="E392" i="4"/>
  <c r="C392" i="4"/>
  <c r="M380" i="4"/>
  <c r="J380" i="4"/>
  <c r="I380" i="4"/>
  <c r="G380" i="4"/>
  <c r="F380" i="4"/>
  <c r="D380" i="4"/>
  <c r="L380" i="4"/>
  <c r="H380" i="4"/>
  <c r="C380" i="4"/>
  <c r="B380" i="4"/>
  <c r="K380" i="4"/>
  <c r="E380" i="4"/>
  <c r="M368" i="4"/>
  <c r="J368" i="4"/>
  <c r="I368" i="4"/>
  <c r="G368" i="4"/>
  <c r="F368" i="4"/>
  <c r="D368" i="4"/>
  <c r="L368" i="4"/>
  <c r="E368" i="4"/>
  <c r="C368" i="4"/>
  <c r="B368" i="4"/>
  <c r="K368" i="4"/>
  <c r="H368" i="4"/>
  <c r="M356" i="4"/>
  <c r="J356" i="4"/>
  <c r="I356" i="4"/>
  <c r="G356" i="4"/>
  <c r="F356" i="4"/>
  <c r="D356" i="4"/>
  <c r="L356" i="4"/>
  <c r="H356" i="4"/>
  <c r="E356" i="4"/>
  <c r="B356" i="4"/>
  <c r="K356" i="4"/>
  <c r="C356" i="4"/>
  <c r="M344" i="4"/>
  <c r="J344" i="4"/>
  <c r="I344" i="4"/>
  <c r="G344" i="4"/>
  <c r="F344" i="4"/>
  <c r="D344" i="4"/>
  <c r="L344" i="4"/>
  <c r="K344" i="4"/>
  <c r="H344" i="4"/>
  <c r="E344" i="4"/>
  <c r="B344" i="4"/>
  <c r="C344" i="4"/>
  <c r="M332" i="4"/>
  <c r="I332" i="4"/>
  <c r="H332" i="4"/>
  <c r="G332" i="4"/>
  <c r="E332" i="4"/>
  <c r="C332" i="4"/>
  <c r="B332" i="4"/>
  <c r="L332" i="4"/>
  <c r="K332" i="4"/>
  <c r="J332" i="4"/>
  <c r="F332" i="4"/>
  <c r="D332" i="4"/>
  <c r="M320" i="4"/>
  <c r="I320" i="4"/>
  <c r="H320" i="4"/>
  <c r="G320" i="4"/>
  <c r="E320" i="4"/>
  <c r="C320" i="4"/>
  <c r="B320" i="4"/>
  <c r="L320" i="4"/>
  <c r="K320" i="4"/>
  <c r="J320" i="4"/>
  <c r="D320" i="4"/>
  <c r="F320" i="4"/>
  <c r="M308" i="4"/>
  <c r="I308" i="4"/>
  <c r="H308" i="4"/>
  <c r="G308" i="4"/>
  <c r="E308" i="4"/>
  <c r="C308" i="4"/>
  <c r="B308" i="4"/>
  <c r="K308" i="4"/>
  <c r="J308" i="4"/>
  <c r="D308" i="4"/>
  <c r="F308" i="4"/>
  <c r="A297" i="2"/>
  <c r="M296" i="4"/>
  <c r="I296" i="4"/>
  <c r="H296" i="4"/>
  <c r="G296" i="4"/>
  <c r="E296" i="4"/>
  <c r="C296" i="4"/>
  <c r="B296" i="4"/>
  <c r="J296" i="4"/>
  <c r="K296" i="4"/>
  <c r="D296" i="4"/>
  <c r="L296" i="4"/>
  <c r="F296" i="4"/>
  <c r="A285" i="2"/>
  <c r="AD285" i="2"/>
  <c r="M284" i="4"/>
  <c r="I284" i="4"/>
  <c r="H284" i="4"/>
  <c r="E284" i="4"/>
  <c r="C284" i="4"/>
  <c r="B284" i="4"/>
  <c r="J284" i="4"/>
  <c r="K284" i="4"/>
  <c r="F284" i="4"/>
  <c r="G284" i="4"/>
  <c r="L284" i="4"/>
  <c r="A273" i="2"/>
  <c r="M272" i="4"/>
  <c r="I272" i="4"/>
  <c r="G272" i="4"/>
  <c r="E272" i="4"/>
  <c r="C272" i="4"/>
  <c r="K272" i="4"/>
  <c r="L272" i="4"/>
  <c r="H272" i="4"/>
  <c r="D272" i="4"/>
  <c r="J272" i="4"/>
  <c r="B272" i="4"/>
  <c r="F272" i="4"/>
  <c r="A261" i="2"/>
  <c r="M260" i="4"/>
  <c r="I260" i="4"/>
  <c r="G260" i="4"/>
  <c r="E260" i="4"/>
  <c r="C260" i="4"/>
  <c r="K260" i="4"/>
  <c r="J260" i="4"/>
  <c r="B260" i="4"/>
  <c r="F260" i="4"/>
  <c r="L260" i="4"/>
  <c r="D260" i="4"/>
  <c r="A249" i="2"/>
  <c r="M248" i="4"/>
  <c r="I248" i="4"/>
  <c r="G248" i="4"/>
  <c r="E248" i="4"/>
  <c r="C248" i="4"/>
  <c r="K248" i="4"/>
  <c r="H248" i="4"/>
  <c r="D248" i="4"/>
  <c r="L248" i="4"/>
  <c r="F248" i="4"/>
  <c r="B248" i="4"/>
  <c r="A237" i="2"/>
  <c r="M236" i="4"/>
  <c r="I236" i="4"/>
  <c r="G236" i="4"/>
  <c r="E236" i="4"/>
  <c r="C236" i="4"/>
  <c r="K236" i="4"/>
  <c r="J236" i="4"/>
  <c r="F236" i="4"/>
  <c r="L236" i="4"/>
  <c r="D236" i="4"/>
  <c r="B236" i="4"/>
  <c r="H236" i="4"/>
  <c r="A225" i="2"/>
  <c r="AA225" i="2"/>
  <c r="M224" i="4"/>
  <c r="I224" i="4"/>
  <c r="G224" i="4"/>
  <c r="E224" i="4"/>
  <c r="C224" i="4"/>
  <c r="K224" i="4"/>
  <c r="D224" i="4"/>
  <c r="H224" i="4"/>
  <c r="J224" i="4"/>
  <c r="B224" i="4"/>
  <c r="L224" i="4"/>
  <c r="A213" i="2"/>
  <c r="AD213" i="2"/>
  <c r="M212" i="4"/>
  <c r="I212" i="4"/>
  <c r="C212" i="4"/>
  <c r="K212" i="4"/>
  <c r="H212" i="4"/>
  <c r="F212" i="4"/>
  <c r="J212" i="4"/>
  <c r="G212" i="4"/>
  <c r="D212" i="4"/>
  <c r="L212" i="4"/>
  <c r="B212" i="4"/>
  <c r="A201" i="2"/>
  <c r="N201" i="2"/>
  <c r="M200" i="4"/>
  <c r="B200" i="4"/>
  <c r="L200" i="4"/>
  <c r="J200" i="4"/>
  <c r="H200" i="4"/>
  <c r="D200" i="4"/>
  <c r="K200" i="4"/>
  <c r="G200" i="4"/>
  <c r="F200" i="4"/>
  <c r="C200" i="4"/>
  <c r="I200" i="4"/>
  <c r="A189" i="2"/>
  <c r="S189" i="2"/>
  <c r="M188" i="4"/>
  <c r="B188" i="4"/>
  <c r="L188" i="4"/>
  <c r="J188" i="4"/>
  <c r="H188" i="4"/>
  <c r="D188" i="4"/>
  <c r="C188" i="4"/>
  <c r="K188" i="4"/>
  <c r="F188" i="4"/>
  <c r="I188" i="4"/>
  <c r="E188" i="4"/>
  <c r="A177" i="2"/>
  <c r="M176" i="4"/>
  <c r="B176" i="4"/>
  <c r="L176" i="4"/>
  <c r="J176" i="4"/>
  <c r="H176" i="4"/>
  <c r="D176" i="4"/>
  <c r="K176" i="4"/>
  <c r="G176" i="4"/>
  <c r="E176" i="4"/>
  <c r="C176" i="4"/>
  <c r="I176" i="4"/>
  <c r="A165" i="2"/>
  <c r="S165" i="2"/>
  <c r="M164" i="4"/>
  <c r="B164" i="4"/>
  <c r="H164" i="4"/>
  <c r="D164" i="4"/>
  <c r="L164" i="4"/>
  <c r="J164" i="4"/>
  <c r="F164" i="4"/>
  <c r="I164" i="4"/>
  <c r="E164" i="4"/>
  <c r="C164" i="4"/>
  <c r="A153" i="2"/>
  <c r="M152" i="4"/>
  <c r="B152" i="4"/>
  <c r="H152" i="4"/>
  <c r="F152" i="4"/>
  <c r="D152" i="4"/>
  <c r="L152" i="4"/>
  <c r="I152" i="4"/>
  <c r="C152" i="4"/>
  <c r="G152" i="4"/>
  <c r="A141" i="2"/>
  <c r="M140" i="4"/>
  <c r="E140" i="4"/>
  <c r="L140" i="4"/>
  <c r="G140" i="4"/>
  <c r="D140" i="4"/>
  <c r="B140" i="4"/>
  <c r="I140" i="4"/>
  <c r="A129" i="2"/>
  <c r="M128" i="4"/>
  <c r="B128" i="4"/>
  <c r="L128" i="4"/>
  <c r="J128" i="4"/>
  <c r="I128" i="4"/>
  <c r="G128" i="4"/>
  <c r="D128" i="4"/>
  <c r="A117" i="2"/>
  <c r="M116" i="4"/>
  <c r="B116" i="4"/>
  <c r="L116" i="4"/>
  <c r="J116" i="4"/>
  <c r="I116" i="4"/>
  <c r="G116" i="4"/>
  <c r="D116" i="4"/>
  <c r="A105" i="2"/>
  <c r="M104" i="4"/>
  <c r="B104" i="4"/>
  <c r="L104" i="4"/>
  <c r="J104" i="4"/>
  <c r="I104" i="4"/>
  <c r="G104" i="4"/>
  <c r="D104" i="4"/>
  <c r="A93" i="2"/>
  <c r="M92" i="4"/>
  <c r="B92" i="4"/>
  <c r="L92" i="4"/>
  <c r="J92" i="4"/>
  <c r="I92" i="4"/>
  <c r="G92" i="4"/>
  <c r="D92" i="4"/>
  <c r="A81" i="2"/>
  <c r="M80" i="4"/>
  <c r="B80" i="4"/>
  <c r="I80" i="4"/>
  <c r="A69" i="2"/>
  <c r="AD69" i="2"/>
  <c r="M68" i="4"/>
  <c r="A57" i="2"/>
  <c r="M56" i="4"/>
  <c r="A45" i="2"/>
  <c r="M44" i="4"/>
  <c r="I39" i="4"/>
  <c r="J40" i="4"/>
  <c r="K41" i="4"/>
  <c r="B44" i="4"/>
  <c r="C45" i="4"/>
  <c r="D46" i="4"/>
  <c r="E47" i="4"/>
  <c r="F48" i="4"/>
  <c r="G49" i="4"/>
  <c r="H50" i="4"/>
  <c r="I51" i="4"/>
  <c r="J52" i="4"/>
  <c r="K53" i="4"/>
  <c r="B56" i="4"/>
  <c r="D58" i="4"/>
  <c r="E59" i="4"/>
  <c r="F60" i="4"/>
  <c r="G61" i="4"/>
  <c r="H62" i="4"/>
  <c r="I63" i="4"/>
  <c r="J64" i="4"/>
  <c r="K65" i="4"/>
  <c r="B68" i="4"/>
  <c r="C69" i="4"/>
  <c r="D70" i="4"/>
  <c r="E71" i="4"/>
  <c r="F72" i="4"/>
  <c r="G73" i="4"/>
  <c r="H74" i="4"/>
  <c r="I75" i="4"/>
  <c r="L76" i="4"/>
  <c r="G79" i="4"/>
  <c r="K80" i="4"/>
  <c r="C82" i="4"/>
  <c r="G83" i="4"/>
  <c r="J84" i="4"/>
  <c r="B86" i="4"/>
  <c r="F87" i="4"/>
  <c r="C89" i="4"/>
  <c r="E91" i="4"/>
  <c r="G93" i="4"/>
  <c r="I95" i="4"/>
  <c r="K97" i="4"/>
  <c r="B100" i="4"/>
  <c r="F104" i="4"/>
  <c r="H106" i="4"/>
  <c r="J108" i="4"/>
  <c r="L110" i="4"/>
  <c r="C113" i="4"/>
  <c r="I119" i="4"/>
  <c r="K121" i="4"/>
  <c r="B124" i="4"/>
  <c r="F128" i="4"/>
  <c r="H130" i="4"/>
  <c r="B133" i="4"/>
  <c r="I135" i="4"/>
  <c r="K140" i="4"/>
  <c r="L143" i="4"/>
  <c r="E148" i="4"/>
  <c r="K152" i="4"/>
  <c r="C158" i="4"/>
  <c r="D169" i="4"/>
  <c r="B183" i="4"/>
  <c r="H190" i="4"/>
  <c r="H205" i="4"/>
  <c r="D214" i="4"/>
  <c r="I225" i="4"/>
  <c r="F238" i="4"/>
  <c r="D251" i="4"/>
  <c r="D264" i="4"/>
  <c r="C277" i="4"/>
  <c r="I301" i="4"/>
  <c r="J364" i="4"/>
  <c r="E497" i="4"/>
  <c r="D497" i="4"/>
  <c r="C497" i="4"/>
  <c r="M497" i="4"/>
  <c r="B497" i="4"/>
  <c r="L497" i="4"/>
  <c r="K497" i="4"/>
  <c r="J497" i="4"/>
  <c r="G497" i="4"/>
  <c r="F497" i="4"/>
  <c r="I497" i="4"/>
  <c r="H497" i="4"/>
  <c r="M437" i="4"/>
  <c r="C437" i="4"/>
  <c r="B437" i="4"/>
  <c r="L437" i="4"/>
  <c r="J437" i="4"/>
  <c r="I437" i="4"/>
  <c r="H437" i="4"/>
  <c r="G437" i="4"/>
  <c r="D437" i="4"/>
  <c r="K437" i="4"/>
  <c r="F437" i="4"/>
  <c r="E437" i="4"/>
  <c r="M365" i="4"/>
  <c r="G365" i="4"/>
  <c r="F365" i="4"/>
  <c r="D365" i="4"/>
  <c r="C365" i="4"/>
  <c r="J365" i="4"/>
  <c r="I365" i="4"/>
  <c r="K365" i="4"/>
  <c r="H365" i="4"/>
  <c r="E365" i="4"/>
  <c r="L365" i="4"/>
  <c r="B365" i="4"/>
  <c r="A270" i="2"/>
  <c r="Z270" i="2"/>
  <c r="M269" i="4"/>
  <c r="F269" i="4"/>
  <c r="D269" i="4"/>
  <c r="B269" i="4"/>
  <c r="L269" i="4"/>
  <c r="H269" i="4"/>
  <c r="C269" i="4"/>
  <c r="G269" i="4"/>
  <c r="I269" i="4"/>
  <c r="K269" i="4"/>
  <c r="J269" i="4"/>
  <c r="A138" i="2"/>
  <c r="R138" i="2"/>
  <c r="M137" i="4"/>
  <c r="B137" i="4"/>
  <c r="I137" i="4"/>
  <c r="K137" i="4"/>
  <c r="H137" i="4"/>
  <c r="F137" i="4"/>
  <c r="E137" i="4"/>
  <c r="C137" i="4"/>
  <c r="M477" i="4"/>
  <c r="G477" i="4"/>
  <c r="F477" i="4"/>
  <c r="E477" i="4"/>
  <c r="D477" i="4"/>
  <c r="C477" i="4"/>
  <c r="B477" i="4"/>
  <c r="L477" i="4"/>
  <c r="K477" i="4"/>
  <c r="J477" i="4"/>
  <c r="I477" i="4"/>
  <c r="H477" i="4"/>
  <c r="M441" i="4"/>
  <c r="G441" i="4"/>
  <c r="F441" i="4"/>
  <c r="E441" i="4"/>
  <c r="D441" i="4"/>
  <c r="B441" i="4"/>
  <c r="L441" i="4"/>
  <c r="K441" i="4"/>
  <c r="J441" i="4"/>
  <c r="C441" i="4"/>
  <c r="I441" i="4"/>
  <c r="H441" i="4"/>
  <c r="M405" i="4"/>
  <c r="G405" i="4"/>
  <c r="F405" i="4"/>
  <c r="E405" i="4"/>
  <c r="D405" i="4"/>
  <c r="B405" i="4"/>
  <c r="L405" i="4"/>
  <c r="K405" i="4"/>
  <c r="H405" i="4"/>
  <c r="C405" i="4"/>
  <c r="J405" i="4"/>
  <c r="I405" i="4"/>
  <c r="M357" i="4"/>
  <c r="K357" i="4"/>
  <c r="J357" i="4"/>
  <c r="H357" i="4"/>
  <c r="G357" i="4"/>
  <c r="E357" i="4"/>
  <c r="B357" i="4"/>
  <c r="L357" i="4"/>
  <c r="I357" i="4"/>
  <c r="F357" i="4"/>
  <c r="C357" i="4"/>
  <c r="D357" i="4"/>
  <c r="M309" i="4"/>
  <c r="J309" i="4"/>
  <c r="I309" i="4"/>
  <c r="H309" i="4"/>
  <c r="F309" i="4"/>
  <c r="D309" i="4"/>
  <c r="C309" i="4"/>
  <c r="L309" i="4"/>
  <c r="K309" i="4"/>
  <c r="E309" i="4"/>
  <c r="B309" i="4"/>
  <c r="G309" i="4"/>
  <c r="A274" i="2"/>
  <c r="G274" i="2"/>
  <c r="M273" i="4"/>
  <c r="J273" i="4"/>
  <c r="H273" i="4"/>
  <c r="F273" i="4"/>
  <c r="D273" i="4"/>
  <c r="L273" i="4"/>
  <c r="K273" i="4"/>
  <c r="C273" i="4"/>
  <c r="E273" i="4"/>
  <c r="I273" i="4"/>
  <c r="B273" i="4"/>
  <c r="A238" i="2"/>
  <c r="M237" i="4"/>
  <c r="J237" i="4"/>
  <c r="H237" i="4"/>
  <c r="F237" i="4"/>
  <c r="D237" i="4"/>
  <c r="L237" i="4"/>
  <c r="E237" i="4"/>
  <c r="B237" i="4"/>
  <c r="I237" i="4"/>
  <c r="G237" i="4"/>
  <c r="K237" i="4"/>
  <c r="A202" i="2"/>
  <c r="M201" i="4"/>
  <c r="C201" i="4"/>
  <c r="K201" i="4"/>
  <c r="I201" i="4"/>
  <c r="E201" i="4"/>
  <c r="D201" i="4"/>
  <c r="L201" i="4"/>
  <c r="G201" i="4"/>
  <c r="F201" i="4"/>
  <c r="A166" i="2"/>
  <c r="M165" i="4"/>
  <c r="C165" i="4"/>
  <c r="I165" i="4"/>
  <c r="G165" i="4"/>
  <c r="E165" i="4"/>
  <c r="B165" i="4"/>
  <c r="J165" i="4"/>
  <c r="D165" i="4"/>
  <c r="H165" i="4"/>
  <c r="A130" i="2"/>
  <c r="M129" i="4"/>
  <c r="C129" i="4"/>
  <c r="K129" i="4"/>
  <c r="J129" i="4"/>
  <c r="H129" i="4"/>
  <c r="E129" i="4"/>
  <c r="A106" i="2"/>
  <c r="F106" i="2"/>
  <c r="M105" i="4"/>
  <c r="C105" i="4"/>
  <c r="K105" i="4"/>
  <c r="J105" i="4"/>
  <c r="H105" i="4"/>
  <c r="E105" i="4"/>
  <c r="A82" i="2"/>
  <c r="M81" i="4"/>
  <c r="C81" i="4"/>
  <c r="J81" i="4"/>
  <c r="A58" i="2"/>
  <c r="M57" i="4"/>
  <c r="B45" i="4"/>
  <c r="G487" i="4"/>
  <c r="E487" i="4"/>
  <c r="C487" i="4"/>
  <c r="M487" i="4"/>
  <c r="B487" i="4"/>
  <c r="L487" i="4"/>
  <c r="I487" i="4"/>
  <c r="H487" i="4"/>
  <c r="K487" i="4"/>
  <c r="J487" i="4"/>
  <c r="F487" i="4"/>
  <c r="D487" i="4"/>
  <c r="M463" i="4"/>
  <c r="E463" i="4"/>
  <c r="D463" i="4"/>
  <c r="C463" i="4"/>
  <c r="B463" i="4"/>
  <c r="L463" i="4"/>
  <c r="K463" i="4"/>
  <c r="J463" i="4"/>
  <c r="I463" i="4"/>
  <c r="H463" i="4"/>
  <c r="F463" i="4"/>
  <c r="G463" i="4"/>
  <c r="M439" i="4"/>
  <c r="E439" i="4"/>
  <c r="D439" i="4"/>
  <c r="C439" i="4"/>
  <c r="B439" i="4"/>
  <c r="L439" i="4"/>
  <c r="K439" i="4"/>
  <c r="J439" i="4"/>
  <c r="I439" i="4"/>
  <c r="G439" i="4"/>
  <c r="F439" i="4"/>
  <c r="H439" i="4"/>
  <c r="M415" i="4"/>
  <c r="E415" i="4"/>
  <c r="D415" i="4"/>
  <c r="C415" i="4"/>
  <c r="B415" i="4"/>
  <c r="L415" i="4"/>
  <c r="J415" i="4"/>
  <c r="I415" i="4"/>
  <c r="F415" i="4"/>
  <c r="K415" i="4"/>
  <c r="H415" i="4"/>
  <c r="G415" i="4"/>
  <c r="M391" i="4"/>
  <c r="I391" i="4"/>
  <c r="H391" i="4"/>
  <c r="F391" i="4"/>
  <c r="E391" i="4"/>
  <c r="C391" i="4"/>
  <c r="L391" i="4"/>
  <c r="K391" i="4"/>
  <c r="J391" i="4"/>
  <c r="G391" i="4"/>
  <c r="B391" i="4"/>
  <c r="D391" i="4"/>
  <c r="M367" i="4"/>
  <c r="I367" i="4"/>
  <c r="H367" i="4"/>
  <c r="F367" i="4"/>
  <c r="E367" i="4"/>
  <c r="C367" i="4"/>
  <c r="L367" i="4"/>
  <c r="K367" i="4"/>
  <c r="G367" i="4"/>
  <c r="B367" i="4"/>
  <c r="D367" i="4"/>
  <c r="J367" i="4"/>
  <c r="M343" i="4"/>
  <c r="I343" i="4"/>
  <c r="H343" i="4"/>
  <c r="F343" i="4"/>
  <c r="E343" i="4"/>
  <c r="C343" i="4"/>
  <c r="L343" i="4"/>
  <c r="K343" i="4"/>
  <c r="G343" i="4"/>
  <c r="D343" i="4"/>
  <c r="B343" i="4"/>
  <c r="J343" i="4"/>
  <c r="M307" i="4"/>
  <c r="H307" i="4"/>
  <c r="G307" i="4"/>
  <c r="F307" i="4"/>
  <c r="D307" i="4"/>
  <c r="B307" i="4"/>
  <c r="J307" i="4"/>
  <c r="I307" i="4"/>
  <c r="K307" i="4"/>
  <c r="C307" i="4"/>
  <c r="L307" i="4"/>
  <c r="E307" i="4"/>
  <c r="A188" i="2"/>
  <c r="M187" i="4"/>
  <c r="K187" i="4"/>
  <c r="I187" i="4"/>
  <c r="G187" i="4"/>
  <c r="C187" i="4"/>
  <c r="J187" i="4"/>
  <c r="F187" i="4"/>
  <c r="E187" i="4"/>
  <c r="B187" i="4"/>
  <c r="L187" i="4"/>
  <c r="D187" i="4"/>
  <c r="L41" i="4"/>
  <c r="J51" i="4"/>
  <c r="D57" i="4"/>
  <c r="I62" i="4"/>
  <c r="J63" i="4"/>
  <c r="G72" i="4"/>
  <c r="K84" i="4"/>
  <c r="D86" i="4"/>
  <c r="G87" i="4"/>
  <c r="E89" i="4"/>
  <c r="B122" i="4"/>
  <c r="F144" i="4"/>
  <c r="J252" i="4"/>
  <c r="G265" i="4"/>
  <c r="F278" i="4"/>
  <c r="I304" i="4"/>
  <c r="B377" i="4"/>
  <c r="M425" i="4"/>
  <c r="C425" i="4"/>
  <c r="B425" i="4"/>
  <c r="L425" i="4"/>
  <c r="J425" i="4"/>
  <c r="I425" i="4"/>
  <c r="H425" i="4"/>
  <c r="G425" i="4"/>
  <c r="F425" i="4"/>
  <c r="K425" i="4"/>
  <c r="D425" i="4"/>
  <c r="E425" i="4"/>
  <c r="M329" i="4"/>
  <c r="F329" i="4"/>
  <c r="E329" i="4"/>
  <c r="D329" i="4"/>
  <c r="B329" i="4"/>
  <c r="L329" i="4"/>
  <c r="K329" i="4"/>
  <c r="I329" i="4"/>
  <c r="H329" i="4"/>
  <c r="G329" i="4"/>
  <c r="J329" i="4"/>
  <c r="C329" i="4"/>
  <c r="A258" i="2"/>
  <c r="M257" i="4"/>
  <c r="F257" i="4"/>
  <c r="D257" i="4"/>
  <c r="B257" i="4"/>
  <c r="L257" i="4"/>
  <c r="H257" i="4"/>
  <c r="K257" i="4"/>
  <c r="I257" i="4"/>
  <c r="E257" i="4"/>
  <c r="C257" i="4"/>
  <c r="A150" i="2"/>
  <c r="M149" i="4"/>
  <c r="B149" i="4"/>
  <c r="L149" i="4"/>
  <c r="J149" i="4"/>
  <c r="I149" i="4"/>
  <c r="G149" i="4"/>
  <c r="D149" i="4"/>
  <c r="K149" i="4"/>
  <c r="F149" i="4"/>
  <c r="C149" i="4"/>
  <c r="I501" i="4"/>
  <c r="H501" i="4"/>
  <c r="G501" i="4"/>
  <c r="F501" i="4"/>
  <c r="E501" i="4"/>
  <c r="D501" i="4"/>
  <c r="C501" i="4"/>
  <c r="M501" i="4"/>
  <c r="B501" i="4"/>
  <c r="K501" i="4"/>
  <c r="J501" i="4"/>
  <c r="M465" i="4"/>
  <c r="G465" i="4"/>
  <c r="F465" i="4"/>
  <c r="E465" i="4"/>
  <c r="D465" i="4"/>
  <c r="C465" i="4"/>
  <c r="B465" i="4"/>
  <c r="L465" i="4"/>
  <c r="K465" i="4"/>
  <c r="J465" i="4"/>
  <c r="I465" i="4"/>
  <c r="H465" i="4"/>
  <c r="M417" i="4"/>
  <c r="G417" i="4"/>
  <c r="F417" i="4"/>
  <c r="E417" i="4"/>
  <c r="D417" i="4"/>
  <c r="B417" i="4"/>
  <c r="L417" i="4"/>
  <c r="K417" i="4"/>
  <c r="J417" i="4"/>
  <c r="I417" i="4"/>
  <c r="C417" i="4"/>
  <c r="H417" i="4"/>
  <c r="M345" i="4"/>
  <c r="K345" i="4"/>
  <c r="J345" i="4"/>
  <c r="H345" i="4"/>
  <c r="G345" i="4"/>
  <c r="E345" i="4"/>
  <c r="B345" i="4"/>
  <c r="L345" i="4"/>
  <c r="F345" i="4"/>
  <c r="D345" i="4"/>
  <c r="C345" i="4"/>
  <c r="I345" i="4"/>
  <c r="M321" i="4"/>
  <c r="J321" i="4"/>
  <c r="I321" i="4"/>
  <c r="H321" i="4"/>
  <c r="F321" i="4"/>
  <c r="D321" i="4"/>
  <c r="C321" i="4"/>
  <c r="L321" i="4"/>
  <c r="K321" i="4"/>
  <c r="G321" i="4"/>
  <c r="A286" i="2"/>
  <c r="M285" i="4"/>
  <c r="J285" i="4"/>
  <c r="I285" i="4"/>
  <c r="F285" i="4"/>
  <c r="D285" i="4"/>
  <c r="C285" i="4"/>
  <c r="K285" i="4"/>
  <c r="B285" i="4"/>
  <c r="G285" i="4"/>
  <c r="E285" i="4"/>
  <c r="L285" i="4"/>
  <c r="H285" i="4"/>
  <c r="A250" i="2"/>
  <c r="M249" i="4"/>
  <c r="J249" i="4"/>
  <c r="H249" i="4"/>
  <c r="F249" i="4"/>
  <c r="D249" i="4"/>
  <c r="L249" i="4"/>
  <c r="K249" i="4"/>
  <c r="G249" i="4"/>
  <c r="I249" i="4"/>
  <c r="C249" i="4"/>
  <c r="B249" i="4"/>
  <c r="E249" i="4"/>
  <c r="A214" i="2"/>
  <c r="M213" i="4"/>
  <c r="J213" i="4"/>
  <c r="D213" i="4"/>
  <c r="B213" i="4"/>
  <c r="L213" i="4"/>
  <c r="I213" i="4"/>
  <c r="E213" i="4"/>
  <c r="G213" i="4"/>
  <c r="C213" i="4"/>
  <c r="K213" i="4"/>
  <c r="H213" i="4"/>
  <c r="A178" i="2"/>
  <c r="M177" i="4"/>
  <c r="C177" i="4"/>
  <c r="K177" i="4"/>
  <c r="I177" i="4"/>
  <c r="E177" i="4"/>
  <c r="L177" i="4"/>
  <c r="H177" i="4"/>
  <c r="D177" i="4"/>
  <c r="G177" i="4"/>
  <c r="B177" i="4"/>
  <c r="A142" i="2"/>
  <c r="M141" i="4"/>
  <c r="F141" i="4"/>
  <c r="J141" i="4"/>
  <c r="H141" i="4"/>
  <c r="E141" i="4"/>
  <c r="D141" i="4"/>
  <c r="B141" i="4"/>
  <c r="L141" i="4"/>
  <c r="A118" i="2"/>
  <c r="L118" i="2"/>
  <c r="M117" i="4"/>
  <c r="C117" i="4"/>
  <c r="K117" i="4"/>
  <c r="J117" i="4"/>
  <c r="H117" i="4"/>
  <c r="E117" i="4"/>
  <c r="A94" i="2"/>
  <c r="M93" i="4"/>
  <c r="C93" i="4"/>
  <c r="K93" i="4"/>
  <c r="J93" i="4"/>
  <c r="H93" i="4"/>
  <c r="E93" i="4"/>
  <c r="A70" i="2"/>
  <c r="M69" i="4"/>
  <c r="J53" i="4"/>
  <c r="J65" i="4"/>
  <c r="G499" i="4"/>
  <c r="F499" i="4"/>
  <c r="E499" i="4"/>
  <c r="D499" i="4"/>
  <c r="C499" i="4"/>
  <c r="M499" i="4"/>
  <c r="B499" i="4"/>
  <c r="L499" i="4"/>
  <c r="I499" i="4"/>
  <c r="H499" i="4"/>
  <c r="K499" i="4"/>
  <c r="J499" i="4"/>
  <c r="M475" i="4"/>
  <c r="E475" i="4"/>
  <c r="D475" i="4"/>
  <c r="C475" i="4"/>
  <c r="B475" i="4"/>
  <c r="L475" i="4"/>
  <c r="K475" i="4"/>
  <c r="J475" i="4"/>
  <c r="I475" i="4"/>
  <c r="H475" i="4"/>
  <c r="G475" i="4"/>
  <c r="F475" i="4"/>
  <c r="M451" i="4"/>
  <c r="E451" i="4"/>
  <c r="D451" i="4"/>
  <c r="C451" i="4"/>
  <c r="B451" i="4"/>
  <c r="L451" i="4"/>
  <c r="K451" i="4"/>
  <c r="J451" i="4"/>
  <c r="I451" i="4"/>
  <c r="H451" i="4"/>
  <c r="F451" i="4"/>
  <c r="G451" i="4"/>
  <c r="M427" i="4"/>
  <c r="E427" i="4"/>
  <c r="D427" i="4"/>
  <c r="C427" i="4"/>
  <c r="B427" i="4"/>
  <c r="L427" i="4"/>
  <c r="K427" i="4"/>
  <c r="J427" i="4"/>
  <c r="I427" i="4"/>
  <c r="F427" i="4"/>
  <c r="H427" i="4"/>
  <c r="G427" i="4"/>
  <c r="M403" i="4"/>
  <c r="E403" i="4"/>
  <c r="D403" i="4"/>
  <c r="C403" i="4"/>
  <c r="B403" i="4"/>
  <c r="L403" i="4"/>
  <c r="I403" i="4"/>
  <c r="K403" i="4"/>
  <c r="H403" i="4"/>
  <c r="J403" i="4"/>
  <c r="G403" i="4"/>
  <c r="F403" i="4"/>
  <c r="M379" i="4"/>
  <c r="I379" i="4"/>
  <c r="H379" i="4"/>
  <c r="F379" i="4"/>
  <c r="E379" i="4"/>
  <c r="C379" i="4"/>
  <c r="L379" i="4"/>
  <c r="K379" i="4"/>
  <c r="G379" i="4"/>
  <c r="D379" i="4"/>
  <c r="B379" i="4"/>
  <c r="J379" i="4"/>
  <c r="M355" i="4"/>
  <c r="I355" i="4"/>
  <c r="H355" i="4"/>
  <c r="F355" i="4"/>
  <c r="E355" i="4"/>
  <c r="C355" i="4"/>
  <c r="L355" i="4"/>
  <c r="K355" i="4"/>
  <c r="D355" i="4"/>
  <c r="B355" i="4"/>
  <c r="J355" i="4"/>
  <c r="G355" i="4"/>
  <c r="M331" i="4"/>
  <c r="H331" i="4"/>
  <c r="G331" i="4"/>
  <c r="F331" i="4"/>
  <c r="D331" i="4"/>
  <c r="B331" i="4"/>
  <c r="K331" i="4"/>
  <c r="J331" i="4"/>
  <c r="I331" i="4"/>
  <c r="L331" i="4"/>
  <c r="C331" i="4"/>
  <c r="E331" i="4"/>
  <c r="M319" i="4"/>
  <c r="H319" i="4"/>
  <c r="G319" i="4"/>
  <c r="F319" i="4"/>
  <c r="D319" i="4"/>
  <c r="B319" i="4"/>
  <c r="K319" i="4"/>
  <c r="J319" i="4"/>
  <c r="I319" i="4"/>
  <c r="E319" i="4"/>
  <c r="L319" i="4"/>
  <c r="C319" i="4"/>
  <c r="A296" i="2"/>
  <c r="M295" i="4"/>
  <c r="H295" i="4"/>
  <c r="G295" i="4"/>
  <c r="F295" i="4"/>
  <c r="D295" i="4"/>
  <c r="B295" i="4"/>
  <c r="I295" i="4"/>
  <c r="K295" i="4"/>
  <c r="L295" i="4"/>
  <c r="E295" i="4"/>
  <c r="J295" i="4"/>
  <c r="A284" i="2"/>
  <c r="M283" i="4"/>
  <c r="H283" i="4"/>
  <c r="G283" i="4"/>
  <c r="D283" i="4"/>
  <c r="B283" i="4"/>
  <c r="I283" i="4"/>
  <c r="L283" i="4"/>
  <c r="E283" i="4"/>
  <c r="K283" i="4"/>
  <c r="F283" i="4"/>
  <c r="J283" i="4"/>
  <c r="C283" i="4"/>
  <c r="A272" i="2"/>
  <c r="M271" i="4"/>
  <c r="H271" i="4"/>
  <c r="F271" i="4"/>
  <c r="D271" i="4"/>
  <c r="B271" i="4"/>
  <c r="J271" i="4"/>
  <c r="L271" i="4"/>
  <c r="E271" i="4"/>
  <c r="I271" i="4"/>
  <c r="G271" i="4"/>
  <c r="C271" i="4"/>
  <c r="A260" i="2"/>
  <c r="M259" i="4"/>
  <c r="H259" i="4"/>
  <c r="F259" i="4"/>
  <c r="D259" i="4"/>
  <c r="B259" i="4"/>
  <c r="J259" i="4"/>
  <c r="K259" i="4"/>
  <c r="G259" i="4"/>
  <c r="C259" i="4"/>
  <c r="L259" i="4"/>
  <c r="E259" i="4"/>
  <c r="I259" i="4"/>
  <c r="A248" i="2"/>
  <c r="I248" i="2"/>
  <c r="M247" i="4"/>
  <c r="H247" i="4"/>
  <c r="F247" i="4"/>
  <c r="D247" i="4"/>
  <c r="B247" i="4"/>
  <c r="J247" i="4"/>
  <c r="L247" i="4"/>
  <c r="I247" i="4"/>
  <c r="C247" i="4"/>
  <c r="G247" i="4"/>
  <c r="E247" i="4"/>
  <c r="A236" i="2"/>
  <c r="Q236" i="2"/>
  <c r="M235" i="4"/>
  <c r="H235" i="4"/>
  <c r="F235" i="4"/>
  <c r="D235" i="4"/>
  <c r="B235" i="4"/>
  <c r="J235" i="4"/>
  <c r="G235" i="4"/>
  <c r="C235" i="4"/>
  <c r="K235" i="4"/>
  <c r="I235" i="4"/>
  <c r="E235" i="4"/>
  <c r="A224" i="2"/>
  <c r="O224" i="2"/>
  <c r="M223" i="4"/>
  <c r="H223" i="4"/>
  <c r="F223" i="4"/>
  <c r="D223" i="4"/>
  <c r="B223" i="4"/>
  <c r="J223" i="4"/>
  <c r="L223" i="4"/>
  <c r="I223" i="4"/>
  <c r="E223" i="4"/>
  <c r="G223" i="4"/>
  <c r="C223" i="4"/>
  <c r="K223" i="4"/>
  <c r="M211" i="4"/>
  <c r="A212" i="2"/>
  <c r="Z212" i="2"/>
  <c r="H211" i="4"/>
  <c r="B211" i="4"/>
  <c r="J211" i="4"/>
  <c r="G211" i="4"/>
  <c r="E211" i="4"/>
  <c r="C211" i="4"/>
  <c r="L211" i="4"/>
  <c r="D211" i="4"/>
  <c r="I211" i="4"/>
  <c r="F211" i="4"/>
  <c r="A200" i="2"/>
  <c r="M199" i="4"/>
  <c r="K199" i="4"/>
  <c r="I199" i="4"/>
  <c r="G199" i="4"/>
  <c r="C199" i="4"/>
  <c r="E199" i="4"/>
  <c r="B199" i="4"/>
  <c r="H199" i="4"/>
  <c r="L199" i="4"/>
  <c r="F199" i="4"/>
  <c r="D199" i="4"/>
  <c r="A176" i="2"/>
  <c r="M175" i="4"/>
  <c r="I175" i="4"/>
  <c r="G175" i="4"/>
  <c r="C175" i="4"/>
  <c r="D175" i="4"/>
  <c r="K175" i="4"/>
  <c r="F175" i="4"/>
  <c r="L175" i="4"/>
  <c r="E175" i="4"/>
  <c r="A164" i="2"/>
  <c r="M163" i="4"/>
  <c r="G163" i="4"/>
  <c r="L163" i="4"/>
  <c r="J163" i="4"/>
  <c r="I163" i="4"/>
  <c r="F163" i="4"/>
  <c r="C163" i="4"/>
  <c r="H163" i="4"/>
  <c r="B163" i="4"/>
  <c r="A152" i="2"/>
  <c r="M151" i="4"/>
  <c r="D151" i="4"/>
  <c r="B151" i="4"/>
  <c r="L151" i="4"/>
  <c r="K151" i="4"/>
  <c r="I151" i="4"/>
  <c r="F151" i="4"/>
  <c r="H151" i="4"/>
  <c r="E151" i="4"/>
  <c r="C151" i="4"/>
  <c r="A140" i="2"/>
  <c r="M139" i="4"/>
  <c r="D139" i="4"/>
  <c r="K139" i="4"/>
  <c r="C139" i="4"/>
  <c r="L139" i="4"/>
  <c r="I139" i="4"/>
  <c r="F139" i="4"/>
  <c r="A128" i="2"/>
  <c r="U128" i="2"/>
  <c r="M127" i="4"/>
  <c r="K127" i="4"/>
  <c r="I127" i="4"/>
  <c r="H127" i="4"/>
  <c r="F127" i="4"/>
  <c r="C127" i="4"/>
  <c r="A116" i="2"/>
  <c r="M115" i="4"/>
  <c r="K115" i="4"/>
  <c r="I115" i="4"/>
  <c r="H115" i="4"/>
  <c r="F115" i="4"/>
  <c r="C115" i="4"/>
  <c r="A104" i="2"/>
  <c r="M103" i="4"/>
  <c r="K103" i="4"/>
  <c r="I103" i="4"/>
  <c r="H103" i="4"/>
  <c r="F103" i="4"/>
  <c r="C103" i="4"/>
  <c r="A92" i="2"/>
  <c r="M91" i="4"/>
  <c r="K91" i="4"/>
  <c r="I91" i="4"/>
  <c r="H91" i="4"/>
  <c r="F91" i="4"/>
  <c r="C91" i="4"/>
  <c r="A80" i="2"/>
  <c r="M79" i="4"/>
  <c r="H79" i="4"/>
  <c r="A68" i="2"/>
  <c r="M67" i="4"/>
  <c r="A56" i="2"/>
  <c r="M55" i="4"/>
  <c r="A44" i="2"/>
  <c r="M43" i="4"/>
  <c r="J39" i="4"/>
  <c r="D45" i="4"/>
  <c r="L53" i="4"/>
  <c r="B55" i="4"/>
  <c r="L65" i="4"/>
  <c r="B67" i="4"/>
  <c r="I74" i="4"/>
  <c r="J75" i="4"/>
  <c r="B77" i="4"/>
  <c r="B98" i="4"/>
  <c r="L108" i="4"/>
  <c r="C111" i="4"/>
  <c r="E113" i="4"/>
  <c r="G115" i="4"/>
  <c r="I117" i="4"/>
  <c r="K135" i="4"/>
  <c r="F153" i="4"/>
  <c r="I158" i="4"/>
  <c r="K163" i="4"/>
  <c r="L183" i="4"/>
  <c r="E206" i="4"/>
  <c r="F498" i="4"/>
  <c r="E498" i="4"/>
  <c r="D498" i="4"/>
  <c r="C498" i="4"/>
  <c r="M498" i="4"/>
  <c r="B498" i="4"/>
  <c r="L498" i="4"/>
  <c r="K498" i="4"/>
  <c r="H498" i="4"/>
  <c r="G498" i="4"/>
  <c r="J498" i="4"/>
  <c r="I498" i="4"/>
  <c r="F486" i="4"/>
  <c r="D486" i="4"/>
  <c r="M486" i="4"/>
  <c r="B486" i="4"/>
  <c r="L486" i="4"/>
  <c r="K486" i="4"/>
  <c r="H486" i="4"/>
  <c r="G486" i="4"/>
  <c r="J486" i="4"/>
  <c r="I486" i="4"/>
  <c r="E486" i="4"/>
  <c r="C486" i="4"/>
  <c r="M474" i="4"/>
  <c r="D474" i="4"/>
  <c r="C474" i="4"/>
  <c r="B474" i="4"/>
  <c r="L474" i="4"/>
  <c r="K474" i="4"/>
  <c r="J474" i="4"/>
  <c r="I474" i="4"/>
  <c r="H474" i="4"/>
  <c r="G474" i="4"/>
  <c r="F474" i="4"/>
  <c r="E474" i="4"/>
  <c r="M462" i="4"/>
  <c r="D462" i="4"/>
  <c r="C462" i="4"/>
  <c r="B462" i="4"/>
  <c r="L462" i="4"/>
  <c r="K462" i="4"/>
  <c r="J462" i="4"/>
  <c r="I462" i="4"/>
  <c r="H462" i="4"/>
  <c r="G462" i="4"/>
  <c r="F462" i="4"/>
  <c r="E462" i="4"/>
  <c r="M450" i="4"/>
  <c r="D450" i="4"/>
  <c r="C450" i="4"/>
  <c r="B450" i="4"/>
  <c r="K450" i="4"/>
  <c r="J450" i="4"/>
  <c r="I450" i="4"/>
  <c r="H450" i="4"/>
  <c r="E450" i="4"/>
  <c r="L450" i="4"/>
  <c r="G450" i="4"/>
  <c r="F450" i="4"/>
  <c r="M438" i="4"/>
  <c r="D438" i="4"/>
  <c r="C438" i="4"/>
  <c r="B438" i="4"/>
  <c r="K438" i="4"/>
  <c r="J438" i="4"/>
  <c r="I438" i="4"/>
  <c r="H438" i="4"/>
  <c r="G438" i="4"/>
  <c r="L438" i="4"/>
  <c r="F438" i="4"/>
  <c r="M426" i="4"/>
  <c r="D426" i="4"/>
  <c r="C426" i="4"/>
  <c r="B426" i="4"/>
  <c r="K426" i="4"/>
  <c r="J426" i="4"/>
  <c r="I426" i="4"/>
  <c r="H426" i="4"/>
  <c r="L426" i="4"/>
  <c r="F426" i="4"/>
  <c r="E426" i="4"/>
  <c r="G426" i="4"/>
  <c r="M414" i="4"/>
  <c r="D414" i="4"/>
  <c r="C414" i="4"/>
  <c r="B414" i="4"/>
  <c r="K414" i="4"/>
  <c r="I414" i="4"/>
  <c r="H414" i="4"/>
  <c r="L414" i="4"/>
  <c r="G414" i="4"/>
  <c r="F414" i="4"/>
  <c r="J414" i="4"/>
  <c r="E414" i="4"/>
  <c r="M402" i="4"/>
  <c r="D402" i="4"/>
  <c r="C402" i="4"/>
  <c r="B402" i="4"/>
  <c r="H402" i="4"/>
  <c r="I402" i="4"/>
  <c r="G402" i="4"/>
  <c r="E402" i="4"/>
  <c r="L402" i="4"/>
  <c r="K402" i="4"/>
  <c r="J402" i="4"/>
  <c r="F402" i="4"/>
  <c r="M390" i="4"/>
  <c r="H390" i="4"/>
  <c r="G390" i="4"/>
  <c r="E390" i="4"/>
  <c r="D390" i="4"/>
  <c r="B390" i="4"/>
  <c r="K390" i="4"/>
  <c r="J390" i="4"/>
  <c r="I390" i="4"/>
  <c r="F390" i="4"/>
  <c r="C390" i="4"/>
  <c r="L390" i="4"/>
  <c r="M378" i="4"/>
  <c r="H378" i="4"/>
  <c r="G378" i="4"/>
  <c r="E378" i="4"/>
  <c r="D378" i="4"/>
  <c r="B378" i="4"/>
  <c r="K378" i="4"/>
  <c r="J378" i="4"/>
  <c r="L378" i="4"/>
  <c r="I378" i="4"/>
  <c r="F378" i="4"/>
  <c r="C378" i="4"/>
  <c r="M366" i="4"/>
  <c r="H366" i="4"/>
  <c r="G366" i="4"/>
  <c r="E366" i="4"/>
  <c r="D366" i="4"/>
  <c r="B366" i="4"/>
  <c r="K366" i="4"/>
  <c r="J366" i="4"/>
  <c r="L366" i="4"/>
  <c r="F366" i="4"/>
  <c r="C366" i="4"/>
  <c r="I366" i="4"/>
  <c r="M354" i="4"/>
  <c r="H354" i="4"/>
  <c r="G354" i="4"/>
  <c r="E354" i="4"/>
  <c r="D354" i="4"/>
  <c r="B354" i="4"/>
  <c r="K354" i="4"/>
  <c r="J354" i="4"/>
  <c r="L354" i="4"/>
  <c r="F354" i="4"/>
  <c r="I354" i="4"/>
  <c r="C354" i="4"/>
  <c r="M342" i="4"/>
  <c r="H342" i="4"/>
  <c r="G342" i="4"/>
  <c r="E342" i="4"/>
  <c r="D342" i="4"/>
  <c r="B342" i="4"/>
  <c r="K342" i="4"/>
  <c r="J342" i="4"/>
  <c r="C342" i="4"/>
  <c r="L342" i="4"/>
  <c r="I342" i="4"/>
  <c r="F342" i="4"/>
  <c r="M330" i="4"/>
  <c r="G330" i="4"/>
  <c r="F330" i="4"/>
  <c r="E330" i="4"/>
  <c r="C330" i="4"/>
  <c r="L330" i="4"/>
  <c r="J330" i="4"/>
  <c r="I330" i="4"/>
  <c r="H330" i="4"/>
  <c r="D330" i="4"/>
  <c r="K330" i="4"/>
  <c r="B330" i="4"/>
  <c r="M318" i="4"/>
  <c r="G318" i="4"/>
  <c r="F318" i="4"/>
  <c r="E318" i="4"/>
  <c r="C318" i="4"/>
  <c r="L318" i="4"/>
  <c r="J318" i="4"/>
  <c r="I318" i="4"/>
  <c r="H318" i="4"/>
  <c r="K318" i="4"/>
  <c r="B318" i="4"/>
  <c r="D318" i="4"/>
  <c r="M306" i="4"/>
  <c r="G306" i="4"/>
  <c r="F306" i="4"/>
  <c r="E306" i="4"/>
  <c r="C306" i="4"/>
  <c r="L306" i="4"/>
  <c r="H306" i="4"/>
  <c r="J306" i="4"/>
  <c r="D306" i="4"/>
  <c r="I306" i="4"/>
  <c r="K306" i="4"/>
  <c r="B306" i="4"/>
  <c r="A295" i="2"/>
  <c r="M294" i="4"/>
  <c r="G294" i="4"/>
  <c r="F294" i="4"/>
  <c r="E294" i="4"/>
  <c r="C294" i="4"/>
  <c r="L294" i="4"/>
  <c r="H294" i="4"/>
  <c r="I294" i="4"/>
  <c r="B294" i="4"/>
  <c r="K294" i="4"/>
  <c r="J294" i="4"/>
  <c r="D294" i="4"/>
  <c r="M282" i="4"/>
  <c r="A283" i="2"/>
  <c r="G282" i="4"/>
  <c r="F282" i="4"/>
  <c r="C282" i="4"/>
  <c r="L282" i="4"/>
  <c r="H282" i="4"/>
  <c r="K282" i="4"/>
  <c r="I282" i="4"/>
  <c r="D282" i="4"/>
  <c r="J282" i="4"/>
  <c r="E282" i="4"/>
  <c r="B282" i="4"/>
  <c r="A271" i="2"/>
  <c r="M270" i="4"/>
  <c r="G270" i="4"/>
  <c r="E270" i="4"/>
  <c r="C270" i="4"/>
  <c r="I270" i="4"/>
  <c r="L270" i="4"/>
  <c r="J270" i="4"/>
  <c r="F270" i="4"/>
  <c r="B270" i="4"/>
  <c r="K270" i="4"/>
  <c r="A259" i="2"/>
  <c r="S259" i="2"/>
  <c r="M258" i="4"/>
  <c r="G258" i="4"/>
  <c r="E258" i="4"/>
  <c r="C258" i="4"/>
  <c r="I258" i="4"/>
  <c r="K258" i="4"/>
  <c r="D258" i="4"/>
  <c r="J258" i="4"/>
  <c r="H258" i="4"/>
  <c r="B258" i="4"/>
  <c r="F258" i="4"/>
  <c r="M246" i="4"/>
  <c r="A247" i="2"/>
  <c r="G246" i="4"/>
  <c r="E246" i="4"/>
  <c r="C246" i="4"/>
  <c r="I246" i="4"/>
  <c r="J246" i="4"/>
  <c r="F246" i="4"/>
  <c r="B246" i="4"/>
  <c r="L246" i="4"/>
  <c r="H246" i="4"/>
  <c r="K246" i="4"/>
  <c r="A235" i="2"/>
  <c r="G235" i="2"/>
  <c r="M234" i="4"/>
  <c r="G234" i="4"/>
  <c r="E234" i="4"/>
  <c r="C234" i="4"/>
  <c r="I234" i="4"/>
  <c r="K234" i="4"/>
  <c r="H234" i="4"/>
  <c r="D234" i="4"/>
  <c r="J234" i="4"/>
  <c r="F234" i="4"/>
  <c r="B234" i="4"/>
  <c r="A223" i="2"/>
  <c r="U223" i="2"/>
  <c r="M222" i="4"/>
  <c r="G222" i="4"/>
  <c r="E222" i="4"/>
  <c r="C222" i="4"/>
  <c r="I222" i="4"/>
  <c r="F222" i="4"/>
  <c r="B222" i="4"/>
  <c r="J222" i="4"/>
  <c r="K222" i="4"/>
  <c r="H222" i="4"/>
  <c r="A211" i="2"/>
  <c r="M210" i="4"/>
  <c r="G210" i="4"/>
  <c r="F210" i="4"/>
  <c r="D210" i="4"/>
  <c r="B210" i="4"/>
  <c r="I210" i="4"/>
  <c r="K210" i="4"/>
  <c r="H210" i="4"/>
  <c r="E210" i="4"/>
  <c r="L210" i="4"/>
  <c r="C210" i="4"/>
  <c r="A199" i="2"/>
  <c r="M198" i="4"/>
  <c r="L198" i="4"/>
  <c r="J198" i="4"/>
  <c r="H198" i="4"/>
  <c r="F198" i="4"/>
  <c r="B198" i="4"/>
  <c r="I198" i="4"/>
  <c r="G198" i="4"/>
  <c r="D198" i="4"/>
  <c r="E198" i="4"/>
  <c r="A187" i="2"/>
  <c r="U187" i="2"/>
  <c r="M186" i="4"/>
  <c r="L186" i="4"/>
  <c r="J186" i="4"/>
  <c r="H186" i="4"/>
  <c r="F186" i="4"/>
  <c r="B186" i="4"/>
  <c r="D186" i="4"/>
  <c r="G186" i="4"/>
  <c r="E186" i="4"/>
  <c r="A175" i="2"/>
  <c r="M174" i="4"/>
  <c r="L174" i="4"/>
  <c r="H174" i="4"/>
  <c r="F174" i="4"/>
  <c r="B174" i="4"/>
  <c r="K174" i="4"/>
  <c r="I174" i="4"/>
  <c r="G174" i="4"/>
  <c r="D174" i="4"/>
  <c r="J174" i="4"/>
  <c r="C174" i="4"/>
  <c r="A163" i="2"/>
  <c r="Z163" i="2"/>
  <c r="M162" i="4"/>
  <c r="L162" i="4"/>
  <c r="F162" i="4"/>
  <c r="K162" i="4"/>
  <c r="I162" i="4"/>
  <c r="G162" i="4"/>
  <c r="E162" i="4"/>
  <c r="C162" i="4"/>
  <c r="H162" i="4"/>
  <c r="B162" i="4"/>
  <c r="A151" i="2"/>
  <c r="V151" i="2"/>
  <c r="M150" i="4"/>
  <c r="C150" i="4"/>
  <c r="K150" i="4"/>
  <c r="J150" i="4"/>
  <c r="H150" i="4"/>
  <c r="E150" i="4"/>
  <c r="I150" i="4"/>
  <c r="D150" i="4"/>
  <c r="A139" i="2"/>
  <c r="AA139" i="2"/>
  <c r="M138" i="4"/>
  <c r="C138" i="4"/>
  <c r="J138" i="4"/>
  <c r="L138" i="4"/>
  <c r="I138" i="4"/>
  <c r="H138" i="4"/>
  <c r="F138" i="4"/>
  <c r="B138" i="4"/>
  <c r="A127" i="2"/>
  <c r="M126" i="4"/>
  <c r="L126" i="4"/>
  <c r="J126" i="4"/>
  <c r="H126" i="4"/>
  <c r="G126" i="4"/>
  <c r="E126" i="4"/>
  <c r="B126" i="4"/>
  <c r="A115" i="2"/>
  <c r="M114" i="4"/>
  <c r="L114" i="4"/>
  <c r="J114" i="4"/>
  <c r="H114" i="4"/>
  <c r="G114" i="4"/>
  <c r="E114" i="4"/>
  <c r="B114" i="4"/>
  <c r="A103" i="2"/>
  <c r="Q103" i="2"/>
  <c r="M102" i="4"/>
  <c r="L102" i="4"/>
  <c r="J102" i="4"/>
  <c r="H102" i="4"/>
  <c r="G102" i="4"/>
  <c r="E102" i="4"/>
  <c r="B102" i="4"/>
  <c r="A91" i="2"/>
  <c r="M90" i="4"/>
  <c r="L90" i="4"/>
  <c r="J90" i="4"/>
  <c r="H90" i="4"/>
  <c r="G90" i="4"/>
  <c r="E90" i="4"/>
  <c r="B90" i="4"/>
  <c r="A79" i="2"/>
  <c r="M78" i="4"/>
  <c r="L78" i="4"/>
  <c r="G78" i="4"/>
  <c r="A67" i="2"/>
  <c r="M66" i="4"/>
  <c r="A55" i="2"/>
  <c r="L55" i="2"/>
  <c r="M54" i="4"/>
  <c r="A43" i="2"/>
  <c r="L43" i="2"/>
  <c r="M42" i="4"/>
  <c r="K39" i="4"/>
  <c r="L40" i="4"/>
  <c r="B42" i="4"/>
  <c r="C43" i="4"/>
  <c r="D44" i="4"/>
  <c r="E45" i="4"/>
  <c r="F46" i="4"/>
  <c r="G47" i="4"/>
  <c r="H48" i="4"/>
  <c r="I49" i="4"/>
  <c r="J50" i="4"/>
  <c r="K51" i="4"/>
  <c r="L52" i="4"/>
  <c r="B54" i="4"/>
  <c r="C55" i="4"/>
  <c r="D56" i="4"/>
  <c r="E57" i="4"/>
  <c r="F58" i="4"/>
  <c r="G59" i="4"/>
  <c r="H60" i="4"/>
  <c r="I61" i="4"/>
  <c r="J62" i="4"/>
  <c r="K63" i="4"/>
  <c r="L64" i="4"/>
  <c r="B66" i="4"/>
  <c r="C67" i="4"/>
  <c r="D68" i="4"/>
  <c r="E69" i="4"/>
  <c r="F70" i="4"/>
  <c r="G71" i="4"/>
  <c r="H72" i="4"/>
  <c r="I73" i="4"/>
  <c r="J74" i="4"/>
  <c r="K75" i="4"/>
  <c r="C77" i="4"/>
  <c r="F78" i="4"/>
  <c r="J79" i="4"/>
  <c r="B81" i="4"/>
  <c r="F82" i="4"/>
  <c r="I83" i="4"/>
  <c r="L84" i="4"/>
  <c r="E86" i="4"/>
  <c r="H87" i="4"/>
  <c r="H89" i="4"/>
  <c r="J91" i="4"/>
  <c r="L93" i="4"/>
  <c r="C96" i="4"/>
  <c r="E98" i="4"/>
  <c r="G100" i="4"/>
  <c r="I102" i="4"/>
  <c r="K104" i="4"/>
  <c r="B107" i="4"/>
  <c r="D109" i="4"/>
  <c r="F111" i="4"/>
  <c r="H113" i="4"/>
  <c r="J115" i="4"/>
  <c r="L117" i="4"/>
  <c r="C120" i="4"/>
  <c r="E122" i="4"/>
  <c r="G124" i="4"/>
  <c r="I126" i="4"/>
  <c r="K128" i="4"/>
  <c r="B131" i="4"/>
  <c r="H133" i="4"/>
  <c r="D136" i="4"/>
  <c r="K138" i="4"/>
  <c r="G141" i="4"/>
  <c r="L144" i="4"/>
  <c r="E149" i="4"/>
  <c r="B154" i="4"/>
  <c r="E159" i="4"/>
  <c r="G164" i="4"/>
  <c r="I170" i="4"/>
  <c r="F177" i="4"/>
  <c r="K184" i="4"/>
  <c r="E192" i="4"/>
  <c r="J199" i="4"/>
  <c r="E207" i="4"/>
  <c r="D216" i="4"/>
  <c r="H228" i="4"/>
  <c r="G241" i="4"/>
  <c r="F254" i="4"/>
  <c r="C267" i="4"/>
  <c r="B280" i="4"/>
  <c r="L308" i="4"/>
  <c r="K392" i="4"/>
  <c r="AC29" i="2"/>
  <c r="AC33" i="2"/>
  <c r="N146" i="2"/>
  <c r="Z146" i="2"/>
  <c r="O146" i="2"/>
  <c r="AA146" i="2"/>
  <c r="F146" i="2"/>
  <c r="R146" i="2"/>
  <c r="AD146" i="2"/>
  <c r="P146" i="2"/>
  <c r="S146" i="2"/>
  <c r="H146" i="2"/>
  <c r="W146" i="2"/>
  <c r="Y146" i="2"/>
  <c r="G146" i="2"/>
  <c r="AB146" i="2"/>
  <c r="I146" i="2"/>
  <c r="J146" i="2"/>
  <c r="K146" i="2"/>
  <c r="L146" i="2"/>
  <c r="M146" i="2"/>
  <c r="Q146" i="2"/>
  <c r="T146" i="2"/>
  <c r="U146" i="2"/>
  <c r="V146" i="2"/>
  <c r="X146" i="2"/>
  <c r="R299" i="2"/>
  <c r="X298" i="2"/>
  <c r="N296" i="2"/>
  <c r="Z296" i="2"/>
  <c r="G296" i="2"/>
  <c r="S296" i="2"/>
  <c r="H296" i="2"/>
  <c r="T296" i="2"/>
  <c r="I296" i="2"/>
  <c r="U296" i="2"/>
  <c r="L296" i="2"/>
  <c r="X296" i="2"/>
  <c r="I295" i="2"/>
  <c r="S294" i="2"/>
  <c r="R292" i="2"/>
  <c r="Z291" i="2"/>
  <c r="L290" i="2"/>
  <c r="U286" i="2"/>
  <c r="Q279" i="2"/>
  <c r="G279" i="2"/>
  <c r="S279" i="2"/>
  <c r="H279" i="2"/>
  <c r="T279" i="2"/>
  <c r="I279" i="2"/>
  <c r="U279" i="2"/>
  <c r="J279" i="2"/>
  <c r="V279" i="2"/>
  <c r="K279" i="2"/>
  <c r="W279" i="2"/>
  <c r="L279" i="2"/>
  <c r="X279" i="2"/>
  <c r="O279" i="2"/>
  <c r="AA279" i="2"/>
  <c r="Q271" i="2"/>
  <c r="F271" i="2"/>
  <c r="R271" i="2"/>
  <c r="AD271" i="2"/>
  <c r="G271" i="2"/>
  <c r="S271" i="2"/>
  <c r="H271" i="2"/>
  <c r="T271" i="2"/>
  <c r="I271" i="2"/>
  <c r="U271" i="2"/>
  <c r="J271" i="2"/>
  <c r="V271" i="2"/>
  <c r="K271" i="2"/>
  <c r="W271" i="2"/>
  <c r="L271" i="2"/>
  <c r="X271" i="2"/>
  <c r="M271" i="2"/>
  <c r="O271" i="2"/>
  <c r="AA271" i="2"/>
  <c r="N196" i="2"/>
  <c r="Z196" i="2"/>
  <c r="O196" i="2"/>
  <c r="AA196" i="2"/>
  <c r="F196" i="2"/>
  <c r="R196" i="2"/>
  <c r="AD196" i="2"/>
  <c r="U196" i="2"/>
  <c r="G196" i="2"/>
  <c r="V196" i="2"/>
  <c r="H196" i="2"/>
  <c r="W196" i="2"/>
  <c r="I196" i="2"/>
  <c r="X196" i="2"/>
  <c r="J196" i="2"/>
  <c r="Y196" i="2"/>
  <c r="K196" i="2"/>
  <c r="AB196" i="2"/>
  <c r="L196" i="2"/>
  <c r="M196" i="2"/>
  <c r="P196" i="2"/>
  <c r="Q196" i="2"/>
  <c r="S196" i="2"/>
  <c r="T196" i="2"/>
  <c r="V298" i="2"/>
  <c r="Q291" i="2"/>
  <c r="J291" i="2"/>
  <c r="V291" i="2"/>
  <c r="K291" i="2"/>
  <c r="W291" i="2"/>
  <c r="L291" i="2"/>
  <c r="X291" i="2"/>
  <c r="O291" i="2"/>
  <c r="AA291" i="2"/>
  <c r="Q286" i="2"/>
  <c r="AB278" i="2"/>
  <c r="M299" i="2"/>
  <c r="U298" i="2"/>
  <c r="L294" i="2"/>
  <c r="O292" i="2"/>
  <c r="T291" i="2"/>
  <c r="I290" i="2"/>
  <c r="P286" i="2"/>
  <c r="U278" i="2"/>
  <c r="AB274" i="2"/>
  <c r="Q263" i="2"/>
  <c r="F263" i="2"/>
  <c r="R263" i="2"/>
  <c r="AD263" i="2"/>
  <c r="G263" i="2"/>
  <c r="S263" i="2"/>
  <c r="H263" i="2"/>
  <c r="T263" i="2"/>
  <c r="I263" i="2"/>
  <c r="U263" i="2"/>
  <c r="J263" i="2"/>
  <c r="V263" i="2"/>
  <c r="K263" i="2"/>
  <c r="W263" i="2"/>
  <c r="L263" i="2"/>
  <c r="X263" i="2"/>
  <c r="M263" i="2"/>
  <c r="Y263" i="2"/>
  <c r="N263" i="2"/>
  <c r="Z263" i="2"/>
  <c r="O263" i="2"/>
  <c r="AA263" i="2"/>
  <c r="AD299" i="2"/>
  <c r="I299" i="2"/>
  <c r="S298" i="2"/>
  <c r="K294" i="2"/>
  <c r="M292" i="2"/>
  <c r="S291" i="2"/>
  <c r="AB290" i="2"/>
  <c r="G290" i="2"/>
  <c r="N288" i="2"/>
  <c r="Z288" i="2"/>
  <c r="F288" i="2"/>
  <c r="R288" i="2"/>
  <c r="AD288" i="2"/>
  <c r="G288" i="2"/>
  <c r="S288" i="2"/>
  <c r="H288" i="2"/>
  <c r="T288" i="2"/>
  <c r="I288" i="2"/>
  <c r="U288" i="2"/>
  <c r="L288" i="2"/>
  <c r="X288" i="2"/>
  <c r="J286" i="2"/>
  <c r="N284" i="2"/>
  <c r="Z284" i="2"/>
  <c r="Q284" i="2"/>
  <c r="F284" i="2"/>
  <c r="R284" i="2"/>
  <c r="AD284" i="2"/>
  <c r="G284" i="2"/>
  <c r="S284" i="2"/>
  <c r="H284" i="2"/>
  <c r="T284" i="2"/>
  <c r="I284" i="2"/>
  <c r="U284" i="2"/>
  <c r="L284" i="2"/>
  <c r="X284" i="2"/>
  <c r="S278" i="2"/>
  <c r="S274" i="2"/>
  <c r="AB299" i="2"/>
  <c r="H299" i="2"/>
  <c r="Q298" i="2"/>
  <c r="Q295" i="2"/>
  <c r="J295" i="2"/>
  <c r="V295" i="2"/>
  <c r="K295" i="2"/>
  <c r="W295" i="2"/>
  <c r="L295" i="2"/>
  <c r="X295" i="2"/>
  <c r="O295" i="2"/>
  <c r="AA295" i="2"/>
  <c r="J294" i="2"/>
  <c r="AD292" i="2"/>
  <c r="K292" i="2"/>
  <c r="R291" i="2"/>
  <c r="I286" i="2"/>
  <c r="Q283" i="2"/>
  <c r="H283" i="2"/>
  <c r="T283" i="2"/>
  <c r="I283" i="2"/>
  <c r="U283" i="2"/>
  <c r="J283" i="2"/>
  <c r="V283" i="2"/>
  <c r="K283" i="2"/>
  <c r="W283" i="2"/>
  <c r="L283" i="2"/>
  <c r="X283" i="2"/>
  <c r="O283" i="2"/>
  <c r="AA283" i="2"/>
  <c r="H282" i="2"/>
  <c r="T282" i="2"/>
  <c r="K282" i="2"/>
  <c r="W282" i="2"/>
  <c r="L282" i="2"/>
  <c r="X282" i="2"/>
  <c r="M282" i="2"/>
  <c r="Y282" i="2"/>
  <c r="N282" i="2"/>
  <c r="Z282" i="2"/>
  <c r="O282" i="2"/>
  <c r="AA282" i="2"/>
  <c r="F282" i="2"/>
  <c r="R282" i="2"/>
  <c r="AD282" i="2"/>
  <c r="Q278" i="2"/>
  <c r="Q274" i="2"/>
  <c r="AB267" i="2"/>
  <c r="Q255" i="2"/>
  <c r="F255" i="2"/>
  <c r="R255" i="2"/>
  <c r="AD255" i="2"/>
  <c r="G255" i="2"/>
  <c r="S255" i="2"/>
  <c r="H255" i="2"/>
  <c r="T255" i="2"/>
  <c r="I255" i="2"/>
  <c r="U255" i="2"/>
  <c r="J255" i="2"/>
  <c r="V255" i="2"/>
  <c r="K255" i="2"/>
  <c r="W255" i="2"/>
  <c r="L255" i="2"/>
  <c r="X255" i="2"/>
  <c r="M255" i="2"/>
  <c r="Y255" i="2"/>
  <c r="N255" i="2"/>
  <c r="Z255" i="2"/>
  <c r="O255" i="2"/>
  <c r="AA255" i="2"/>
  <c r="W298" i="2"/>
  <c r="Q275" i="2"/>
  <c r="F275" i="2"/>
  <c r="R275" i="2"/>
  <c r="AD275" i="2"/>
  <c r="G275" i="2"/>
  <c r="S275" i="2"/>
  <c r="H275" i="2"/>
  <c r="T275" i="2"/>
  <c r="I275" i="2"/>
  <c r="U275" i="2"/>
  <c r="J275" i="2"/>
  <c r="V275" i="2"/>
  <c r="K275" i="2"/>
  <c r="W275" i="2"/>
  <c r="L275" i="2"/>
  <c r="X275" i="2"/>
  <c r="O275" i="2"/>
  <c r="AA275" i="2"/>
  <c r="Z299" i="2"/>
  <c r="G299" i="2"/>
  <c r="P298" i="2"/>
  <c r="I294" i="2"/>
  <c r="J292" i="2"/>
  <c r="P291" i="2"/>
  <c r="H290" i="2"/>
  <c r="T290" i="2"/>
  <c r="M290" i="2"/>
  <c r="Y290" i="2"/>
  <c r="N290" i="2"/>
  <c r="Z290" i="2"/>
  <c r="O290" i="2"/>
  <c r="AA290" i="2"/>
  <c r="F290" i="2"/>
  <c r="R290" i="2"/>
  <c r="AD290" i="2"/>
  <c r="P278" i="2"/>
  <c r="AB275" i="2"/>
  <c r="P274" i="2"/>
  <c r="Y299" i="2"/>
  <c r="L298" i="2"/>
  <c r="M296" i="2"/>
  <c r="S295" i="2"/>
  <c r="AB294" i="2"/>
  <c r="AB292" i="2"/>
  <c r="N291" i="2"/>
  <c r="V290" i="2"/>
  <c r="W288" i="2"/>
  <c r="Q287" i="2"/>
  <c r="I287" i="2"/>
  <c r="U287" i="2"/>
  <c r="J287" i="2"/>
  <c r="V287" i="2"/>
  <c r="K287" i="2"/>
  <c r="W287" i="2"/>
  <c r="L287" i="2"/>
  <c r="X287" i="2"/>
  <c r="O287" i="2"/>
  <c r="AA287" i="2"/>
  <c r="Y284" i="2"/>
  <c r="Z283" i="2"/>
  <c r="AB282" i="2"/>
  <c r="P279" i="2"/>
  <c r="Z275" i="2"/>
  <c r="Z271" i="2"/>
  <c r="K298" i="2"/>
  <c r="M291" i="2"/>
  <c r="H286" i="2"/>
  <c r="T286" i="2"/>
  <c r="K286" i="2"/>
  <c r="L286" i="2"/>
  <c r="X286" i="2"/>
  <c r="M286" i="2"/>
  <c r="Y286" i="2"/>
  <c r="N286" i="2"/>
  <c r="Z286" i="2"/>
  <c r="O286" i="2"/>
  <c r="AA286" i="2"/>
  <c r="F286" i="2"/>
  <c r="R286" i="2"/>
  <c r="AD286" i="2"/>
  <c r="Y275" i="2"/>
  <c r="Q267" i="2"/>
  <c r="F267" i="2"/>
  <c r="R267" i="2"/>
  <c r="AD267" i="2"/>
  <c r="G267" i="2"/>
  <c r="S267" i="2"/>
  <c r="H267" i="2"/>
  <c r="T267" i="2"/>
  <c r="I267" i="2"/>
  <c r="U267" i="2"/>
  <c r="J267" i="2"/>
  <c r="V267" i="2"/>
  <c r="K267" i="2"/>
  <c r="W267" i="2"/>
  <c r="L267" i="2"/>
  <c r="X267" i="2"/>
  <c r="M267" i="2"/>
  <c r="Y267" i="2"/>
  <c r="N267" i="2"/>
  <c r="Z267" i="2"/>
  <c r="O267" i="2"/>
  <c r="AA267" i="2"/>
  <c r="Q299" i="2"/>
  <c r="J299" i="2"/>
  <c r="K299" i="2"/>
  <c r="W299" i="2"/>
  <c r="L299" i="2"/>
  <c r="X299" i="2"/>
  <c r="O299" i="2"/>
  <c r="AA299" i="2"/>
  <c r="H294" i="2"/>
  <c r="T294" i="2"/>
  <c r="M294" i="2"/>
  <c r="Y294" i="2"/>
  <c r="N294" i="2"/>
  <c r="Z294" i="2"/>
  <c r="O294" i="2"/>
  <c r="AA294" i="2"/>
  <c r="F294" i="2"/>
  <c r="R294" i="2"/>
  <c r="AD294" i="2"/>
  <c r="N292" i="2"/>
  <c r="Z292" i="2"/>
  <c r="G292" i="2"/>
  <c r="S292" i="2"/>
  <c r="H292" i="2"/>
  <c r="T292" i="2"/>
  <c r="I292" i="2"/>
  <c r="U292" i="2"/>
  <c r="L292" i="2"/>
  <c r="X292" i="2"/>
  <c r="I291" i="2"/>
  <c r="AB286" i="2"/>
  <c r="H278" i="2"/>
  <c r="T278" i="2"/>
  <c r="I278" i="2"/>
  <c r="J278" i="2"/>
  <c r="V278" i="2"/>
  <c r="K278" i="2"/>
  <c r="W278" i="2"/>
  <c r="L278" i="2"/>
  <c r="X278" i="2"/>
  <c r="M278" i="2"/>
  <c r="Y278" i="2"/>
  <c r="N278" i="2"/>
  <c r="Z278" i="2"/>
  <c r="O278" i="2"/>
  <c r="AA278" i="2"/>
  <c r="F278" i="2"/>
  <c r="R278" i="2"/>
  <c r="AD278" i="2"/>
  <c r="P275" i="2"/>
  <c r="H274" i="2"/>
  <c r="T274" i="2"/>
  <c r="I274" i="2"/>
  <c r="U274" i="2"/>
  <c r="J274" i="2"/>
  <c r="V274" i="2"/>
  <c r="K274" i="2"/>
  <c r="W274" i="2"/>
  <c r="L274" i="2"/>
  <c r="X274" i="2"/>
  <c r="M274" i="2"/>
  <c r="Y274" i="2"/>
  <c r="N274" i="2"/>
  <c r="Z274" i="2"/>
  <c r="O274" i="2"/>
  <c r="AA274" i="2"/>
  <c r="F274" i="2"/>
  <c r="R274" i="2"/>
  <c r="AD274" i="2"/>
  <c r="H298" i="2"/>
  <c r="T298" i="2"/>
  <c r="M298" i="2"/>
  <c r="Y298" i="2"/>
  <c r="N298" i="2"/>
  <c r="Z298" i="2"/>
  <c r="O298" i="2"/>
  <c r="AA298" i="2"/>
  <c r="F298" i="2"/>
  <c r="R298" i="2"/>
  <c r="AD298" i="2"/>
  <c r="K300" i="2"/>
  <c r="T299" i="2"/>
  <c r="I298" i="2"/>
  <c r="N295" i="2"/>
  <c r="V294" i="2"/>
  <c r="W292" i="2"/>
  <c r="AD291" i="2"/>
  <c r="H291" i="2"/>
  <c r="Q290" i="2"/>
  <c r="P288" i="2"/>
  <c r="W286" i="2"/>
  <c r="R283" i="2"/>
  <c r="S282" i="2"/>
  <c r="N275" i="2"/>
  <c r="I259" i="2"/>
  <c r="J259" i="2"/>
  <c r="O259" i="2"/>
  <c r="U297" i="2"/>
  <c r="I297" i="2"/>
  <c r="U293" i="2"/>
  <c r="I293" i="2"/>
  <c r="U289" i="2"/>
  <c r="I289" i="2"/>
  <c r="U281" i="2"/>
  <c r="I281" i="2"/>
  <c r="X280" i="2"/>
  <c r="L280" i="2"/>
  <c r="U277" i="2"/>
  <c r="I277" i="2"/>
  <c r="X276" i="2"/>
  <c r="L276" i="2"/>
  <c r="X272" i="2"/>
  <c r="L272" i="2"/>
  <c r="R270" i="2"/>
  <c r="U269" i="2"/>
  <c r="I269" i="2"/>
  <c r="X268" i="2"/>
  <c r="L268" i="2"/>
  <c r="AD266" i="2"/>
  <c r="R266" i="2"/>
  <c r="F266" i="2"/>
  <c r="U265" i="2"/>
  <c r="I265" i="2"/>
  <c r="X264" i="2"/>
  <c r="L264" i="2"/>
  <c r="AD262" i="2"/>
  <c r="R262" i="2"/>
  <c r="F262" i="2"/>
  <c r="U261" i="2"/>
  <c r="I261" i="2"/>
  <c r="X260" i="2"/>
  <c r="L260" i="2"/>
  <c r="AD258" i="2"/>
  <c r="R258" i="2"/>
  <c r="F258" i="2"/>
  <c r="U257" i="2"/>
  <c r="I257" i="2"/>
  <c r="X256" i="2"/>
  <c r="L256" i="2"/>
  <c r="AD254" i="2"/>
  <c r="R254" i="2"/>
  <c r="F254" i="2"/>
  <c r="T253" i="2"/>
  <c r="U252" i="2"/>
  <c r="W250" i="2"/>
  <c r="I250" i="2"/>
  <c r="W248" i="2"/>
  <c r="Z246" i="2"/>
  <c r="K246" i="2"/>
  <c r="W244" i="2"/>
  <c r="G244" i="2"/>
  <c r="O243" i="2"/>
  <c r="I242" i="2"/>
  <c r="U242" i="2"/>
  <c r="O242" i="2"/>
  <c r="AB242" i="2"/>
  <c r="F242" i="2"/>
  <c r="S242" i="2"/>
  <c r="G242" i="2"/>
  <c r="T242" i="2"/>
  <c r="M242" i="2"/>
  <c r="Z242" i="2"/>
  <c r="K241" i="2"/>
  <c r="I238" i="2"/>
  <c r="U238" i="2"/>
  <c r="R238" i="2"/>
  <c r="J238" i="2"/>
  <c r="W238" i="2"/>
  <c r="K238" i="2"/>
  <c r="X238" i="2"/>
  <c r="P238" i="2"/>
  <c r="K237" i="2"/>
  <c r="S235" i="2"/>
  <c r="M228" i="2"/>
  <c r="P227" i="2"/>
  <c r="AD221" i="2"/>
  <c r="F219" i="2"/>
  <c r="R219" i="2"/>
  <c r="AD219" i="2"/>
  <c r="I219" i="2"/>
  <c r="U219" i="2"/>
  <c r="O219" i="2"/>
  <c r="T219" i="2"/>
  <c r="G219" i="2"/>
  <c r="V219" i="2"/>
  <c r="H219" i="2"/>
  <c r="W219" i="2"/>
  <c r="K219" i="2"/>
  <c r="Y219" i="2"/>
  <c r="M219" i="2"/>
  <c r="AA219" i="2"/>
  <c r="Q149" i="2"/>
  <c r="F149" i="2"/>
  <c r="R149" i="2"/>
  <c r="AD149" i="2"/>
  <c r="I149" i="2"/>
  <c r="U149" i="2"/>
  <c r="M149" i="2"/>
  <c r="AB149" i="2"/>
  <c r="O149" i="2"/>
  <c r="V149" i="2"/>
  <c r="Y149" i="2"/>
  <c r="G149" i="2"/>
  <c r="Z149" i="2"/>
  <c r="H149" i="2"/>
  <c r="AA149" i="2"/>
  <c r="J149" i="2"/>
  <c r="K149" i="2"/>
  <c r="L149" i="2"/>
  <c r="N149" i="2"/>
  <c r="P149" i="2"/>
  <c r="S149" i="2"/>
  <c r="T149" i="2"/>
  <c r="W149" i="2"/>
  <c r="X149" i="2"/>
  <c r="AA224" i="2"/>
  <c r="R224" i="2"/>
  <c r="AD224" i="2"/>
  <c r="J224" i="2"/>
  <c r="X224" i="2"/>
  <c r="N224" i="2"/>
  <c r="P224" i="2"/>
  <c r="Q224" i="2"/>
  <c r="V224" i="2"/>
  <c r="O220" i="2"/>
  <c r="AA220" i="2"/>
  <c r="F220" i="2"/>
  <c r="R220" i="2"/>
  <c r="AD220" i="2"/>
  <c r="Q220" i="2"/>
  <c r="H220" i="2"/>
  <c r="V220" i="2"/>
  <c r="I220" i="2"/>
  <c r="W220" i="2"/>
  <c r="J220" i="2"/>
  <c r="X220" i="2"/>
  <c r="L220" i="2"/>
  <c r="Z220" i="2"/>
  <c r="N220" i="2"/>
  <c r="Y213" i="2"/>
  <c r="G252" i="2"/>
  <c r="S252" i="2"/>
  <c r="M252" i="2"/>
  <c r="Y252" i="2"/>
  <c r="O244" i="2"/>
  <c r="AA244" i="2"/>
  <c r="R244" i="2"/>
  <c r="F244" i="2"/>
  <c r="S244" i="2"/>
  <c r="K244" i="2"/>
  <c r="X244" i="2"/>
  <c r="F223" i="2"/>
  <c r="AB223" i="2"/>
  <c r="T223" i="2"/>
  <c r="L221" i="2"/>
  <c r="X221" i="2"/>
  <c r="O221" i="2"/>
  <c r="AA221" i="2"/>
  <c r="S221" i="2"/>
  <c r="I221" i="2"/>
  <c r="W221" i="2"/>
  <c r="J221" i="2"/>
  <c r="Y221" i="2"/>
  <c r="K221" i="2"/>
  <c r="Z221" i="2"/>
  <c r="Q221" i="2"/>
  <c r="Q207" i="2"/>
  <c r="F207" i="2"/>
  <c r="R207" i="2"/>
  <c r="AD207" i="2"/>
  <c r="I207" i="2"/>
  <c r="U207" i="2"/>
  <c r="H207" i="2"/>
  <c r="X207" i="2"/>
  <c r="J207" i="2"/>
  <c r="Y207" i="2"/>
  <c r="L207" i="2"/>
  <c r="AA207" i="2"/>
  <c r="M207" i="2"/>
  <c r="AB207" i="2"/>
  <c r="N207" i="2"/>
  <c r="O207" i="2"/>
  <c r="S207" i="2"/>
  <c r="V207" i="2"/>
  <c r="N204" i="2"/>
  <c r="Z204" i="2"/>
  <c r="O204" i="2"/>
  <c r="AA204" i="2"/>
  <c r="F204" i="2"/>
  <c r="R204" i="2"/>
  <c r="AD204" i="2"/>
  <c r="J204" i="2"/>
  <c r="Y204" i="2"/>
  <c r="K204" i="2"/>
  <c r="AB204" i="2"/>
  <c r="M204" i="2"/>
  <c r="P204" i="2"/>
  <c r="Q204" i="2"/>
  <c r="S204" i="2"/>
  <c r="U204" i="2"/>
  <c r="H204" i="2"/>
  <c r="W204" i="2"/>
  <c r="H202" i="2"/>
  <c r="T202" i="2"/>
  <c r="I202" i="2"/>
  <c r="U202" i="2"/>
  <c r="L202" i="2"/>
  <c r="X202" i="2"/>
  <c r="Q202" i="2"/>
  <c r="R202" i="2"/>
  <c r="V202" i="2"/>
  <c r="F202" i="2"/>
  <c r="W202" i="2"/>
  <c r="G202" i="2"/>
  <c r="Y202" i="2"/>
  <c r="J202" i="2"/>
  <c r="Z202" i="2"/>
  <c r="M202" i="2"/>
  <c r="AB202" i="2"/>
  <c r="N202" i="2"/>
  <c r="O202" i="2"/>
  <c r="AD202" i="2"/>
  <c r="W189" i="2"/>
  <c r="X189" i="2"/>
  <c r="O189" i="2"/>
  <c r="AA189" i="2"/>
  <c r="T189" i="2"/>
  <c r="F189" i="2"/>
  <c r="U189" i="2"/>
  <c r="G189" i="2"/>
  <c r="H189" i="2"/>
  <c r="I189" i="2"/>
  <c r="J189" i="2"/>
  <c r="AB189" i="2"/>
  <c r="M189" i="2"/>
  <c r="N189" i="2"/>
  <c r="AD189" i="2"/>
  <c r="P189" i="2"/>
  <c r="Q189" i="2"/>
  <c r="AD297" i="2"/>
  <c r="R297" i="2"/>
  <c r="F297" i="2"/>
  <c r="AD293" i="2"/>
  <c r="R293" i="2"/>
  <c r="F293" i="2"/>
  <c r="AD289" i="2"/>
  <c r="R289" i="2"/>
  <c r="F289" i="2"/>
  <c r="AD281" i="2"/>
  <c r="R281" i="2"/>
  <c r="F281" i="2"/>
  <c r="U280" i="2"/>
  <c r="I280" i="2"/>
  <c r="AD277" i="2"/>
  <c r="R277" i="2"/>
  <c r="F277" i="2"/>
  <c r="U276" i="2"/>
  <c r="I276" i="2"/>
  <c r="U272" i="2"/>
  <c r="I272" i="2"/>
  <c r="O270" i="2"/>
  <c r="AD269" i="2"/>
  <c r="R269" i="2"/>
  <c r="F269" i="2"/>
  <c r="U268" i="2"/>
  <c r="I268" i="2"/>
  <c r="AA266" i="2"/>
  <c r="O266" i="2"/>
  <c r="AD265" i="2"/>
  <c r="R265" i="2"/>
  <c r="F265" i="2"/>
  <c r="U264" i="2"/>
  <c r="I264" i="2"/>
  <c r="AA262" i="2"/>
  <c r="O262" i="2"/>
  <c r="AD261" i="2"/>
  <c r="R261" i="2"/>
  <c r="F261" i="2"/>
  <c r="U260" i="2"/>
  <c r="I260" i="2"/>
  <c r="AA258" i="2"/>
  <c r="O258" i="2"/>
  <c r="AD257" i="2"/>
  <c r="R257" i="2"/>
  <c r="F257" i="2"/>
  <c r="U256" i="2"/>
  <c r="I256" i="2"/>
  <c r="AA254" i="2"/>
  <c r="O254" i="2"/>
  <c r="J253" i="2"/>
  <c r="V253" i="2"/>
  <c r="Q252" i="2"/>
  <c r="V246" i="2"/>
  <c r="H246" i="2"/>
  <c r="T244" i="2"/>
  <c r="J243" i="2"/>
  <c r="R242" i="2"/>
  <c r="Z241" i="2"/>
  <c r="F241" i="2"/>
  <c r="Q238" i="2"/>
  <c r="AA237" i="2"/>
  <c r="F237" i="2"/>
  <c r="O232" i="2"/>
  <c r="AA232" i="2"/>
  <c r="F232" i="2"/>
  <c r="R232" i="2"/>
  <c r="AD232" i="2"/>
  <c r="J232" i="2"/>
  <c r="X232" i="2"/>
  <c r="N232" i="2"/>
  <c r="P232" i="2"/>
  <c r="Q232" i="2"/>
  <c r="H232" i="2"/>
  <c r="V232" i="2"/>
  <c r="K227" i="2"/>
  <c r="W224" i="2"/>
  <c r="V221" i="2"/>
  <c r="AB220" i="2"/>
  <c r="K217" i="2"/>
  <c r="W217" i="2"/>
  <c r="L217" i="2"/>
  <c r="X217" i="2"/>
  <c r="O217" i="2"/>
  <c r="AA217" i="2"/>
  <c r="G217" i="2"/>
  <c r="V217" i="2"/>
  <c r="M217" i="2"/>
  <c r="N217" i="2"/>
  <c r="AD217" i="2"/>
  <c r="P217" i="2"/>
  <c r="R217" i="2"/>
  <c r="T217" i="2"/>
  <c r="S213" i="2"/>
  <c r="Q297" i="2"/>
  <c r="Q293" i="2"/>
  <c r="T280" i="2"/>
  <c r="H280" i="2"/>
  <c r="T276" i="2"/>
  <c r="H276" i="2"/>
  <c r="T272" i="2"/>
  <c r="H272" i="2"/>
  <c r="T268" i="2"/>
  <c r="H268" i="2"/>
  <c r="Z266" i="2"/>
  <c r="N266" i="2"/>
  <c r="T264" i="2"/>
  <c r="H264" i="2"/>
  <c r="Z262" i="2"/>
  <c r="N262" i="2"/>
  <c r="T260" i="2"/>
  <c r="H260" i="2"/>
  <c r="Z258" i="2"/>
  <c r="N258" i="2"/>
  <c r="T256" i="2"/>
  <c r="H256" i="2"/>
  <c r="Z254" i="2"/>
  <c r="N254" i="2"/>
  <c r="AD252" i="2"/>
  <c r="P252" i="2"/>
  <c r="M250" i="2"/>
  <c r="Y250" i="2"/>
  <c r="G250" i="2"/>
  <c r="S250" i="2"/>
  <c r="G248" i="2"/>
  <c r="S248" i="2"/>
  <c r="M248" i="2"/>
  <c r="Y248" i="2"/>
  <c r="U246" i="2"/>
  <c r="F246" i="2"/>
  <c r="Q244" i="2"/>
  <c r="AB243" i="2"/>
  <c r="I243" i="2"/>
  <c r="K236" i="2"/>
  <c r="F231" i="2"/>
  <c r="R231" i="2"/>
  <c r="AD231" i="2"/>
  <c r="I231" i="2"/>
  <c r="U231" i="2"/>
  <c r="H231" i="2"/>
  <c r="W231" i="2"/>
  <c r="M231" i="2"/>
  <c r="AA231" i="2"/>
  <c r="N231" i="2"/>
  <c r="AB231" i="2"/>
  <c r="O231" i="2"/>
  <c r="T231" i="2"/>
  <c r="L229" i="2"/>
  <c r="X229" i="2"/>
  <c r="O229" i="2"/>
  <c r="AA229" i="2"/>
  <c r="S229" i="2"/>
  <c r="I229" i="2"/>
  <c r="W229" i="2"/>
  <c r="J229" i="2"/>
  <c r="Y229" i="2"/>
  <c r="K229" i="2"/>
  <c r="Z229" i="2"/>
  <c r="Q229" i="2"/>
  <c r="U224" i="2"/>
  <c r="U221" i="2"/>
  <c r="Y220" i="2"/>
  <c r="Q211" i="2"/>
  <c r="F211" i="2"/>
  <c r="R211" i="2"/>
  <c r="AD211" i="2"/>
  <c r="I211" i="2"/>
  <c r="U211" i="2"/>
  <c r="K211" i="2"/>
  <c r="Z211" i="2"/>
  <c r="L211" i="2"/>
  <c r="AA211" i="2"/>
  <c r="O211" i="2"/>
  <c r="P211" i="2"/>
  <c r="S211" i="2"/>
  <c r="V211" i="2"/>
  <c r="H211" i="2"/>
  <c r="X211" i="2"/>
  <c r="T203" i="2"/>
  <c r="S280" i="2"/>
  <c r="G280" i="2"/>
  <c r="S276" i="2"/>
  <c r="G276" i="2"/>
  <c r="S272" i="2"/>
  <c r="G272" i="2"/>
  <c r="M270" i="2"/>
  <c r="S268" i="2"/>
  <c r="G268" i="2"/>
  <c r="Y266" i="2"/>
  <c r="M266" i="2"/>
  <c r="S264" i="2"/>
  <c r="G264" i="2"/>
  <c r="Y262" i="2"/>
  <c r="M262" i="2"/>
  <c r="S260" i="2"/>
  <c r="G260" i="2"/>
  <c r="Y258" i="2"/>
  <c r="M258" i="2"/>
  <c r="S256" i="2"/>
  <c r="G256" i="2"/>
  <c r="Y254" i="2"/>
  <c r="M254" i="2"/>
  <c r="O252" i="2"/>
  <c r="P244" i="2"/>
  <c r="Z243" i="2"/>
  <c r="L241" i="2"/>
  <c r="X241" i="2"/>
  <c r="P241" i="2"/>
  <c r="G241" i="2"/>
  <c r="T241" i="2"/>
  <c r="H241" i="2"/>
  <c r="U241" i="2"/>
  <c r="N241" i="2"/>
  <c r="AA241" i="2"/>
  <c r="L237" i="2"/>
  <c r="X237" i="2"/>
  <c r="O237" i="2"/>
  <c r="S237" i="2"/>
  <c r="I237" i="2"/>
  <c r="W237" i="2"/>
  <c r="J237" i="2"/>
  <c r="Y237" i="2"/>
  <c r="Q237" i="2"/>
  <c r="AD237" i="2"/>
  <c r="O228" i="2"/>
  <c r="AA228" i="2"/>
  <c r="F228" i="2"/>
  <c r="R228" i="2"/>
  <c r="AD228" i="2"/>
  <c r="Q228" i="2"/>
  <c r="H228" i="2"/>
  <c r="V228" i="2"/>
  <c r="I228" i="2"/>
  <c r="W228" i="2"/>
  <c r="J228" i="2"/>
  <c r="X228" i="2"/>
  <c r="N228" i="2"/>
  <c r="T224" i="2"/>
  <c r="T221" i="2"/>
  <c r="U220" i="2"/>
  <c r="N213" i="2"/>
  <c r="AD280" i="2"/>
  <c r="R280" i="2"/>
  <c r="F280" i="2"/>
  <c r="AD276" i="2"/>
  <c r="R276" i="2"/>
  <c r="F276" i="2"/>
  <c r="AD272" i="2"/>
  <c r="R272" i="2"/>
  <c r="F272" i="2"/>
  <c r="L270" i="2"/>
  <c r="AD268" i="2"/>
  <c r="R268" i="2"/>
  <c r="F268" i="2"/>
  <c r="X266" i="2"/>
  <c r="L266" i="2"/>
  <c r="AD264" i="2"/>
  <c r="R264" i="2"/>
  <c r="F264" i="2"/>
  <c r="X262" i="2"/>
  <c r="L262" i="2"/>
  <c r="AD260" i="2"/>
  <c r="R260" i="2"/>
  <c r="F260" i="2"/>
  <c r="X258" i="2"/>
  <c r="L258" i="2"/>
  <c r="AD256" i="2"/>
  <c r="R256" i="2"/>
  <c r="F256" i="2"/>
  <c r="X254" i="2"/>
  <c r="L254" i="2"/>
  <c r="AB252" i="2"/>
  <c r="N252" i="2"/>
  <c r="M246" i="2"/>
  <c r="Y246" i="2"/>
  <c r="G246" i="2"/>
  <c r="S246" i="2"/>
  <c r="N244" i="2"/>
  <c r="F227" i="2"/>
  <c r="R227" i="2"/>
  <c r="AD227" i="2"/>
  <c r="I227" i="2"/>
  <c r="U227" i="2"/>
  <c r="O227" i="2"/>
  <c r="T227" i="2"/>
  <c r="G227" i="2"/>
  <c r="V227" i="2"/>
  <c r="H227" i="2"/>
  <c r="W227" i="2"/>
  <c r="M227" i="2"/>
  <c r="AA227" i="2"/>
  <c r="S224" i="2"/>
  <c r="R221" i="2"/>
  <c r="T220" i="2"/>
  <c r="H213" i="2"/>
  <c r="P212" i="2"/>
  <c r="U212" i="2"/>
  <c r="Q280" i="2"/>
  <c r="Q276" i="2"/>
  <c r="Q272" i="2"/>
  <c r="K270" i="2"/>
  <c r="Q268" i="2"/>
  <c r="W266" i="2"/>
  <c r="K266" i="2"/>
  <c r="Q264" i="2"/>
  <c r="W262" i="2"/>
  <c r="K262" i="2"/>
  <c r="Q260" i="2"/>
  <c r="W258" i="2"/>
  <c r="K258" i="2"/>
  <c r="Q256" i="2"/>
  <c r="W254" i="2"/>
  <c r="K254" i="2"/>
  <c r="AA252" i="2"/>
  <c r="L252" i="2"/>
  <c r="Q246" i="2"/>
  <c r="AD244" i="2"/>
  <c r="M244" i="2"/>
  <c r="F243" i="2"/>
  <c r="R243" i="2"/>
  <c r="AD243" i="2"/>
  <c r="N243" i="2"/>
  <c r="AA243" i="2"/>
  <c r="S243" i="2"/>
  <c r="G243" i="2"/>
  <c r="T243" i="2"/>
  <c r="L243" i="2"/>
  <c r="Y243" i="2"/>
  <c r="O236" i="2"/>
  <c r="AA236" i="2"/>
  <c r="F236" i="2"/>
  <c r="AD236" i="2"/>
  <c r="H236" i="2"/>
  <c r="I236" i="2"/>
  <c r="W236" i="2"/>
  <c r="J236" i="2"/>
  <c r="N236" i="2"/>
  <c r="Z227" i="2"/>
  <c r="M224" i="2"/>
  <c r="P221" i="2"/>
  <c r="S220" i="2"/>
  <c r="Z207" i="2"/>
  <c r="X204" i="2"/>
  <c r="J270" i="2"/>
  <c r="V266" i="2"/>
  <c r="J266" i="2"/>
  <c r="V262" i="2"/>
  <c r="J262" i="2"/>
  <c r="V258" i="2"/>
  <c r="J258" i="2"/>
  <c r="V254" i="2"/>
  <c r="J254" i="2"/>
  <c r="Z252" i="2"/>
  <c r="K252" i="2"/>
  <c r="L244" i="2"/>
  <c r="F235" i="2"/>
  <c r="W235" i="2"/>
  <c r="AA235" i="2"/>
  <c r="L224" i="2"/>
  <c r="N221" i="2"/>
  <c r="P220" i="2"/>
  <c r="W207" i="2"/>
  <c r="V204" i="2"/>
  <c r="AD203" i="2"/>
  <c r="U203" i="2"/>
  <c r="M203" i="2"/>
  <c r="O203" i="2"/>
  <c r="U266" i="2"/>
  <c r="I266" i="2"/>
  <c r="U262" i="2"/>
  <c r="I262" i="2"/>
  <c r="U258" i="2"/>
  <c r="I258" i="2"/>
  <c r="U254" i="2"/>
  <c r="I254" i="2"/>
  <c r="X252" i="2"/>
  <c r="J252" i="2"/>
  <c r="AB244" i="2"/>
  <c r="J244" i="2"/>
  <c r="M221" i="2"/>
  <c r="K213" i="2"/>
  <c r="L213" i="2"/>
  <c r="O213" i="2"/>
  <c r="AA213" i="2"/>
  <c r="T213" i="2"/>
  <c r="F213" i="2"/>
  <c r="U213" i="2"/>
  <c r="I213" i="2"/>
  <c r="Z213" i="2"/>
  <c r="AB213" i="2"/>
  <c r="P213" i="2"/>
  <c r="T207" i="2"/>
  <c r="T204" i="2"/>
  <c r="AA202" i="2"/>
  <c r="W297" i="2"/>
  <c r="Z280" i="2"/>
  <c r="Z276" i="2"/>
  <c r="Z272" i="2"/>
  <c r="Z268" i="2"/>
  <c r="T266" i="2"/>
  <c r="Z264" i="2"/>
  <c r="T262" i="2"/>
  <c r="Z260" i="2"/>
  <c r="T258" i="2"/>
  <c r="Z256" i="2"/>
  <c r="T254" i="2"/>
  <c r="W252" i="2"/>
  <c r="I252" i="2"/>
  <c r="AB246" i="2"/>
  <c r="N246" i="2"/>
  <c r="Z244" i="2"/>
  <c r="I244" i="2"/>
  <c r="Q243" i="2"/>
  <c r="Y235" i="2"/>
  <c r="S227" i="2"/>
  <c r="I224" i="2"/>
  <c r="H221" i="2"/>
  <c r="K220" i="2"/>
  <c r="P207" i="2"/>
  <c r="L204" i="2"/>
  <c r="S202" i="2"/>
  <c r="V249" i="2"/>
  <c r="V245" i="2"/>
  <c r="AB240" i="2"/>
  <c r="N240" i="2"/>
  <c r="AB239" i="2"/>
  <c r="O239" i="2"/>
  <c r="W233" i="2"/>
  <c r="I230" i="2"/>
  <c r="U230" i="2"/>
  <c r="L230" i="2"/>
  <c r="X230" i="2"/>
  <c r="I222" i="2"/>
  <c r="U222" i="2"/>
  <c r="L222" i="2"/>
  <c r="X222" i="2"/>
  <c r="Z218" i="2"/>
  <c r="Z215" i="2"/>
  <c r="W214" i="2"/>
  <c r="H210" i="2"/>
  <c r="T210" i="2"/>
  <c r="I210" i="2"/>
  <c r="U210" i="2"/>
  <c r="L210" i="2"/>
  <c r="X210" i="2"/>
  <c r="Y208" i="2"/>
  <c r="Q206" i="2"/>
  <c r="M205" i="2"/>
  <c r="Z201" i="2"/>
  <c r="AB198" i="2"/>
  <c r="V197" i="2"/>
  <c r="G197" i="2"/>
  <c r="AB195" i="2"/>
  <c r="M195" i="2"/>
  <c r="Z194" i="2"/>
  <c r="K191" i="2"/>
  <c r="W190" i="2"/>
  <c r="L188" i="2"/>
  <c r="X187" i="2"/>
  <c r="H186" i="2"/>
  <c r="T186" i="2"/>
  <c r="I186" i="2"/>
  <c r="U186" i="2"/>
  <c r="L186" i="2"/>
  <c r="X186" i="2"/>
  <c r="Y184" i="2"/>
  <c r="J184" i="2"/>
  <c r="P182" i="2"/>
  <c r="AD180" i="2"/>
  <c r="P178" i="2"/>
  <c r="G176" i="2"/>
  <c r="S176" i="2"/>
  <c r="M176" i="2"/>
  <c r="Y176" i="2"/>
  <c r="J176" i="2"/>
  <c r="X176" i="2"/>
  <c r="K176" i="2"/>
  <c r="Z176" i="2"/>
  <c r="L176" i="2"/>
  <c r="AA176" i="2"/>
  <c r="P176" i="2"/>
  <c r="AD176" i="2"/>
  <c r="W169" i="2"/>
  <c r="O166" i="2"/>
  <c r="AA166" i="2"/>
  <c r="F166" i="2"/>
  <c r="R166" i="2"/>
  <c r="AD166" i="2"/>
  <c r="T166" i="2"/>
  <c r="L166" i="2"/>
  <c r="Z166" i="2"/>
  <c r="V166" i="2"/>
  <c r="G166" i="2"/>
  <c r="W166" i="2"/>
  <c r="K166" i="2"/>
  <c r="M166" i="2"/>
  <c r="N166" i="2"/>
  <c r="P166" i="2"/>
  <c r="S166" i="2"/>
  <c r="N200" i="2"/>
  <c r="Z200" i="2"/>
  <c r="O200" i="2"/>
  <c r="AA200" i="2"/>
  <c r="F200" i="2"/>
  <c r="R200" i="2"/>
  <c r="AD200" i="2"/>
  <c r="U197" i="2"/>
  <c r="F197" i="2"/>
  <c r="K193" i="2"/>
  <c r="W193" i="2"/>
  <c r="L193" i="2"/>
  <c r="X193" i="2"/>
  <c r="O193" i="2"/>
  <c r="AA193" i="2"/>
  <c r="W187" i="2"/>
  <c r="Q183" i="2"/>
  <c r="F183" i="2"/>
  <c r="R183" i="2"/>
  <c r="AD183" i="2"/>
  <c r="I183" i="2"/>
  <c r="U183" i="2"/>
  <c r="O182" i="2"/>
  <c r="T169" i="2"/>
  <c r="AB165" i="2"/>
  <c r="H214" i="2"/>
  <c r="T214" i="2"/>
  <c r="I214" i="2"/>
  <c r="U214" i="2"/>
  <c r="L214" i="2"/>
  <c r="X214" i="2"/>
  <c r="Z205" i="2"/>
  <c r="I205" i="2"/>
  <c r="S200" i="2"/>
  <c r="Z195" i="2"/>
  <c r="K195" i="2"/>
  <c r="R193" i="2"/>
  <c r="H190" i="2"/>
  <c r="T190" i="2"/>
  <c r="I190" i="2"/>
  <c r="U190" i="2"/>
  <c r="L190" i="2"/>
  <c r="X190" i="2"/>
  <c r="Y188" i="2"/>
  <c r="J188" i="2"/>
  <c r="S183" i="2"/>
  <c r="AD182" i="2"/>
  <c r="N182" i="2"/>
  <c r="G180" i="2"/>
  <c r="S180" i="2"/>
  <c r="M180" i="2"/>
  <c r="Y180" i="2"/>
  <c r="H180" i="2"/>
  <c r="V180" i="2"/>
  <c r="I180" i="2"/>
  <c r="W180" i="2"/>
  <c r="J180" i="2"/>
  <c r="X180" i="2"/>
  <c r="N180" i="2"/>
  <c r="AB180" i="2"/>
  <c r="S169" i="2"/>
  <c r="K197" i="2"/>
  <c r="W197" i="2"/>
  <c r="L197" i="2"/>
  <c r="X197" i="2"/>
  <c r="O197" i="2"/>
  <c r="AA197" i="2"/>
  <c r="I187" i="2"/>
  <c r="P183" i="2"/>
  <c r="L182" i="2"/>
  <c r="I125" i="2"/>
  <c r="U125" i="2"/>
  <c r="R125" i="2"/>
  <c r="F125" i="2"/>
  <c r="S125" i="2"/>
  <c r="K125" i="2"/>
  <c r="X125" i="2"/>
  <c r="L125" i="2"/>
  <c r="Y125" i="2"/>
  <c r="M125" i="2"/>
  <c r="Z125" i="2"/>
  <c r="N125" i="2"/>
  <c r="AA125" i="2"/>
  <c r="P125" i="2"/>
  <c r="W125" i="2"/>
  <c r="G125" i="2"/>
  <c r="H125" i="2"/>
  <c r="T125" i="2"/>
  <c r="J125" i="2"/>
  <c r="O125" i="2"/>
  <c r="Q125" i="2"/>
  <c r="V125" i="2"/>
  <c r="AB125" i="2"/>
  <c r="AD125" i="2"/>
  <c r="H218" i="2"/>
  <c r="T218" i="2"/>
  <c r="I218" i="2"/>
  <c r="U218" i="2"/>
  <c r="L218" i="2"/>
  <c r="X218" i="2"/>
  <c r="Q214" i="2"/>
  <c r="V205" i="2"/>
  <c r="G205" i="2"/>
  <c r="P200" i="2"/>
  <c r="R197" i="2"/>
  <c r="X195" i="2"/>
  <c r="H195" i="2"/>
  <c r="H194" i="2"/>
  <c r="T194" i="2"/>
  <c r="I194" i="2"/>
  <c r="U194" i="2"/>
  <c r="L194" i="2"/>
  <c r="X194" i="2"/>
  <c r="P193" i="2"/>
  <c r="Q190" i="2"/>
  <c r="W188" i="2"/>
  <c r="H188" i="2"/>
  <c r="O183" i="2"/>
  <c r="AB182" i="2"/>
  <c r="K182" i="2"/>
  <c r="U180" i="2"/>
  <c r="AD178" i="2"/>
  <c r="L169" i="2"/>
  <c r="Y166" i="2"/>
  <c r="V240" i="2"/>
  <c r="I240" i="2"/>
  <c r="W239" i="2"/>
  <c r="J239" i="2"/>
  <c r="L233" i="2"/>
  <c r="X233" i="2"/>
  <c r="O233" i="2"/>
  <c r="AA233" i="2"/>
  <c r="L225" i="2"/>
  <c r="X225" i="2"/>
  <c r="O225" i="2"/>
  <c r="R218" i="2"/>
  <c r="Q215" i="2"/>
  <c r="F215" i="2"/>
  <c r="R215" i="2"/>
  <c r="AD215" i="2"/>
  <c r="I215" i="2"/>
  <c r="U215" i="2"/>
  <c r="P214" i="2"/>
  <c r="N208" i="2"/>
  <c r="Z208" i="2"/>
  <c r="O208" i="2"/>
  <c r="AA208" i="2"/>
  <c r="F208" i="2"/>
  <c r="R208" i="2"/>
  <c r="AD208" i="2"/>
  <c r="U205" i="2"/>
  <c r="F205" i="2"/>
  <c r="K201" i="2"/>
  <c r="W201" i="2"/>
  <c r="L201" i="2"/>
  <c r="X201" i="2"/>
  <c r="O201" i="2"/>
  <c r="AA201" i="2"/>
  <c r="M200" i="2"/>
  <c r="Q197" i="2"/>
  <c r="W195" i="2"/>
  <c r="G195" i="2"/>
  <c r="R194" i="2"/>
  <c r="AD193" i="2"/>
  <c r="N193" i="2"/>
  <c r="P190" i="2"/>
  <c r="V188" i="2"/>
  <c r="G188" i="2"/>
  <c r="N184" i="2"/>
  <c r="Z184" i="2"/>
  <c r="O184" i="2"/>
  <c r="AA184" i="2"/>
  <c r="F184" i="2"/>
  <c r="R184" i="2"/>
  <c r="AD184" i="2"/>
  <c r="N183" i="2"/>
  <c r="AA182" i="2"/>
  <c r="I182" i="2"/>
  <c r="T180" i="2"/>
  <c r="L171" i="2"/>
  <c r="X171" i="2"/>
  <c r="G171" i="2"/>
  <c r="T171" i="2"/>
  <c r="N171" i="2"/>
  <c r="AA171" i="2"/>
  <c r="Q171" i="2"/>
  <c r="R171" i="2"/>
  <c r="H171" i="2"/>
  <c r="W171" i="2"/>
  <c r="I171" i="2"/>
  <c r="Y171" i="2"/>
  <c r="J171" i="2"/>
  <c r="Z171" i="2"/>
  <c r="O171" i="2"/>
  <c r="AD171" i="2"/>
  <c r="K169" i="2"/>
  <c r="N165" i="2"/>
  <c r="I164" i="2"/>
  <c r="U164" i="2"/>
  <c r="L164" i="2"/>
  <c r="X164" i="2"/>
  <c r="P164" i="2"/>
  <c r="AD164" i="2"/>
  <c r="H164" i="2"/>
  <c r="W164" i="2"/>
  <c r="G164" i="2"/>
  <c r="Z164" i="2"/>
  <c r="J164" i="2"/>
  <c r="AA164" i="2"/>
  <c r="K164" i="2"/>
  <c r="O164" i="2"/>
  <c r="Q164" i="2"/>
  <c r="R164" i="2"/>
  <c r="S164" i="2"/>
  <c r="V164" i="2"/>
  <c r="U240" i="2"/>
  <c r="V239" i="2"/>
  <c r="I234" i="2"/>
  <c r="U234" i="2"/>
  <c r="L234" i="2"/>
  <c r="X234" i="2"/>
  <c r="Q233" i="2"/>
  <c r="Z230" i="2"/>
  <c r="K230" i="2"/>
  <c r="I226" i="2"/>
  <c r="U226" i="2"/>
  <c r="L226" i="2"/>
  <c r="X226" i="2"/>
  <c r="Q225" i="2"/>
  <c r="Z222" i="2"/>
  <c r="K222" i="2"/>
  <c r="Q218" i="2"/>
  <c r="S215" i="2"/>
  <c r="AD214" i="2"/>
  <c r="O214" i="2"/>
  <c r="AB210" i="2"/>
  <c r="M210" i="2"/>
  <c r="S208" i="2"/>
  <c r="Z206" i="2"/>
  <c r="J206" i="2"/>
  <c r="R201" i="2"/>
  <c r="L200" i="2"/>
  <c r="H198" i="2"/>
  <c r="T198" i="2"/>
  <c r="I198" i="2"/>
  <c r="U198" i="2"/>
  <c r="L198" i="2"/>
  <c r="X198" i="2"/>
  <c r="P197" i="2"/>
  <c r="Q194" i="2"/>
  <c r="M193" i="2"/>
  <c r="AD190" i="2"/>
  <c r="O190" i="2"/>
  <c r="AB186" i="2"/>
  <c r="M186" i="2"/>
  <c r="S184" i="2"/>
  <c r="AB183" i="2"/>
  <c r="M183" i="2"/>
  <c r="Z182" i="2"/>
  <c r="H182" i="2"/>
  <c r="R180" i="2"/>
  <c r="M178" i="2"/>
  <c r="Y178" i="2"/>
  <c r="G178" i="2"/>
  <c r="S178" i="2"/>
  <c r="H178" i="2"/>
  <c r="V178" i="2"/>
  <c r="I178" i="2"/>
  <c r="W178" i="2"/>
  <c r="J178" i="2"/>
  <c r="X178" i="2"/>
  <c r="N178" i="2"/>
  <c r="AB178" i="2"/>
  <c r="I172" i="2"/>
  <c r="F172" i="2"/>
  <c r="S172" i="2"/>
  <c r="M172" i="2"/>
  <c r="Y172" i="2"/>
  <c r="U172" i="2"/>
  <c r="G172" i="2"/>
  <c r="L172" i="2"/>
  <c r="AA172" i="2"/>
  <c r="N172" i="2"/>
  <c r="AB172" i="2"/>
  <c r="O172" i="2"/>
  <c r="R172" i="2"/>
  <c r="U166" i="2"/>
  <c r="K205" i="2"/>
  <c r="W205" i="2"/>
  <c r="L205" i="2"/>
  <c r="X205" i="2"/>
  <c r="O205" i="2"/>
  <c r="AA205" i="2"/>
  <c r="AB200" i="2"/>
  <c r="K200" i="2"/>
  <c r="AD197" i="2"/>
  <c r="N197" i="2"/>
  <c r="Q195" i="2"/>
  <c r="F195" i="2"/>
  <c r="R195" i="2"/>
  <c r="AD195" i="2"/>
  <c r="I195" i="2"/>
  <c r="U195" i="2"/>
  <c r="AB193" i="2"/>
  <c r="J193" i="2"/>
  <c r="N188" i="2"/>
  <c r="Z188" i="2"/>
  <c r="O188" i="2"/>
  <c r="AA188" i="2"/>
  <c r="F188" i="2"/>
  <c r="R188" i="2"/>
  <c r="AD188" i="2"/>
  <c r="AA183" i="2"/>
  <c r="L183" i="2"/>
  <c r="M182" i="2"/>
  <c r="Y182" i="2"/>
  <c r="F182" i="2"/>
  <c r="S182" i="2"/>
  <c r="G182" i="2"/>
  <c r="T182" i="2"/>
  <c r="J182" i="2"/>
  <c r="W182" i="2"/>
  <c r="F169" i="2"/>
  <c r="R169" i="2"/>
  <c r="AD169" i="2"/>
  <c r="I169" i="2"/>
  <c r="V169" i="2"/>
  <c r="O169" i="2"/>
  <c r="AB169" i="2"/>
  <c r="H169" i="2"/>
  <c r="X169" i="2"/>
  <c r="J169" i="2"/>
  <c r="Y169" i="2"/>
  <c r="N169" i="2"/>
  <c r="P169" i="2"/>
  <c r="Q169" i="2"/>
  <c r="U169" i="2"/>
  <c r="F165" i="2"/>
  <c r="R165" i="2"/>
  <c r="I165" i="2"/>
  <c r="Q165" i="2"/>
  <c r="Y165" i="2"/>
  <c r="O165" i="2"/>
  <c r="P165" i="2"/>
  <c r="W165" i="2"/>
  <c r="G165" i="2"/>
  <c r="X165" i="2"/>
  <c r="H165" i="2"/>
  <c r="J165" i="2"/>
  <c r="M165" i="2"/>
  <c r="N216" i="2"/>
  <c r="Z216" i="2"/>
  <c r="O216" i="2"/>
  <c r="AA216" i="2"/>
  <c r="F216" i="2"/>
  <c r="R216" i="2"/>
  <c r="AD216" i="2"/>
  <c r="N215" i="2"/>
  <c r="AA214" i="2"/>
  <c r="K214" i="2"/>
  <c r="Y210" i="2"/>
  <c r="G210" i="2"/>
  <c r="K209" i="2"/>
  <c r="W209" i="2"/>
  <c r="L209" i="2"/>
  <c r="X209" i="2"/>
  <c r="O209" i="2"/>
  <c r="AA209" i="2"/>
  <c r="M208" i="2"/>
  <c r="Q205" i="2"/>
  <c r="AD201" i="2"/>
  <c r="X200" i="2"/>
  <c r="I200" i="2"/>
  <c r="Q199" i="2"/>
  <c r="F199" i="2"/>
  <c r="R199" i="2"/>
  <c r="AD199" i="2"/>
  <c r="I199" i="2"/>
  <c r="U199" i="2"/>
  <c r="P198" i="2"/>
  <c r="AB197" i="2"/>
  <c r="J197" i="2"/>
  <c r="P195" i="2"/>
  <c r="N194" i="2"/>
  <c r="Y193" i="2"/>
  <c r="H193" i="2"/>
  <c r="N192" i="2"/>
  <c r="Z192" i="2"/>
  <c r="O192" i="2"/>
  <c r="AA192" i="2"/>
  <c r="F192" i="2"/>
  <c r="R192" i="2"/>
  <c r="AD192" i="2"/>
  <c r="AA190" i="2"/>
  <c r="K190" i="2"/>
  <c r="Q188" i="2"/>
  <c r="AA187" i="2"/>
  <c r="L187" i="2"/>
  <c r="Y186" i="2"/>
  <c r="G186" i="2"/>
  <c r="K185" i="2"/>
  <c r="W185" i="2"/>
  <c r="L185" i="2"/>
  <c r="X185" i="2"/>
  <c r="O185" i="2"/>
  <c r="AA185" i="2"/>
  <c r="M184" i="2"/>
  <c r="Y183" i="2"/>
  <c r="J183" i="2"/>
  <c r="U182" i="2"/>
  <c r="O180" i="2"/>
  <c r="T178" i="2"/>
  <c r="H176" i="2"/>
  <c r="W172" i="2"/>
  <c r="V171" i="2"/>
  <c r="I166" i="2"/>
  <c r="O240" i="2"/>
  <c r="AA240" i="2"/>
  <c r="F239" i="2"/>
  <c r="R239" i="2"/>
  <c r="AD239" i="2"/>
  <c r="Z233" i="2"/>
  <c r="K233" i="2"/>
  <c r="Z225" i="2"/>
  <c r="K225" i="2"/>
  <c r="AB218" i="2"/>
  <c r="M218" i="2"/>
  <c r="AB215" i="2"/>
  <c r="M215" i="2"/>
  <c r="Z214" i="2"/>
  <c r="J214" i="2"/>
  <c r="L208" i="2"/>
  <c r="H206" i="2"/>
  <c r="T206" i="2"/>
  <c r="I206" i="2"/>
  <c r="U206" i="2"/>
  <c r="L206" i="2"/>
  <c r="X206" i="2"/>
  <c r="P205" i="2"/>
  <c r="M201" i="2"/>
  <c r="W200" i="2"/>
  <c r="H200" i="2"/>
  <c r="Z197" i="2"/>
  <c r="I197" i="2"/>
  <c r="O195" i="2"/>
  <c r="AB194" i="2"/>
  <c r="M194" i="2"/>
  <c r="V193" i="2"/>
  <c r="G193" i="2"/>
  <c r="Z190" i="2"/>
  <c r="J190" i="2"/>
  <c r="P188" i="2"/>
  <c r="K187" i="2"/>
  <c r="L184" i="2"/>
  <c r="X183" i="2"/>
  <c r="H183" i="2"/>
  <c r="R182" i="2"/>
  <c r="L180" i="2"/>
  <c r="U171" i="2"/>
  <c r="AA169" i="2"/>
  <c r="AB164" i="2"/>
  <c r="AD174" i="2"/>
  <c r="P174" i="2"/>
  <c r="Y170" i="2"/>
  <c r="J170" i="2"/>
  <c r="Q168" i="2"/>
  <c r="P163" i="2"/>
  <c r="S161" i="2"/>
  <c r="AB160" i="2"/>
  <c r="K160" i="2"/>
  <c r="L159" i="2"/>
  <c r="X159" i="2"/>
  <c r="O159" i="2"/>
  <c r="AA159" i="2"/>
  <c r="G159" i="2"/>
  <c r="U159" i="2"/>
  <c r="N159" i="2"/>
  <c r="M158" i="2"/>
  <c r="S155" i="2"/>
  <c r="N154" i="2"/>
  <c r="Z154" i="2"/>
  <c r="O154" i="2"/>
  <c r="AA154" i="2"/>
  <c r="F154" i="2"/>
  <c r="R154" i="2"/>
  <c r="AD154" i="2"/>
  <c r="U154" i="2"/>
  <c r="H154" i="2"/>
  <c r="W154" i="2"/>
  <c r="L154" i="2"/>
  <c r="M150" i="2"/>
  <c r="P147" i="2"/>
  <c r="N144" i="2"/>
  <c r="S143" i="2"/>
  <c r="Y142" i="2"/>
  <c r="P140" i="2"/>
  <c r="T139" i="2"/>
  <c r="F131" i="2"/>
  <c r="R131" i="2"/>
  <c r="AD131" i="2"/>
  <c r="K131" i="2"/>
  <c r="W131" i="2"/>
  <c r="L131" i="2"/>
  <c r="X131" i="2"/>
  <c r="M131" i="2"/>
  <c r="Y131" i="2"/>
  <c r="O131" i="2"/>
  <c r="AA131" i="2"/>
  <c r="H131" i="2"/>
  <c r="P131" i="2"/>
  <c r="Q131" i="2"/>
  <c r="S131" i="2"/>
  <c r="Z131" i="2"/>
  <c r="F122" i="2"/>
  <c r="R122" i="2"/>
  <c r="AD122" i="2"/>
  <c r="H122" i="2"/>
  <c r="U122" i="2"/>
  <c r="I122" i="2"/>
  <c r="V122" i="2"/>
  <c r="M122" i="2"/>
  <c r="Z122" i="2"/>
  <c r="N122" i="2"/>
  <c r="AA122" i="2"/>
  <c r="O122" i="2"/>
  <c r="AB122" i="2"/>
  <c r="P122" i="2"/>
  <c r="S122" i="2"/>
  <c r="L122" i="2"/>
  <c r="W122" i="2"/>
  <c r="X122" i="2"/>
  <c r="Y122" i="2"/>
  <c r="J122" i="2"/>
  <c r="F157" i="2"/>
  <c r="R157" i="2"/>
  <c r="AD157" i="2"/>
  <c r="I157" i="2"/>
  <c r="U157" i="2"/>
  <c r="Q157" i="2"/>
  <c r="T157" i="2"/>
  <c r="K157" i="2"/>
  <c r="Y157" i="2"/>
  <c r="L137" i="2"/>
  <c r="X137" i="2"/>
  <c r="Q137" i="2"/>
  <c r="F137" i="2"/>
  <c r="R137" i="2"/>
  <c r="AD137" i="2"/>
  <c r="G137" i="2"/>
  <c r="S137" i="2"/>
  <c r="I137" i="2"/>
  <c r="U137" i="2"/>
  <c r="Z137" i="2"/>
  <c r="H137" i="2"/>
  <c r="J137" i="2"/>
  <c r="AB137" i="2"/>
  <c r="O137" i="2"/>
  <c r="AD163" i="2"/>
  <c r="K163" i="2"/>
  <c r="AB158" i="2"/>
  <c r="J158" i="2"/>
  <c r="V157" i="2"/>
  <c r="K150" i="2"/>
  <c r="J147" i="2"/>
  <c r="I145" i="2"/>
  <c r="K145" i="2"/>
  <c r="N142" i="2"/>
  <c r="Z142" i="2"/>
  <c r="O142" i="2"/>
  <c r="AA142" i="2"/>
  <c r="F142" i="2"/>
  <c r="R142" i="2"/>
  <c r="AD142" i="2"/>
  <c r="L142" i="2"/>
  <c r="P142" i="2"/>
  <c r="U142" i="2"/>
  <c r="M140" i="2"/>
  <c r="P139" i="2"/>
  <c r="O132" i="2"/>
  <c r="AA132" i="2"/>
  <c r="H132" i="2"/>
  <c r="T132" i="2"/>
  <c r="I132" i="2"/>
  <c r="U132" i="2"/>
  <c r="J132" i="2"/>
  <c r="V132" i="2"/>
  <c r="L132" i="2"/>
  <c r="X132" i="2"/>
  <c r="W132" i="2"/>
  <c r="G132" i="2"/>
  <c r="K132" i="2"/>
  <c r="AD132" i="2"/>
  <c r="M132" i="2"/>
  <c r="R132" i="2"/>
  <c r="AA174" i="2"/>
  <c r="L174" i="2"/>
  <c r="V170" i="2"/>
  <c r="F170" i="2"/>
  <c r="AB168" i="2"/>
  <c r="M168" i="2"/>
  <c r="AB163" i="2"/>
  <c r="J163" i="2"/>
  <c r="O162" i="2"/>
  <c r="AA162" i="2"/>
  <c r="F162" i="2"/>
  <c r="R162" i="2"/>
  <c r="AD162" i="2"/>
  <c r="L162" i="2"/>
  <c r="Z162" i="2"/>
  <c r="T162" i="2"/>
  <c r="N161" i="2"/>
  <c r="Y160" i="2"/>
  <c r="F160" i="2"/>
  <c r="Q159" i="2"/>
  <c r="Y158" i="2"/>
  <c r="I158" i="2"/>
  <c r="S157" i="2"/>
  <c r="N155" i="2"/>
  <c r="S154" i="2"/>
  <c r="K151" i="2"/>
  <c r="W151" i="2"/>
  <c r="L151" i="2"/>
  <c r="X151" i="2"/>
  <c r="O151" i="2"/>
  <c r="AA151" i="2"/>
  <c r="G151" i="2"/>
  <c r="I151" i="2"/>
  <c r="Z151" i="2"/>
  <c r="P151" i="2"/>
  <c r="I150" i="2"/>
  <c r="H148" i="2"/>
  <c r="Q148" i="2"/>
  <c r="I147" i="2"/>
  <c r="W145" i="2"/>
  <c r="G144" i="2"/>
  <c r="N143" i="2"/>
  <c r="V142" i="2"/>
  <c r="K140" i="2"/>
  <c r="N139" i="2"/>
  <c r="AA137" i="2"/>
  <c r="AB131" i="2"/>
  <c r="Z174" i="2"/>
  <c r="K174" i="2"/>
  <c r="AA168" i="2"/>
  <c r="K168" i="2"/>
  <c r="L167" i="2"/>
  <c r="X167" i="2"/>
  <c r="O167" i="2"/>
  <c r="AA167" i="2"/>
  <c r="G167" i="2"/>
  <c r="U167" i="2"/>
  <c r="N167" i="2"/>
  <c r="I163" i="2"/>
  <c r="M161" i="2"/>
  <c r="P159" i="2"/>
  <c r="X158" i="2"/>
  <c r="H158" i="2"/>
  <c r="P157" i="2"/>
  <c r="J155" i="2"/>
  <c r="Q154" i="2"/>
  <c r="Q153" i="2"/>
  <c r="F153" i="2"/>
  <c r="R153" i="2"/>
  <c r="AD153" i="2"/>
  <c r="I153" i="2"/>
  <c r="U153" i="2"/>
  <c r="O153" i="2"/>
  <c r="S153" i="2"/>
  <c r="H153" i="2"/>
  <c r="X153" i="2"/>
  <c r="H150" i="2"/>
  <c r="AD147" i="2"/>
  <c r="H147" i="2"/>
  <c r="M143" i="2"/>
  <c r="T142" i="2"/>
  <c r="L141" i="2"/>
  <c r="Q141" i="2"/>
  <c r="F141" i="2"/>
  <c r="R141" i="2"/>
  <c r="AD141" i="2"/>
  <c r="I141" i="2"/>
  <c r="U141" i="2"/>
  <c r="G141" i="2"/>
  <c r="X141" i="2"/>
  <c r="J141" i="2"/>
  <c r="Z141" i="2"/>
  <c r="O141" i="2"/>
  <c r="J140" i="2"/>
  <c r="M139" i="2"/>
  <c r="Y137" i="2"/>
  <c r="V131" i="2"/>
  <c r="X174" i="2"/>
  <c r="O170" i="2"/>
  <c r="AA170" i="2"/>
  <c r="H170" i="2"/>
  <c r="U170" i="2"/>
  <c r="N170" i="2"/>
  <c r="AB170" i="2"/>
  <c r="Z168" i="2"/>
  <c r="Y163" i="2"/>
  <c r="AB161" i="2"/>
  <c r="I160" i="2"/>
  <c r="U160" i="2"/>
  <c r="L160" i="2"/>
  <c r="X160" i="2"/>
  <c r="H160" i="2"/>
  <c r="W160" i="2"/>
  <c r="P160" i="2"/>
  <c r="AD160" i="2"/>
  <c r="W158" i="2"/>
  <c r="O157" i="2"/>
  <c r="I156" i="2"/>
  <c r="L156" i="2"/>
  <c r="AB150" i="2"/>
  <c r="AB147" i="2"/>
  <c r="H144" i="2"/>
  <c r="T144" i="2"/>
  <c r="I144" i="2"/>
  <c r="U144" i="2"/>
  <c r="L144" i="2"/>
  <c r="X144" i="2"/>
  <c r="F144" i="2"/>
  <c r="W144" i="2"/>
  <c r="J144" i="2"/>
  <c r="Z144" i="2"/>
  <c r="O144" i="2"/>
  <c r="AD144" i="2"/>
  <c r="S142" i="2"/>
  <c r="AD140" i="2"/>
  <c r="W137" i="2"/>
  <c r="AB132" i="2"/>
  <c r="V137" i="2"/>
  <c r="O158" i="2"/>
  <c r="AA158" i="2"/>
  <c r="F158" i="2"/>
  <c r="R158" i="2"/>
  <c r="AD158" i="2"/>
  <c r="T158" i="2"/>
  <c r="L158" i="2"/>
  <c r="Z158" i="2"/>
  <c r="M157" i="2"/>
  <c r="N150" i="2"/>
  <c r="Z150" i="2"/>
  <c r="O150" i="2"/>
  <c r="AA150" i="2"/>
  <c r="F150" i="2"/>
  <c r="R150" i="2"/>
  <c r="AD150" i="2"/>
  <c r="S150" i="2"/>
  <c r="U150" i="2"/>
  <c r="J150" i="2"/>
  <c r="Y150" i="2"/>
  <c r="K147" i="2"/>
  <c r="W147" i="2"/>
  <c r="L147" i="2"/>
  <c r="X147" i="2"/>
  <c r="O147" i="2"/>
  <c r="AA147" i="2"/>
  <c r="T147" i="2"/>
  <c r="G147" i="2"/>
  <c r="V147" i="2"/>
  <c r="M147" i="2"/>
  <c r="O140" i="2"/>
  <c r="AA140" i="2"/>
  <c r="H140" i="2"/>
  <c r="T140" i="2"/>
  <c r="I140" i="2"/>
  <c r="U140" i="2"/>
  <c r="L140" i="2"/>
  <c r="X140" i="2"/>
  <c r="Q140" i="2"/>
  <c r="S140" i="2"/>
  <c r="G140" i="2"/>
  <c r="Z140" i="2"/>
  <c r="T137" i="2"/>
  <c r="L163" i="2"/>
  <c r="X163" i="2"/>
  <c r="O163" i="2"/>
  <c r="AA163" i="2"/>
  <c r="N163" i="2"/>
  <c r="G163" i="2"/>
  <c r="U163" i="2"/>
  <c r="S158" i="2"/>
  <c r="L157" i="2"/>
  <c r="V150" i="2"/>
  <c r="U147" i="2"/>
  <c r="Y140" i="2"/>
  <c r="F139" i="2"/>
  <c r="R139" i="2"/>
  <c r="AD139" i="2"/>
  <c r="K139" i="2"/>
  <c r="W139" i="2"/>
  <c r="L139" i="2"/>
  <c r="X139" i="2"/>
  <c r="O139" i="2"/>
  <c r="H139" i="2"/>
  <c r="Z139" i="2"/>
  <c r="J139" i="2"/>
  <c r="Q139" i="2"/>
  <c r="P137" i="2"/>
  <c r="S132" i="2"/>
  <c r="I168" i="2"/>
  <c r="U168" i="2"/>
  <c r="L168" i="2"/>
  <c r="H168" i="2"/>
  <c r="W168" i="2"/>
  <c r="P168" i="2"/>
  <c r="S163" i="2"/>
  <c r="Q158" i="2"/>
  <c r="AB157" i="2"/>
  <c r="J157" i="2"/>
  <c r="K155" i="2"/>
  <c r="W155" i="2"/>
  <c r="L155" i="2"/>
  <c r="X155" i="2"/>
  <c r="O155" i="2"/>
  <c r="AA155" i="2"/>
  <c r="I155" i="2"/>
  <c r="Z155" i="2"/>
  <c r="M155" i="2"/>
  <c r="R155" i="2"/>
  <c r="T150" i="2"/>
  <c r="S147" i="2"/>
  <c r="L145" i="2"/>
  <c r="J142" i="2"/>
  <c r="W140" i="2"/>
  <c r="Y139" i="2"/>
  <c r="N137" i="2"/>
  <c r="Q132" i="2"/>
  <c r="M174" i="2"/>
  <c r="Y174" i="2"/>
  <c r="G174" i="2"/>
  <c r="S174" i="2"/>
  <c r="S168" i="2"/>
  <c r="R163" i="2"/>
  <c r="F161" i="2"/>
  <c r="R161" i="2"/>
  <c r="AD161" i="2"/>
  <c r="I161" i="2"/>
  <c r="U161" i="2"/>
  <c r="K161" i="2"/>
  <c r="Y161" i="2"/>
  <c r="Q161" i="2"/>
  <c r="P158" i="2"/>
  <c r="AA157" i="2"/>
  <c r="H157" i="2"/>
  <c r="U155" i="2"/>
  <c r="Q150" i="2"/>
  <c r="R147" i="2"/>
  <c r="K143" i="2"/>
  <c r="W143" i="2"/>
  <c r="L143" i="2"/>
  <c r="X143" i="2"/>
  <c r="O143" i="2"/>
  <c r="AA143" i="2"/>
  <c r="R143" i="2"/>
  <c r="T143" i="2"/>
  <c r="I143" i="2"/>
  <c r="Z143" i="2"/>
  <c r="I142" i="2"/>
  <c r="V140" i="2"/>
  <c r="V139" i="2"/>
  <c r="M137" i="2"/>
  <c r="P132" i="2"/>
  <c r="H152" i="2"/>
  <c r="T152" i="2"/>
  <c r="I152" i="2"/>
  <c r="U152" i="2"/>
  <c r="L152" i="2"/>
  <c r="X152" i="2"/>
  <c r="O136" i="2"/>
  <c r="AA136" i="2"/>
  <c r="H136" i="2"/>
  <c r="T136" i="2"/>
  <c r="I136" i="2"/>
  <c r="U136" i="2"/>
  <c r="J136" i="2"/>
  <c r="V136" i="2"/>
  <c r="L136" i="2"/>
  <c r="X136" i="2"/>
  <c r="L116" i="2"/>
  <c r="X116" i="2"/>
  <c r="O116" i="2"/>
  <c r="AA116" i="2"/>
  <c r="P116" i="2"/>
  <c r="AD116" i="2"/>
  <c r="Q116" i="2"/>
  <c r="G116" i="2"/>
  <c r="U116" i="2"/>
  <c r="H116" i="2"/>
  <c r="V116" i="2"/>
  <c r="I116" i="2"/>
  <c r="W116" i="2"/>
  <c r="J116" i="2"/>
  <c r="Y116" i="2"/>
  <c r="M116" i="2"/>
  <c r="AB116" i="2"/>
  <c r="Z115" i="2"/>
  <c r="O107" i="2"/>
  <c r="AA107" i="2"/>
  <c r="F107" i="2"/>
  <c r="R107" i="2"/>
  <c r="AD107" i="2"/>
  <c r="M107" i="2"/>
  <c r="AB107" i="2"/>
  <c r="N107" i="2"/>
  <c r="T107" i="2"/>
  <c r="G107" i="2"/>
  <c r="U107" i="2"/>
  <c r="H107" i="2"/>
  <c r="V107" i="2"/>
  <c r="I107" i="2"/>
  <c r="W107" i="2"/>
  <c r="K107" i="2"/>
  <c r="Y107" i="2"/>
  <c r="G88" i="2"/>
  <c r="S88" i="2"/>
  <c r="I88" i="2"/>
  <c r="U88" i="2"/>
  <c r="M88" i="2"/>
  <c r="Y88" i="2"/>
  <c r="L88" i="2"/>
  <c r="AB88" i="2"/>
  <c r="N88" i="2"/>
  <c r="Q88" i="2"/>
  <c r="Z88" i="2"/>
  <c r="F88" i="2"/>
  <c r="AA88" i="2"/>
  <c r="H88" i="2"/>
  <c r="AD88" i="2"/>
  <c r="J88" i="2"/>
  <c r="K88" i="2"/>
  <c r="O88" i="2"/>
  <c r="P88" i="2"/>
  <c r="R88" i="2"/>
  <c r="T88" i="2"/>
  <c r="V88" i="2"/>
  <c r="W88" i="2"/>
  <c r="F135" i="2"/>
  <c r="R135" i="2"/>
  <c r="AD135" i="2"/>
  <c r="K135" i="2"/>
  <c r="W135" i="2"/>
  <c r="L135" i="2"/>
  <c r="X135" i="2"/>
  <c r="M135" i="2"/>
  <c r="Y135" i="2"/>
  <c r="O135" i="2"/>
  <c r="AA135" i="2"/>
  <c r="L133" i="2"/>
  <c r="X133" i="2"/>
  <c r="Q133" i="2"/>
  <c r="F133" i="2"/>
  <c r="R133" i="2"/>
  <c r="AD133" i="2"/>
  <c r="G133" i="2"/>
  <c r="S133" i="2"/>
  <c r="I133" i="2"/>
  <c r="U133" i="2"/>
  <c r="H128" i="2"/>
  <c r="I128" i="2"/>
  <c r="O123" i="2"/>
  <c r="AA123" i="2"/>
  <c r="G123" i="2"/>
  <c r="T123" i="2"/>
  <c r="H123" i="2"/>
  <c r="U123" i="2"/>
  <c r="L123" i="2"/>
  <c r="Y123" i="2"/>
  <c r="M123" i="2"/>
  <c r="Z123" i="2"/>
  <c r="N123" i="2"/>
  <c r="AB123" i="2"/>
  <c r="P123" i="2"/>
  <c r="R123" i="2"/>
  <c r="Q115" i="2"/>
  <c r="P115" i="2"/>
  <c r="L108" i="2"/>
  <c r="X108" i="2"/>
  <c r="O108" i="2"/>
  <c r="AA108" i="2"/>
  <c r="P108" i="2"/>
  <c r="AD108" i="2"/>
  <c r="Q108" i="2"/>
  <c r="G108" i="2"/>
  <c r="U108" i="2"/>
  <c r="H108" i="2"/>
  <c r="V108" i="2"/>
  <c r="I108" i="2"/>
  <c r="W108" i="2"/>
  <c r="J108" i="2"/>
  <c r="Y108" i="2"/>
  <c r="M108" i="2"/>
  <c r="AB108" i="2"/>
  <c r="V179" i="2"/>
  <c r="V175" i="2"/>
  <c r="AB152" i="2"/>
  <c r="M152" i="2"/>
  <c r="N136" i="2"/>
  <c r="T135" i="2"/>
  <c r="V133" i="2"/>
  <c r="Y128" i="2"/>
  <c r="X123" i="2"/>
  <c r="S116" i="2"/>
  <c r="L115" i="2"/>
  <c r="Z107" i="2"/>
  <c r="Q102" i="2"/>
  <c r="F102" i="2"/>
  <c r="R102" i="2"/>
  <c r="AD102" i="2"/>
  <c r="I102" i="2"/>
  <c r="U102" i="2"/>
  <c r="N102" i="2"/>
  <c r="O102" i="2"/>
  <c r="P102" i="2"/>
  <c r="S102" i="2"/>
  <c r="V102" i="2"/>
  <c r="G102" i="2"/>
  <c r="W102" i="2"/>
  <c r="H102" i="2"/>
  <c r="X102" i="2"/>
  <c r="J102" i="2"/>
  <c r="Y102" i="2"/>
  <c r="K102" i="2"/>
  <c r="Z102" i="2"/>
  <c r="L102" i="2"/>
  <c r="AA102" i="2"/>
  <c r="X107" i="2"/>
  <c r="O115" i="2"/>
  <c r="AA115" i="2"/>
  <c r="F115" i="2"/>
  <c r="R115" i="2"/>
  <c r="AD115" i="2"/>
  <c r="M115" i="2"/>
  <c r="AB115" i="2"/>
  <c r="N115" i="2"/>
  <c r="T115" i="2"/>
  <c r="G115" i="2"/>
  <c r="U115" i="2"/>
  <c r="H115" i="2"/>
  <c r="V115" i="2"/>
  <c r="I115" i="2"/>
  <c r="W115" i="2"/>
  <c r="K115" i="2"/>
  <c r="Y115" i="2"/>
  <c r="Q107" i="2"/>
  <c r="T108" i="2"/>
  <c r="P107" i="2"/>
  <c r="I69" i="2"/>
  <c r="U69" i="2"/>
  <c r="L69" i="2"/>
  <c r="Y69" i="2"/>
  <c r="M69" i="2"/>
  <c r="Z69" i="2"/>
  <c r="N69" i="2"/>
  <c r="AA69" i="2"/>
  <c r="R69" i="2"/>
  <c r="G69" i="2"/>
  <c r="AB69" i="2"/>
  <c r="Q69" i="2"/>
  <c r="S69" i="2"/>
  <c r="W69" i="2"/>
  <c r="F69" i="2"/>
  <c r="H69" i="2"/>
  <c r="J69" i="2"/>
  <c r="K69" i="2"/>
  <c r="O69" i="2"/>
  <c r="P69" i="2"/>
  <c r="T69" i="2"/>
  <c r="V69" i="2"/>
  <c r="X69" i="2"/>
  <c r="AD138" i="2"/>
  <c r="F138" i="2"/>
  <c r="AD134" i="2"/>
  <c r="R134" i="2"/>
  <c r="F134" i="2"/>
  <c r="AD130" i="2"/>
  <c r="R130" i="2"/>
  <c r="F130" i="2"/>
  <c r="U129" i="2"/>
  <c r="I129" i="2"/>
  <c r="AA127" i="2"/>
  <c r="N127" i="2"/>
  <c r="AB126" i="2"/>
  <c r="O126" i="2"/>
  <c r="L124" i="2"/>
  <c r="X124" i="2"/>
  <c r="S121" i="2"/>
  <c r="T120" i="2"/>
  <c r="O119" i="2"/>
  <c r="AA119" i="2"/>
  <c r="F119" i="2"/>
  <c r="R119" i="2"/>
  <c r="AD119" i="2"/>
  <c r="O117" i="2"/>
  <c r="T112" i="2"/>
  <c r="O111" i="2"/>
  <c r="AA111" i="2"/>
  <c r="F111" i="2"/>
  <c r="R111" i="2"/>
  <c r="AD111" i="2"/>
  <c r="P110" i="2"/>
  <c r="O109" i="2"/>
  <c r="T104" i="2"/>
  <c r="K100" i="2"/>
  <c r="W100" i="2"/>
  <c r="L100" i="2"/>
  <c r="X100" i="2"/>
  <c r="O100" i="2"/>
  <c r="AA100" i="2"/>
  <c r="M99" i="2"/>
  <c r="Q96" i="2"/>
  <c r="AB95" i="2"/>
  <c r="K95" i="2"/>
  <c r="J90" i="2"/>
  <c r="M86" i="2"/>
  <c r="Y86" i="2"/>
  <c r="O86" i="2"/>
  <c r="AA86" i="2"/>
  <c r="G86" i="2"/>
  <c r="S86" i="2"/>
  <c r="F86" i="2"/>
  <c r="V86" i="2"/>
  <c r="H86" i="2"/>
  <c r="W86" i="2"/>
  <c r="K86" i="2"/>
  <c r="AB86" i="2"/>
  <c r="U82" i="2"/>
  <c r="L80" i="2"/>
  <c r="P78" i="2"/>
  <c r="Z76" i="2"/>
  <c r="Q73" i="2"/>
  <c r="Q72" i="2"/>
  <c r="AD68" i="2"/>
  <c r="H97" i="2"/>
  <c r="T97" i="2"/>
  <c r="I97" i="2"/>
  <c r="U97" i="2"/>
  <c r="L97" i="2"/>
  <c r="X97" i="2"/>
  <c r="Y95" i="2"/>
  <c r="J95" i="2"/>
  <c r="O84" i="2"/>
  <c r="N78" i="2"/>
  <c r="P73" i="2"/>
  <c r="O72" i="2"/>
  <c r="S129" i="2"/>
  <c r="G129" i="2"/>
  <c r="Y127" i="2"/>
  <c r="L127" i="2"/>
  <c r="Z126" i="2"/>
  <c r="M126" i="2"/>
  <c r="I121" i="2"/>
  <c r="U121" i="2"/>
  <c r="L120" i="2"/>
  <c r="X120" i="2"/>
  <c r="O120" i="2"/>
  <c r="AA117" i="2"/>
  <c r="M117" i="2"/>
  <c r="L112" i="2"/>
  <c r="X112" i="2"/>
  <c r="O112" i="2"/>
  <c r="AA112" i="2"/>
  <c r="AB110" i="2"/>
  <c r="N110" i="2"/>
  <c r="AA109" i="2"/>
  <c r="M109" i="2"/>
  <c r="L104" i="2"/>
  <c r="X104" i="2"/>
  <c r="O104" i="2"/>
  <c r="AA104" i="2"/>
  <c r="AB99" i="2"/>
  <c r="K99" i="2"/>
  <c r="R97" i="2"/>
  <c r="AD96" i="2"/>
  <c r="N96" i="2"/>
  <c r="X95" i="2"/>
  <c r="I95" i="2"/>
  <c r="AB90" i="2"/>
  <c r="H90" i="2"/>
  <c r="P82" i="2"/>
  <c r="J80" i="2"/>
  <c r="J78" i="2"/>
  <c r="W76" i="2"/>
  <c r="L73" i="2"/>
  <c r="N72" i="2"/>
  <c r="V68" i="2"/>
  <c r="W66" i="2"/>
  <c r="AA138" i="2"/>
  <c r="O138" i="2"/>
  <c r="AA134" i="2"/>
  <c r="O134" i="2"/>
  <c r="AA130" i="2"/>
  <c r="O130" i="2"/>
  <c r="AD129" i="2"/>
  <c r="R129" i="2"/>
  <c r="F129" i="2"/>
  <c r="X127" i="2"/>
  <c r="K127" i="2"/>
  <c r="Y126" i="2"/>
  <c r="L126" i="2"/>
  <c r="AA124" i="2"/>
  <c r="N124" i="2"/>
  <c r="P121" i="2"/>
  <c r="AD120" i="2"/>
  <c r="Q120" i="2"/>
  <c r="N119" i="2"/>
  <c r="AA118" i="2"/>
  <c r="Z117" i="2"/>
  <c r="K117" i="2"/>
  <c r="I113" i="2"/>
  <c r="U113" i="2"/>
  <c r="L113" i="2"/>
  <c r="X113" i="2"/>
  <c r="Q112" i="2"/>
  <c r="N111" i="2"/>
  <c r="AA110" i="2"/>
  <c r="M110" i="2"/>
  <c r="Z109" i="2"/>
  <c r="K109" i="2"/>
  <c r="I105" i="2"/>
  <c r="U105" i="2"/>
  <c r="L105" i="2"/>
  <c r="X105" i="2"/>
  <c r="Q104" i="2"/>
  <c r="L103" i="2"/>
  <c r="H101" i="2"/>
  <c r="T101" i="2"/>
  <c r="I101" i="2"/>
  <c r="U101" i="2"/>
  <c r="L101" i="2"/>
  <c r="X101" i="2"/>
  <c r="P100" i="2"/>
  <c r="Y99" i="2"/>
  <c r="J99" i="2"/>
  <c r="Q97" i="2"/>
  <c r="M96" i="2"/>
  <c r="W95" i="2"/>
  <c r="H95" i="2"/>
  <c r="Z90" i="2"/>
  <c r="F90" i="2"/>
  <c r="T86" i="2"/>
  <c r="K84" i="2"/>
  <c r="N82" i="2"/>
  <c r="AB80" i="2"/>
  <c r="H80" i="2"/>
  <c r="I78" i="2"/>
  <c r="V76" i="2"/>
  <c r="G73" i="2"/>
  <c r="M72" i="2"/>
  <c r="U68" i="2"/>
  <c r="S66" i="2"/>
  <c r="Z138" i="2"/>
  <c r="Z134" i="2"/>
  <c r="Z130" i="2"/>
  <c r="Q129" i="2"/>
  <c r="W127" i="2"/>
  <c r="J127" i="2"/>
  <c r="X126" i="2"/>
  <c r="K126" i="2"/>
  <c r="Z124" i="2"/>
  <c r="M124" i="2"/>
  <c r="AB121" i="2"/>
  <c r="O121" i="2"/>
  <c r="P120" i="2"/>
  <c r="AB119" i="2"/>
  <c r="M119" i="2"/>
  <c r="Z118" i="2"/>
  <c r="Y117" i="2"/>
  <c r="F114" i="2"/>
  <c r="R114" i="2"/>
  <c r="AD114" i="2"/>
  <c r="I114" i="2"/>
  <c r="U114" i="2"/>
  <c r="AD112" i="2"/>
  <c r="P112" i="2"/>
  <c r="AB111" i="2"/>
  <c r="M111" i="2"/>
  <c r="Z110" i="2"/>
  <c r="L110" i="2"/>
  <c r="Y109" i="2"/>
  <c r="AD106" i="2"/>
  <c r="I106" i="2"/>
  <c r="AD104" i="2"/>
  <c r="P104" i="2"/>
  <c r="AB103" i="2"/>
  <c r="K103" i="2"/>
  <c r="AD100" i="2"/>
  <c r="N100" i="2"/>
  <c r="X99" i="2"/>
  <c r="I99" i="2"/>
  <c r="Q98" i="2"/>
  <c r="F98" i="2"/>
  <c r="R98" i="2"/>
  <c r="AD98" i="2"/>
  <c r="I98" i="2"/>
  <c r="U98" i="2"/>
  <c r="P97" i="2"/>
  <c r="AB96" i="2"/>
  <c r="J96" i="2"/>
  <c r="V95" i="2"/>
  <c r="G95" i="2"/>
  <c r="R86" i="2"/>
  <c r="L82" i="2"/>
  <c r="AD78" i="2"/>
  <c r="H78" i="2"/>
  <c r="R76" i="2"/>
  <c r="F73" i="2"/>
  <c r="H72" i="2"/>
  <c r="T68" i="2"/>
  <c r="P66" i="2"/>
  <c r="V127" i="2"/>
  <c r="I127" i="2"/>
  <c r="W126" i="2"/>
  <c r="J126" i="2"/>
  <c r="Y110" i="2"/>
  <c r="K110" i="2"/>
  <c r="Y103" i="2"/>
  <c r="J103" i="2"/>
  <c r="W99" i="2"/>
  <c r="AD97" i="2"/>
  <c r="O97" i="2"/>
  <c r="M90" i="2"/>
  <c r="Y90" i="2"/>
  <c r="O90" i="2"/>
  <c r="AA90" i="2"/>
  <c r="G90" i="2"/>
  <c r="S90" i="2"/>
  <c r="L90" i="2"/>
  <c r="N90" i="2"/>
  <c r="AD90" i="2"/>
  <c r="R90" i="2"/>
  <c r="G80" i="2"/>
  <c r="S80" i="2"/>
  <c r="I80" i="2"/>
  <c r="U80" i="2"/>
  <c r="M80" i="2"/>
  <c r="Y80" i="2"/>
  <c r="Q80" i="2"/>
  <c r="R80" i="2"/>
  <c r="F80" i="2"/>
  <c r="W80" i="2"/>
  <c r="Z78" i="2"/>
  <c r="N95" i="2"/>
  <c r="Z95" i="2"/>
  <c r="O95" i="2"/>
  <c r="AA95" i="2"/>
  <c r="F95" i="2"/>
  <c r="R95" i="2"/>
  <c r="AD95" i="2"/>
  <c r="M84" i="2"/>
  <c r="F84" i="2"/>
  <c r="I73" i="2"/>
  <c r="U73" i="2"/>
  <c r="H73" i="2"/>
  <c r="V73" i="2"/>
  <c r="J73" i="2"/>
  <c r="W73" i="2"/>
  <c r="K73" i="2"/>
  <c r="X73" i="2"/>
  <c r="O73" i="2"/>
  <c r="AB73" i="2"/>
  <c r="M73" i="2"/>
  <c r="N73" i="2"/>
  <c r="R73" i="2"/>
  <c r="AB97" i="2"/>
  <c r="M97" i="2"/>
  <c r="S95" i="2"/>
  <c r="M78" i="2"/>
  <c r="Y78" i="2"/>
  <c r="O78" i="2"/>
  <c r="AA78" i="2"/>
  <c r="G78" i="2"/>
  <c r="S78" i="2"/>
  <c r="K78" i="2"/>
  <c r="AB78" i="2"/>
  <c r="L78" i="2"/>
  <c r="Q78" i="2"/>
  <c r="AA73" i="2"/>
  <c r="L72" i="2"/>
  <c r="X72" i="2"/>
  <c r="I72" i="2"/>
  <c r="V72" i="2"/>
  <c r="J72" i="2"/>
  <c r="W72" i="2"/>
  <c r="K72" i="2"/>
  <c r="Y72" i="2"/>
  <c r="P72" i="2"/>
  <c r="S72" i="2"/>
  <c r="T72" i="2"/>
  <c r="F72" i="2"/>
  <c r="AA72" i="2"/>
  <c r="N99" i="2"/>
  <c r="Z99" i="2"/>
  <c r="O99" i="2"/>
  <c r="AA99" i="2"/>
  <c r="F99" i="2"/>
  <c r="R99" i="2"/>
  <c r="AD99" i="2"/>
  <c r="AA97" i="2"/>
  <c r="K97" i="2"/>
  <c r="Q95" i="2"/>
  <c r="V84" i="2"/>
  <c r="V78" i="2"/>
  <c r="Z73" i="2"/>
  <c r="AB72" i="2"/>
  <c r="U138" i="2"/>
  <c r="X129" i="2"/>
  <c r="AD127" i="2"/>
  <c r="R127" i="2"/>
  <c r="I117" i="2"/>
  <c r="U117" i="2"/>
  <c r="L117" i="2"/>
  <c r="X117" i="2"/>
  <c r="I109" i="2"/>
  <c r="U109" i="2"/>
  <c r="L109" i="2"/>
  <c r="X109" i="2"/>
  <c r="S99" i="2"/>
  <c r="Z97" i="2"/>
  <c r="J97" i="2"/>
  <c r="P95" i="2"/>
  <c r="Q90" i="2"/>
  <c r="P80" i="2"/>
  <c r="U78" i="2"/>
  <c r="Y73" i="2"/>
  <c r="Z72" i="2"/>
  <c r="F126" i="2"/>
  <c r="R126" i="2"/>
  <c r="AD126" i="2"/>
  <c r="F110" i="2"/>
  <c r="R110" i="2"/>
  <c r="AD110" i="2"/>
  <c r="I110" i="2"/>
  <c r="U110" i="2"/>
  <c r="N103" i="2"/>
  <c r="Z103" i="2"/>
  <c r="O103" i="2"/>
  <c r="AA103" i="2"/>
  <c r="F103" i="2"/>
  <c r="AD103" i="2"/>
  <c r="Q99" i="2"/>
  <c r="Y97" i="2"/>
  <c r="G97" i="2"/>
  <c r="K96" i="2"/>
  <c r="W96" i="2"/>
  <c r="L96" i="2"/>
  <c r="X96" i="2"/>
  <c r="O96" i="2"/>
  <c r="AA96" i="2"/>
  <c r="M95" i="2"/>
  <c r="P90" i="2"/>
  <c r="M82" i="2"/>
  <c r="Y82" i="2"/>
  <c r="O82" i="2"/>
  <c r="AA82" i="2"/>
  <c r="G82" i="2"/>
  <c r="S82" i="2"/>
  <c r="Q82" i="2"/>
  <c r="R82" i="2"/>
  <c r="F82" i="2"/>
  <c r="V82" i="2"/>
  <c r="T78" i="2"/>
  <c r="L76" i="2"/>
  <c r="F76" i="2"/>
  <c r="S76" i="2"/>
  <c r="G76" i="2"/>
  <c r="T76" i="2"/>
  <c r="H76" i="2"/>
  <c r="U76" i="2"/>
  <c r="M76" i="2"/>
  <c r="Y76" i="2"/>
  <c r="J76" i="2"/>
  <c r="AB76" i="2"/>
  <c r="K76" i="2"/>
  <c r="P76" i="2"/>
  <c r="T73" i="2"/>
  <c r="U72" i="2"/>
  <c r="L68" i="2"/>
  <c r="X68" i="2"/>
  <c r="M68" i="2"/>
  <c r="Z68" i="2"/>
  <c r="N68" i="2"/>
  <c r="AA68" i="2"/>
  <c r="O68" i="2"/>
  <c r="AB68" i="2"/>
  <c r="F68" i="2"/>
  <c r="S68" i="2"/>
  <c r="Q68" i="2"/>
  <c r="G68" i="2"/>
  <c r="Y68" i="2"/>
  <c r="H68" i="2"/>
  <c r="K68" i="2"/>
  <c r="F66" i="2"/>
  <c r="R66" i="2"/>
  <c r="AD66" i="2"/>
  <c r="I66" i="2"/>
  <c r="U66" i="2"/>
  <c r="K66" i="2"/>
  <c r="Y66" i="2"/>
  <c r="L66" i="2"/>
  <c r="Z66" i="2"/>
  <c r="M66" i="2"/>
  <c r="AA66" i="2"/>
  <c r="Q66" i="2"/>
  <c r="H66" i="2"/>
  <c r="T66" i="2"/>
  <c r="V66" i="2"/>
  <c r="AB66" i="2"/>
  <c r="I48" i="2"/>
  <c r="U48" i="2"/>
  <c r="K48" i="2"/>
  <c r="W48" i="2"/>
  <c r="P48" i="2"/>
  <c r="AD48" i="2"/>
  <c r="Q48" i="2"/>
  <c r="F48" i="2"/>
  <c r="T48" i="2"/>
  <c r="Y48" i="2"/>
  <c r="G48" i="2"/>
  <c r="Z48" i="2"/>
  <c r="H48" i="2"/>
  <c r="AA48" i="2"/>
  <c r="J48" i="2"/>
  <c r="AB48" i="2"/>
  <c r="L48" i="2"/>
  <c r="M48" i="2"/>
  <c r="N48" i="2"/>
  <c r="O48" i="2"/>
  <c r="R48" i="2"/>
  <c r="S48" i="2"/>
  <c r="V48" i="2"/>
  <c r="X48" i="2"/>
  <c r="U94" i="2"/>
  <c r="H94" i="2"/>
  <c r="O75" i="2"/>
  <c r="AA75" i="2"/>
  <c r="G75" i="2"/>
  <c r="T75" i="2"/>
  <c r="H75" i="2"/>
  <c r="U75" i="2"/>
  <c r="I75" i="2"/>
  <c r="V75" i="2"/>
  <c r="M75" i="2"/>
  <c r="Z75" i="2"/>
  <c r="U67" i="2"/>
  <c r="Q63" i="2"/>
  <c r="L34" i="2"/>
  <c r="M34" i="2"/>
  <c r="X34" i="2"/>
  <c r="Y34" i="2"/>
  <c r="N34" i="2"/>
  <c r="O34" i="2"/>
  <c r="Z34" i="2"/>
  <c r="AA34" i="2"/>
  <c r="P34" i="2"/>
  <c r="Q34" i="2"/>
  <c r="H34" i="2"/>
  <c r="I34" i="2"/>
  <c r="J34" i="2"/>
  <c r="W34" i="2"/>
  <c r="F34" i="2"/>
  <c r="G34" i="2"/>
  <c r="K34" i="2"/>
  <c r="R34" i="2"/>
  <c r="S34" i="2"/>
  <c r="T34" i="2"/>
  <c r="U34" i="2"/>
  <c r="AB34" i="2"/>
  <c r="AD34" i="2"/>
  <c r="AD94" i="2"/>
  <c r="R94" i="2"/>
  <c r="G92" i="2"/>
  <c r="S92" i="2"/>
  <c r="I92" i="2"/>
  <c r="U92" i="2"/>
  <c r="R75" i="2"/>
  <c r="P67" i="2"/>
  <c r="Q75" i="2"/>
  <c r="F74" i="2"/>
  <c r="R74" i="2"/>
  <c r="AD74" i="2"/>
  <c r="H74" i="2"/>
  <c r="U74" i="2"/>
  <c r="I74" i="2"/>
  <c r="V74" i="2"/>
  <c r="J74" i="2"/>
  <c r="W74" i="2"/>
  <c r="N74" i="2"/>
  <c r="AA74" i="2"/>
  <c r="O58" i="2"/>
  <c r="AA58" i="2"/>
  <c r="K58" i="2"/>
  <c r="X58" i="2"/>
  <c r="L58" i="2"/>
  <c r="Y58" i="2"/>
  <c r="P58" i="2"/>
  <c r="U58" i="2"/>
  <c r="F58" i="2"/>
  <c r="V58" i="2"/>
  <c r="G58" i="2"/>
  <c r="W58" i="2"/>
  <c r="H58" i="2"/>
  <c r="I58" i="2"/>
  <c r="AB58" i="2"/>
  <c r="J58" i="2"/>
  <c r="AD58" i="2"/>
  <c r="M58" i="2"/>
  <c r="N58" i="2"/>
  <c r="Q58" i="2"/>
  <c r="R58" i="2"/>
  <c r="S58" i="2"/>
  <c r="AC37" i="2"/>
  <c r="O63" i="2"/>
  <c r="AA63" i="2"/>
  <c r="F63" i="2"/>
  <c r="R63" i="2"/>
  <c r="AD63" i="2"/>
  <c r="N63" i="2"/>
  <c r="P63" i="2"/>
  <c r="T63" i="2"/>
  <c r="G63" i="2"/>
  <c r="U63" i="2"/>
  <c r="H63" i="2"/>
  <c r="V63" i="2"/>
  <c r="K63" i="2"/>
  <c r="L63" i="2"/>
  <c r="Z63" i="2"/>
  <c r="F40" i="2"/>
  <c r="G40" i="2"/>
  <c r="R40" i="2"/>
  <c r="S40" i="2"/>
  <c r="H40" i="2"/>
  <c r="I40" i="2"/>
  <c r="T40" i="2"/>
  <c r="U40" i="2"/>
  <c r="J40" i="2"/>
  <c r="K40" i="2"/>
  <c r="V40" i="2"/>
  <c r="W40" i="2"/>
  <c r="P40" i="2"/>
  <c r="Q40" i="2"/>
  <c r="X40" i="2"/>
  <c r="AA40" i="2"/>
  <c r="L40" i="2"/>
  <c r="M40" i="2"/>
  <c r="N40" i="2"/>
  <c r="O40" i="2"/>
  <c r="Y40" i="2"/>
  <c r="AB40" i="2"/>
  <c r="AD40" i="2"/>
  <c r="J31" i="2"/>
  <c r="L31" i="2"/>
  <c r="X31" i="2"/>
  <c r="N31" i="2"/>
  <c r="Z31" i="2"/>
  <c r="P31" i="2"/>
  <c r="Q31" i="2"/>
  <c r="T31" i="2"/>
  <c r="Y31" i="2"/>
  <c r="F31" i="2"/>
  <c r="AA31" i="2"/>
  <c r="G31" i="2"/>
  <c r="H31" i="2"/>
  <c r="I31" i="2"/>
  <c r="K31" i="2"/>
  <c r="M31" i="2"/>
  <c r="O31" i="2"/>
  <c r="R31" i="2"/>
  <c r="S31" i="2"/>
  <c r="U31" i="2"/>
  <c r="AB31" i="2"/>
  <c r="AD31" i="2"/>
  <c r="O67" i="2"/>
  <c r="AA67" i="2"/>
  <c r="F67" i="2"/>
  <c r="R67" i="2"/>
  <c r="L67" i="2"/>
  <c r="Z67" i="2"/>
  <c r="M67" i="2"/>
  <c r="AB67" i="2"/>
  <c r="N67" i="2"/>
  <c r="T67" i="2"/>
  <c r="W63" i="2"/>
  <c r="O71" i="2"/>
  <c r="AA71" i="2"/>
  <c r="F70" i="2"/>
  <c r="R70" i="2"/>
  <c r="AD70" i="2"/>
  <c r="AD65" i="2"/>
  <c r="P65" i="2"/>
  <c r="N64" i="2"/>
  <c r="Y62" i="2"/>
  <c r="K62" i="2"/>
  <c r="W61" i="2"/>
  <c r="F61" i="2"/>
  <c r="Q60" i="2"/>
  <c r="AA59" i="2"/>
  <c r="AB57" i="2"/>
  <c r="J57" i="2"/>
  <c r="X55" i="2"/>
  <c r="AA55" i="2"/>
  <c r="AB55" i="2"/>
  <c r="R55" i="2"/>
  <c r="L54" i="2"/>
  <c r="AD50" i="2"/>
  <c r="M50" i="2"/>
  <c r="AB47" i="2"/>
  <c r="I47" i="2"/>
  <c r="K45" i="2"/>
  <c r="S44" i="2"/>
  <c r="G43" i="2"/>
  <c r="P42" i="2"/>
  <c r="G39" i="2"/>
  <c r="I39" i="2"/>
  <c r="J39" i="2"/>
  <c r="K39" i="2"/>
  <c r="L39" i="2"/>
  <c r="M39" i="2"/>
  <c r="N39" i="2"/>
  <c r="O39" i="2"/>
  <c r="R39" i="2"/>
  <c r="S39" i="2"/>
  <c r="T39" i="2"/>
  <c r="U39" i="2"/>
  <c r="Z39" i="2"/>
  <c r="AA39" i="2"/>
  <c r="AB39" i="2"/>
  <c r="AD54" i="2"/>
  <c r="K54" i="2"/>
  <c r="F53" i="2"/>
  <c r="R53" i="2"/>
  <c r="AD53" i="2"/>
  <c r="O53" i="2"/>
  <c r="AB53" i="2"/>
  <c r="P53" i="2"/>
  <c r="G53" i="2"/>
  <c r="T53" i="2"/>
  <c r="L50" i="2"/>
  <c r="R44" i="2"/>
  <c r="AA43" i="2"/>
  <c r="N42" i="2"/>
  <c r="L30" i="2"/>
  <c r="X30" i="2"/>
  <c r="M30" i="2"/>
  <c r="Y30" i="2"/>
  <c r="N30" i="2"/>
  <c r="O30" i="2"/>
  <c r="Z30" i="2"/>
  <c r="AA30" i="2"/>
  <c r="Q30" i="2"/>
  <c r="H30" i="2"/>
  <c r="I30" i="2"/>
  <c r="G30" i="2"/>
  <c r="J30" i="2"/>
  <c r="K30" i="2"/>
  <c r="R30" i="2"/>
  <c r="S30" i="2"/>
  <c r="T30" i="2"/>
  <c r="U30" i="2"/>
  <c r="AB30" i="2"/>
  <c r="H61" i="2"/>
  <c r="T61" i="2"/>
  <c r="I61" i="2"/>
  <c r="U61" i="2"/>
  <c r="L61" i="2"/>
  <c r="X61" i="2"/>
  <c r="Z54" i="2"/>
  <c r="J54" i="2"/>
  <c r="F24" i="2"/>
  <c r="G24" i="2"/>
  <c r="H24" i="2"/>
  <c r="I24" i="2"/>
  <c r="J24" i="2"/>
  <c r="K24" i="2"/>
  <c r="L24" i="2"/>
  <c r="M24" i="2"/>
  <c r="N24" i="2"/>
  <c r="O24" i="2"/>
  <c r="Q24" i="2"/>
  <c r="R24" i="2"/>
  <c r="S24" i="2"/>
  <c r="T24" i="2"/>
  <c r="U24" i="2"/>
  <c r="V24" i="2"/>
  <c r="W24" i="2"/>
  <c r="X24" i="2"/>
  <c r="Y24" i="2"/>
  <c r="Z24" i="2"/>
  <c r="AA24" i="2"/>
  <c r="AB24" i="2"/>
  <c r="R61" i="2"/>
  <c r="Y54" i="2"/>
  <c r="I54" i="2"/>
  <c r="Z50" i="2"/>
  <c r="J50" i="2"/>
  <c r="X43" i="2"/>
  <c r="N43" i="2"/>
  <c r="Z43" i="2"/>
  <c r="H43" i="2"/>
  <c r="V43" i="2"/>
  <c r="I43" i="2"/>
  <c r="W43" i="2"/>
  <c r="M43" i="2"/>
  <c r="AB43" i="2"/>
  <c r="L42" i="2"/>
  <c r="AD39" i="2"/>
  <c r="H27" i="2"/>
  <c r="I27" i="2"/>
  <c r="T27" i="2"/>
  <c r="U27" i="2"/>
  <c r="X27" i="2"/>
  <c r="N27" i="2"/>
  <c r="Z27" i="2"/>
  <c r="Q27" i="2"/>
  <c r="F27" i="2"/>
  <c r="G27" i="2"/>
  <c r="AA27" i="2"/>
  <c r="O27" i="2"/>
  <c r="R27" i="2"/>
  <c r="S27" i="2"/>
  <c r="Y27" i="2"/>
  <c r="AB27" i="2"/>
  <c r="AD93" i="2"/>
  <c r="R93" i="2"/>
  <c r="X91" i="2"/>
  <c r="L91" i="2"/>
  <c r="X87" i="2"/>
  <c r="L87" i="2"/>
  <c r="X83" i="2"/>
  <c r="L83" i="2"/>
  <c r="X79" i="2"/>
  <c r="L79" i="2"/>
  <c r="Y71" i="2"/>
  <c r="L71" i="2"/>
  <c r="Z70" i="2"/>
  <c r="M70" i="2"/>
  <c r="Z65" i="2"/>
  <c r="K65" i="2"/>
  <c r="W64" i="2"/>
  <c r="I64" i="2"/>
  <c r="Q61" i="2"/>
  <c r="L60" i="2"/>
  <c r="L59" i="2"/>
  <c r="X59" i="2"/>
  <c r="J59" i="2"/>
  <c r="W59" i="2"/>
  <c r="K59" i="2"/>
  <c r="Y59" i="2"/>
  <c r="O59" i="2"/>
  <c r="AB59" i="2"/>
  <c r="M55" i="2"/>
  <c r="X54" i="2"/>
  <c r="H54" i="2"/>
  <c r="Q53" i="2"/>
  <c r="Y50" i="2"/>
  <c r="H50" i="2"/>
  <c r="N44" i="2"/>
  <c r="T43" i="2"/>
  <c r="AD42" i="2"/>
  <c r="J42" i="2"/>
  <c r="H38" i="2"/>
  <c r="I38" i="2"/>
  <c r="L38" i="2"/>
  <c r="M38" i="2"/>
  <c r="O38" i="2"/>
  <c r="Q38" i="2"/>
  <c r="W38" i="2"/>
  <c r="X38" i="2"/>
  <c r="Y38" i="2"/>
  <c r="AA38" i="2"/>
  <c r="AB38" i="2"/>
  <c r="AD27" i="2"/>
  <c r="Y65" i="2"/>
  <c r="J65" i="2"/>
  <c r="V64" i="2"/>
  <c r="H64" i="2"/>
  <c r="F62" i="2"/>
  <c r="R62" i="2"/>
  <c r="AD62" i="2"/>
  <c r="I62" i="2"/>
  <c r="U62" i="2"/>
  <c r="P61" i="2"/>
  <c r="AB60" i="2"/>
  <c r="H60" i="2"/>
  <c r="F57" i="2"/>
  <c r="R57" i="2"/>
  <c r="AD57" i="2"/>
  <c r="L57" i="2"/>
  <c r="Y57" i="2"/>
  <c r="M57" i="2"/>
  <c r="Z57" i="2"/>
  <c r="P57" i="2"/>
  <c r="W54" i="2"/>
  <c r="G54" i="2"/>
  <c r="N53" i="2"/>
  <c r="X50" i="2"/>
  <c r="G50" i="2"/>
  <c r="L47" i="2"/>
  <c r="X47" i="2"/>
  <c r="N47" i="2"/>
  <c r="Z47" i="2"/>
  <c r="O47" i="2"/>
  <c r="P47" i="2"/>
  <c r="AD47" i="2"/>
  <c r="S47" i="2"/>
  <c r="F45" i="2"/>
  <c r="R45" i="2"/>
  <c r="AD45" i="2"/>
  <c r="H45" i="2"/>
  <c r="T45" i="2"/>
  <c r="L45" i="2"/>
  <c r="Z45" i="2"/>
  <c r="M45" i="2"/>
  <c r="AA45" i="2"/>
  <c r="P45" i="2"/>
  <c r="M44" i="2"/>
  <c r="S43" i="2"/>
  <c r="AB42" i="2"/>
  <c r="I42" i="2"/>
  <c r="V91" i="2"/>
  <c r="V87" i="2"/>
  <c r="V83" i="2"/>
  <c r="V79" i="2"/>
  <c r="W71" i="2"/>
  <c r="J71" i="2"/>
  <c r="X70" i="2"/>
  <c r="K70" i="2"/>
  <c r="W65" i="2"/>
  <c r="H65" i="2"/>
  <c r="U64" i="2"/>
  <c r="Q62" i="2"/>
  <c r="AD61" i="2"/>
  <c r="O61" i="2"/>
  <c r="Z60" i="2"/>
  <c r="R59" i="2"/>
  <c r="T57" i="2"/>
  <c r="J55" i="2"/>
  <c r="M53" i="2"/>
  <c r="T47" i="2"/>
  <c r="V45" i="2"/>
  <c r="AD44" i="2"/>
  <c r="H44" i="2"/>
  <c r="R43" i="2"/>
  <c r="Z42" i="2"/>
  <c r="AD38" i="2"/>
  <c r="O54" i="2"/>
  <c r="AA54" i="2"/>
  <c r="N54" i="2"/>
  <c r="AB54" i="2"/>
  <c r="P54" i="2"/>
  <c r="F54" i="2"/>
  <c r="S54" i="2"/>
  <c r="O50" i="2"/>
  <c r="AA50" i="2"/>
  <c r="R50" i="2"/>
  <c r="F50" i="2"/>
  <c r="S50" i="2"/>
  <c r="I50" i="2"/>
  <c r="V50" i="2"/>
  <c r="AD24" i="2"/>
  <c r="O42" i="2"/>
  <c r="AA42" i="2"/>
  <c r="Q42" i="2"/>
  <c r="G42" i="2"/>
  <c r="U42" i="2"/>
  <c r="H42" i="2"/>
  <c r="V42" i="2"/>
  <c r="K42" i="2"/>
  <c r="Y42" i="2"/>
  <c r="L64" i="2"/>
  <c r="X64" i="2"/>
  <c r="O64" i="2"/>
  <c r="AA64" i="2"/>
  <c r="AA61" i="2"/>
  <c r="K61" i="2"/>
  <c r="I60" i="2"/>
  <c r="U60" i="2"/>
  <c r="J60" i="2"/>
  <c r="W60" i="2"/>
  <c r="K60" i="2"/>
  <c r="X60" i="2"/>
  <c r="N60" i="2"/>
  <c r="AA60" i="2"/>
  <c r="R54" i="2"/>
  <c r="Z53" i="2"/>
  <c r="J53" i="2"/>
  <c r="Q50" i="2"/>
  <c r="O43" i="2"/>
  <c r="T42" i="2"/>
  <c r="I65" i="2"/>
  <c r="U65" i="2"/>
  <c r="L65" i="2"/>
  <c r="X65" i="2"/>
  <c r="Z61" i="2"/>
  <c r="J61" i="2"/>
  <c r="Q54" i="2"/>
  <c r="P50" i="2"/>
  <c r="I44" i="2"/>
  <c r="U44" i="2"/>
  <c r="K44" i="2"/>
  <c r="W44" i="2"/>
  <c r="J44" i="2"/>
  <c r="Y44" i="2"/>
  <c r="L44" i="2"/>
  <c r="Z44" i="2"/>
  <c r="O44" i="2"/>
  <c r="K43" i="2"/>
  <c r="S42" i="2"/>
  <c r="I56" i="2"/>
  <c r="U56" i="2"/>
  <c r="U51" i="2"/>
  <c r="H51" i="2"/>
  <c r="O46" i="2"/>
  <c r="AA46" i="2"/>
  <c r="Q46" i="2"/>
  <c r="AD28" i="2"/>
  <c r="AA56" i="2"/>
  <c r="N56" i="2"/>
  <c r="I52" i="2"/>
  <c r="U52" i="2"/>
  <c r="F49" i="2"/>
  <c r="R49" i="2"/>
  <c r="AD49" i="2"/>
  <c r="H49" i="2"/>
  <c r="T49" i="2"/>
  <c r="AB46" i="2"/>
  <c r="M46" i="2"/>
  <c r="L51" i="2"/>
  <c r="X51" i="2"/>
  <c r="Z46" i="2"/>
  <c r="L46" i="2"/>
  <c r="AD35" i="2"/>
  <c r="AC35" i="2"/>
  <c r="AC25" i="2"/>
  <c r="T41" i="2"/>
  <c r="H41" i="2"/>
  <c r="AD41" i="2"/>
  <c r="R41" i="2"/>
  <c r="AD37" i="2"/>
  <c r="AD33" i="2"/>
  <c r="AD29" i="2"/>
  <c r="AD25" i="2"/>
  <c r="AD22" i="2"/>
  <c r="AC36" i="2"/>
  <c r="Q273" i="2"/>
  <c r="S273" i="2"/>
  <c r="T273" i="2"/>
  <c r="H273" i="2"/>
  <c r="X273" i="2"/>
  <c r="J273" i="2"/>
  <c r="Y273" i="2"/>
  <c r="K273" i="2"/>
  <c r="Z273" i="2"/>
  <c r="L273" i="2"/>
  <c r="AA273" i="2"/>
  <c r="M273" i="2"/>
  <c r="AB273" i="2"/>
  <c r="O273" i="2"/>
  <c r="P273" i="2"/>
  <c r="G273" i="2"/>
  <c r="N273" i="2"/>
  <c r="V273" i="2"/>
  <c r="W273" i="2"/>
  <c r="G300" i="2"/>
  <c r="F300" i="2"/>
  <c r="J300" i="2"/>
  <c r="M300" i="2"/>
  <c r="N300" i="2"/>
  <c r="P300" i="2"/>
  <c r="S300" i="2"/>
  <c r="V300" i="2"/>
  <c r="W300" i="2"/>
  <c r="Z300" i="2"/>
  <c r="AB300" i="2"/>
  <c r="X75" i="2"/>
  <c r="F75" i="2"/>
  <c r="K75" i="2"/>
  <c r="L75" i="2"/>
  <c r="N75" i="2"/>
  <c r="P75" i="2"/>
  <c r="S75" i="2"/>
  <c r="J75" i="2"/>
  <c r="Y75" i="2"/>
  <c r="AB75" i="2"/>
  <c r="W75" i="2"/>
  <c r="AD75" i="2"/>
  <c r="F147" i="2"/>
  <c r="Y147" i="2"/>
  <c r="Z147" i="2"/>
  <c r="N147" i="2"/>
  <c r="Q147" i="2"/>
  <c r="F41" i="2"/>
  <c r="M41" i="2"/>
  <c r="AA41" i="2"/>
  <c r="N41" i="2"/>
  <c r="AB41" i="2"/>
  <c r="P41" i="2"/>
  <c r="Q41" i="2"/>
  <c r="U41" i="2"/>
  <c r="G41" i="2"/>
  <c r="V41" i="2"/>
  <c r="I41" i="2"/>
  <c r="W41" i="2"/>
  <c r="J41" i="2"/>
  <c r="X41" i="2"/>
  <c r="K41" i="2"/>
  <c r="Y41" i="2"/>
  <c r="L41" i="2"/>
  <c r="O41" i="2"/>
  <c r="S41" i="2"/>
  <c r="Z41" i="2"/>
  <c r="V191" i="2"/>
  <c r="J191" i="2"/>
  <c r="L191" i="2"/>
  <c r="T191" i="2"/>
  <c r="W191" i="2"/>
  <c r="X191" i="2"/>
  <c r="Y191" i="2"/>
  <c r="AA191" i="2"/>
  <c r="G191" i="2"/>
  <c r="H191" i="2"/>
  <c r="O191" i="2"/>
  <c r="P191" i="2"/>
  <c r="N55" i="2"/>
  <c r="U84" i="2"/>
  <c r="N138" i="2"/>
  <c r="S128" i="2"/>
  <c r="T145" i="2"/>
  <c r="T156" i="2"/>
  <c r="AB148" i="2"/>
  <c r="G156" i="2"/>
  <c r="AA165" i="2"/>
  <c r="U165" i="2"/>
  <c r="V165" i="2"/>
  <c r="Z191" i="2"/>
  <c r="W225" i="2"/>
  <c r="M213" i="2"/>
  <c r="W213" i="2"/>
  <c r="AA203" i="2"/>
  <c r="R203" i="2"/>
  <c r="H235" i="2"/>
  <c r="AD212" i="2"/>
  <c r="Y189" i="2"/>
  <c r="K189" i="2"/>
  <c r="N223" i="2"/>
  <c r="AD270" i="2"/>
  <c r="Z259" i="2"/>
  <c r="T259" i="2"/>
  <c r="O300" i="2"/>
  <c r="Y300" i="2"/>
  <c r="V199" i="2"/>
  <c r="G199" i="2"/>
  <c r="W199" i="2"/>
  <c r="K199" i="2"/>
  <c r="Z199" i="2"/>
  <c r="L199" i="2"/>
  <c r="AA199" i="2"/>
  <c r="M199" i="2"/>
  <c r="AB199" i="2"/>
  <c r="N199" i="2"/>
  <c r="O199" i="2"/>
  <c r="S199" i="2"/>
  <c r="T199" i="2"/>
  <c r="P199" i="2"/>
  <c r="X199" i="2"/>
  <c r="Y199" i="2"/>
  <c r="J199" i="2"/>
  <c r="H199" i="2"/>
  <c r="M211" i="2"/>
  <c r="N211" i="2"/>
  <c r="T211" i="2"/>
  <c r="AB211" i="2"/>
  <c r="G211" i="2"/>
  <c r="W211" i="2"/>
  <c r="Y211" i="2"/>
  <c r="J211" i="2"/>
  <c r="Y295" i="2"/>
  <c r="AB295" i="2"/>
  <c r="AD295" i="2"/>
  <c r="F295" i="2"/>
  <c r="G295" i="2"/>
  <c r="H295" i="2"/>
  <c r="M295" i="2"/>
  <c r="P295" i="2"/>
  <c r="R295" i="2"/>
  <c r="U295" i="2"/>
  <c r="Z295" i="2"/>
  <c r="T295" i="2"/>
  <c r="P56" i="2"/>
  <c r="F56" i="2"/>
  <c r="T56" i="2"/>
  <c r="H56" i="2"/>
  <c r="W56" i="2"/>
  <c r="J56" i="2"/>
  <c r="X56" i="2"/>
  <c r="K56" i="2"/>
  <c r="Y56" i="2"/>
  <c r="L56" i="2"/>
  <c r="Z56" i="2"/>
  <c r="M56" i="2"/>
  <c r="AB56" i="2"/>
  <c r="S56" i="2"/>
  <c r="V56" i="2"/>
  <c r="G56" i="2"/>
  <c r="O56" i="2"/>
  <c r="Q56" i="2"/>
  <c r="R56" i="2"/>
  <c r="AD56" i="2"/>
  <c r="O92" i="2"/>
  <c r="AD92" i="2"/>
  <c r="T92" i="2"/>
  <c r="H92" i="2"/>
  <c r="W92" i="2"/>
  <c r="J92" i="2"/>
  <c r="X92" i="2"/>
  <c r="K92" i="2"/>
  <c r="Y92" i="2"/>
  <c r="L92" i="2"/>
  <c r="Z92" i="2"/>
  <c r="M92" i="2"/>
  <c r="AA92" i="2"/>
  <c r="F92" i="2"/>
  <c r="N92" i="2"/>
  <c r="Q92" i="2"/>
  <c r="R92" i="2"/>
  <c r="V92" i="2"/>
  <c r="AB92" i="2"/>
  <c r="P92" i="2"/>
  <c r="R176" i="2"/>
  <c r="T176" i="2"/>
  <c r="W176" i="2"/>
  <c r="AB176" i="2"/>
  <c r="F176" i="2"/>
  <c r="I176" i="2"/>
  <c r="O176" i="2"/>
  <c r="Q176" i="2"/>
  <c r="V176" i="2"/>
  <c r="N176" i="2"/>
  <c r="U176" i="2"/>
  <c r="U200" i="2"/>
  <c r="T200" i="2"/>
  <c r="V200" i="2"/>
  <c r="J200" i="2"/>
  <c r="Q200" i="2"/>
  <c r="G200" i="2"/>
  <c r="Y200" i="2"/>
  <c r="K202" i="2"/>
  <c r="AC202" i="2"/>
  <c r="P202" i="2"/>
  <c r="O238" i="2"/>
  <c r="S238" i="2"/>
  <c r="Y238" i="2"/>
  <c r="Z238" i="2"/>
  <c r="F238" i="2"/>
  <c r="AA238" i="2"/>
  <c r="G238" i="2"/>
  <c r="AB238" i="2"/>
  <c r="H238" i="2"/>
  <c r="AD238" i="2"/>
  <c r="M238" i="2"/>
  <c r="N238" i="2"/>
  <c r="L238" i="2"/>
  <c r="V238" i="2"/>
  <c r="T238" i="2"/>
  <c r="X45" i="2"/>
  <c r="W45" i="2"/>
  <c r="Y45" i="2"/>
  <c r="G45" i="2"/>
  <c r="J45" i="2"/>
  <c r="N45" i="2"/>
  <c r="O45" i="2"/>
  <c r="Q45" i="2"/>
  <c r="S45" i="2"/>
  <c r="I45" i="2"/>
  <c r="U45" i="2"/>
  <c r="AB45" i="2"/>
  <c r="G105" i="2"/>
  <c r="V105" i="2"/>
  <c r="M105" i="2"/>
  <c r="AA105" i="2"/>
  <c r="O105" i="2"/>
  <c r="AD105" i="2"/>
  <c r="P105" i="2"/>
  <c r="Q105" i="2"/>
  <c r="R105" i="2"/>
  <c r="S105" i="2"/>
  <c r="F105" i="2"/>
  <c r="J105" i="2"/>
  <c r="K105" i="2"/>
  <c r="T105" i="2"/>
  <c r="W105" i="2"/>
  <c r="Y105" i="2"/>
  <c r="Z105" i="2"/>
  <c r="AB105" i="2"/>
  <c r="N105" i="2"/>
  <c r="H105" i="2"/>
  <c r="AB141" i="2"/>
  <c r="Y141" i="2"/>
  <c r="AA141" i="2"/>
  <c r="H141" i="2"/>
  <c r="K141" i="2"/>
  <c r="N141" i="2"/>
  <c r="P141" i="2"/>
  <c r="S141" i="2"/>
  <c r="T141" i="2"/>
  <c r="V141" i="2"/>
  <c r="W141" i="2"/>
  <c r="M141" i="2"/>
  <c r="K297" i="2"/>
  <c r="N297" i="2"/>
  <c r="O297" i="2"/>
  <c r="P297" i="2"/>
  <c r="S297" i="2"/>
  <c r="T297" i="2"/>
  <c r="V297" i="2"/>
  <c r="X297" i="2"/>
  <c r="G297" i="2"/>
  <c r="Y297" i="2"/>
  <c r="H297" i="2"/>
  <c r="Z297" i="2"/>
  <c r="L297" i="2"/>
  <c r="AB297" i="2"/>
  <c r="M297" i="2"/>
  <c r="J297" i="2"/>
  <c r="AA297" i="2"/>
  <c r="H155" i="2"/>
  <c r="AD155" i="2"/>
  <c r="F155" i="2"/>
  <c r="P155" i="2"/>
  <c r="Q155" i="2"/>
  <c r="T155" i="2"/>
  <c r="V155" i="2"/>
  <c r="Y155" i="2"/>
  <c r="G155" i="2"/>
  <c r="AB155" i="2"/>
  <c r="V167" i="2"/>
  <c r="S167" i="2"/>
  <c r="T167" i="2"/>
  <c r="F167" i="2"/>
  <c r="Y167" i="2"/>
  <c r="H167" i="2"/>
  <c r="Z167" i="2"/>
  <c r="J167" i="2"/>
  <c r="AD167" i="2"/>
  <c r="M167" i="2"/>
  <c r="P167" i="2"/>
  <c r="Q167" i="2"/>
  <c r="K167" i="2"/>
  <c r="R167" i="2"/>
  <c r="I167" i="2"/>
  <c r="W167" i="2"/>
  <c r="AB167" i="2"/>
  <c r="J179" i="2"/>
  <c r="I179" i="2"/>
  <c r="W179" i="2"/>
  <c r="K179" i="2"/>
  <c r="X179" i="2"/>
  <c r="N179" i="2"/>
  <c r="AA179" i="2"/>
  <c r="O179" i="2"/>
  <c r="AB179" i="2"/>
  <c r="P179" i="2"/>
  <c r="AD179" i="2"/>
  <c r="Q179" i="2"/>
  <c r="R179" i="2"/>
  <c r="G179" i="2"/>
  <c r="T179" i="2"/>
  <c r="H179" i="2"/>
  <c r="U179" i="2"/>
  <c r="F179" i="2"/>
  <c r="S179" i="2"/>
  <c r="Y179" i="2"/>
  <c r="Z179" i="2"/>
  <c r="L179" i="2"/>
  <c r="M179" i="2"/>
  <c r="AB144" i="2"/>
  <c r="K144" i="2"/>
  <c r="P144" i="2"/>
  <c r="Q144" i="2"/>
  <c r="S144" i="2"/>
  <c r="V144" i="2"/>
  <c r="Y144" i="2"/>
  <c r="AA144" i="2"/>
  <c r="M144" i="2"/>
  <c r="R144" i="2"/>
  <c r="K133" i="2"/>
  <c r="P133" i="2"/>
  <c r="T133" i="2"/>
  <c r="Y133" i="2"/>
  <c r="Z133" i="2"/>
  <c r="AB133" i="2"/>
  <c r="H133" i="2"/>
  <c r="J133" i="2"/>
  <c r="M133" i="2"/>
  <c r="N133" i="2"/>
  <c r="O133" i="2"/>
  <c r="W133" i="2"/>
  <c r="AA133" i="2"/>
  <c r="N279" i="2"/>
  <c r="R279" i="2"/>
  <c r="Y279" i="2"/>
  <c r="Z279" i="2"/>
  <c r="AB279" i="2"/>
  <c r="F279" i="2"/>
  <c r="AD279" i="2"/>
  <c r="M279" i="2"/>
  <c r="Q76" i="2"/>
  <c r="I76" i="2"/>
  <c r="N76" i="2"/>
  <c r="O76" i="2"/>
  <c r="X76" i="2"/>
  <c r="AA76" i="2"/>
  <c r="AD76" i="2"/>
  <c r="T62" i="2"/>
  <c r="N62" i="2"/>
  <c r="V62" i="2"/>
  <c r="X62" i="2"/>
  <c r="G62" i="2"/>
  <c r="Z62" i="2"/>
  <c r="H62" i="2"/>
  <c r="AA62" i="2"/>
  <c r="J62" i="2"/>
  <c r="AB62" i="2"/>
  <c r="L62" i="2"/>
  <c r="M62" i="2"/>
  <c r="O62" i="2"/>
  <c r="P62" i="2"/>
  <c r="S62" i="2"/>
  <c r="W62" i="2"/>
  <c r="G158" i="2"/>
  <c r="K158" i="2"/>
  <c r="N158" i="2"/>
  <c r="U158" i="2"/>
  <c r="V158" i="2"/>
  <c r="F78" i="2"/>
  <c r="R78" i="2"/>
  <c r="X78" i="2"/>
  <c r="W78" i="2"/>
  <c r="AC78" i="2"/>
  <c r="G145" i="2"/>
  <c r="H145" i="2"/>
  <c r="N145" i="2"/>
  <c r="P145" i="2"/>
  <c r="X145" i="2"/>
  <c r="O145" i="2"/>
  <c r="Y145" i="2"/>
  <c r="AB156" i="2"/>
  <c r="N191" i="2"/>
  <c r="N235" i="2"/>
  <c r="I285" i="2"/>
  <c r="AD300" i="2"/>
  <c r="AB224" i="2"/>
  <c r="G224" i="2"/>
  <c r="K224" i="2"/>
  <c r="Y224" i="2"/>
  <c r="Z224" i="2"/>
  <c r="T248" i="2"/>
  <c r="O248" i="2"/>
  <c r="P248" i="2"/>
  <c r="U248" i="2"/>
  <c r="V248" i="2"/>
  <c r="F248" i="2"/>
  <c r="X248" i="2"/>
  <c r="H248" i="2"/>
  <c r="Z248" i="2"/>
  <c r="J248" i="2"/>
  <c r="AA248" i="2"/>
  <c r="L248" i="2"/>
  <c r="AD248" i="2"/>
  <c r="N248" i="2"/>
  <c r="K248" i="2"/>
  <c r="Q248" i="2"/>
  <c r="R248" i="2"/>
  <c r="AB248" i="2"/>
  <c r="V47" i="2"/>
  <c r="F47" i="2"/>
  <c r="G47" i="2"/>
  <c r="J47" i="2"/>
  <c r="K47" i="2"/>
  <c r="Q47" i="2"/>
  <c r="R47" i="2"/>
  <c r="U47" i="2"/>
  <c r="W47" i="2"/>
  <c r="Y47" i="2"/>
  <c r="M47" i="2"/>
  <c r="AA47" i="2"/>
  <c r="H47" i="2"/>
  <c r="J107" i="2"/>
  <c r="S107" i="2"/>
  <c r="AC107" i="2"/>
  <c r="L107" i="2"/>
  <c r="R108" i="2"/>
  <c r="S108" i="2"/>
  <c r="F108" i="2"/>
  <c r="K108" i="2"/>
  <c r="N108" i="2"/>
  <c r="Z108" i="2"/>
  <c r="P49" i="2"/>
  <c r="Q49" i="2"/>
  <c r="U49" i="2"/>
  <c r="G49" i="2"/>
  <c r="V49" i="2"/>
  <c r="J49" i="2"/>
  <c r="X49" i="2"/>
  <c r="K49" i="2"/>
  <c r="Y49" i="2"/>
  <c r="L49" i="2"/>
  <c r="Z49" i="2"/>
  <c r="M49" i="2"/>
  <c r="AA49" i="2"/>
  <c r="N49" i="2"/>
  <c r="AB49" i="2"/>
  <c r="O49" i="2"/>
  <c r="S49" i="2"/>
  <c r="I49" i="2"/>
  <c r="W49" i="2"/>
  <c r="V97" i="2"/>
  <c r="F97" i="2"/>
  <c r="S97" i="2"/>
  <c r="W97" i="2"/>
  <c r="N97" i="2"/>
  <c r="L219" i="2"/>
  <c r="N219" i="2"/>
  <c r="S219" i="2"/>
  <c r="Z219" i="2"/>
  <c r="AB219" i="2"/>
  <c r="Q219" i="2"/>
  <c r="X219" i="2"/>
  <c r="P219" i="2"/>
  <c r="J219" i="2"/>
  <c r="V100" i="2"/>
  <c r="I100" i="2"/>
  <c r="M100" i="2"/>
  <c r="Q100" i="2"/>
  <c r="R100" i="2"/>
  <c r="S100" i="2"/>
  <c r="T100" i="2"/>
  <c r="Z100" i="2"/>
  <c r="AB100" i="2"/>
  <c r="F100" i="2"/>
  <c r="G100" i="2"/>
  <c r="H100" i="2"/>
  <c r="J100" i="2"/>
  <c r="U100" i="2"/>
  <c r="Y100" i="2"/>
  <c r="S136" i="2"/>
  <c r="W136" i="2"/>
  <c r="Z136" i="2"/>
  <c r="AB136" i="2"/>
  <c r="G136" i="2"/>
  <c r="K136" i="2"/>
  <c r="M136" i="2"/>
  <c r="P136" i="2"/>
  <c r="Q136" i="2"/>
  <c r="F136" i="2"/>
  <c r="R136" i="2"/>
  <c r="AD136" i="2"/>
  <c r="Y136" i="2"/>
  <c r="J174" i="2"/>
  <c r="T174" i="2"/>
  <c r="U174" i="2"/>
  <c r="AB174" i="2"/>
  <c r="F174" i="2"/>
  <c r="H174" i="2"/>
  <c r="I174" i="2"/>
  <c r="N174" i="2"/>
  <c r="Q174" i="2"/>
  <c r="R174" i="2"/>
  <c r="V174" i="2"/>
  <c r="W174" i="2"/>
  <c r="O174" i="2"/>
  <c r="W186" i="2"/>
  <c r="Z186" i="2"/>
  <c r="K186" i="2"/>
  <c r="N186" i="2"/>
  <c r="O186" i="2"/>
  <c r="P186" i="2"/>
  <c r="Q186" i="2"/>
  <c r="S186" i="2"/>
  <c r="V186" i="2"/>
  <c r="F186" i="2"/>
  <c r="J186" i="2"/>
  <c r="AA186" i="2"/>
  <c r="AD186" i="2"/>
  <c r="R186" i="2"/>
  <c r="I135" i="2"/>
  <c r="V135" i="2"/>
  <c r="Z135" i="2"/>
  <c r="G135" i="2"/>
  <c r="J135" i="2"/>
  <c r="N135" i="2"/>
  <c r="P135" i="2"/>
  <c r="Q135" i="2"/>
  <c r="S135" i="2"/>
  <c r="U135" i="2"/>
  <c r="AB135" i="2"/>
  <c r="H135" i="2"/>
  <c r="W53" i="2"/>
  <c r="V53" i="2"/>
  <c r="H53" i="2"/>
  <c r="I53" i="2"/>
  <c r="K53" i="2"/>
  <c r="L53" i="2"/>
  <c r="S53" i="2"/>
  <c r="X53" i="2"/>
  <c r="Y53" i="2"/>
  <c r="AA53" i="2"/>
  <c r="U53" i="2"/>
  <c r="F203" i="2"/>
  <c r="R212" i="2"/>
  <c r="V187" i="2"/>
  <c r="J187" i="2"/>
  <c r="M187" i="2"/>
  <c r="T187" i="2"/>
  <c r="AB187" i="2"/>
  <c r="Y187" i="2"/>
  <c r="G236" i="2"/>
  <c r="Z236" i="2"/>
  <c r="AB236" i="2"/>
  <c r="M236" i="2"/>
  <c r="P236" i="2"/>
  <c r="X236" i="2"/>
  <c r="T236" i="2"/>
  <c r="Y236" i="2"/>
  <c r="R103" i="2"/>
  <c r="I118" i="2"/>
  <c r="T84" i="2"/>
  <c r="S84" i="2"/>
  <c r="U106" i="2"/>
  <c r="M103" i="2"/>
  <c r="P84" i="2"/>
  <c r="AA128" i="2"/>
  <c r="Z148" i="2"/>
  <c r="F145" i="2"/>
  <c r="M191" i="2"/>
  <c r="Z165" i="2"/>
  <c r="AD165" i="2"/>
  <c r="U191" i="2"/>
  <c r="AD187" i="2"/>
  <c r="T270" i="2"/>
  <c r="J213" i="2"/>
  <c r="Z203" i="2"/>
  <c r="Q203" i="2"/>
  <c r="R236" i="2"/>
  <c r="L212" i="2"/>
  <c r="F212" i="2"/>
  <c r="Y270" i="2"/>
  <c r="Q213" i="2"/>
  <c r="L236" i="2"/>
  <c r="R273" i="2"/>
  <c r="F285" i="2"/>
  <c r="R189" i="2"/>
  <c r="V189" i="2"/>
  <c r="M223" i="2"/>
  <c r="H224" i="2"/>
  <c r="U285" i="2"/>
  <c r="Y259" i="2"/>
  <c r="AC274" i="2"/>
  <c r="X300" i="2"/>
  <c r="J79" i="2"/>
  <c r="I79" i="2"/>
  <c r="Y79" i="2"/>
  <c r="O79" i="2"/>
  <c r="AD79" i="2"/>
  <c r="Q79" i="2"/>
  <c r="R79" i="2"/>
  <c r="S79" i="2"/>
  <c r="F79" i="2"/>
  <c r="T79" i="2"/>
  <c r="G79" i="2"/>
  <c r="U79" i="2"/>
  <c r="K79" i="2"/>
  <c r="M79" i="2"/>
  <c r="P79" i="2"/>
  <c r="W79" i="2"/>
  <c r="AA79" i="2"/>
  <c r="AB79" i="2"/>
  <c r="N79" i="2"/>
  <c r="Z79" i="2"/>
  <c r="H79" i="2"/>
  <c r="J115" i="2"/>
  <c r="X115" i="2"/>
  <c r="S115" i="2"/>
  <c r="AC115" i="2"/>
  <c r="R68" i="2"/>
  <c r="I68" i="2"/>
  <c r="J68" i="2"/>
  <c r="P68" i="2"/>
  <c r="W68" i="2"/>
  <c r="K116" i="2"/>
  <c r="R116" i="2"/>
  <c r="T116" i="2"/>
  <c r="Z116" i="2"/>
  <c r="F116" i="2"/>
  <c r="N116" i="2"/>
  <c r="T164" i="2"/>
  <c r="M164" i="2"/>
  <c r="N164" i="2"/>
  <c r="F164" i="2"/>
  <c r="Y164" i="2"/>
  <c r="N260" i="2"/>
  <c r="V260" i="2"/>
  <c r="W260" i="2"/>
  <c r="AB260" i="2"/>
  <c r="J260" i="2"/>
  <c r="K260" i="2"/>
  <c r="O260" i="2"/>
  <c r="P260" i="2"/>
  <c r="M260" i="2"/>
  <c r="Y260" i="2"/>
  <c r="AA260" i="2"/>
  <c r="N272" i="2"/>
  <c r="AB272" i="2"/>
  <c r="K272" i="2"/>
  <c r="M272" i="2"/>
  <c r="O272" i="2"/>
  <c r="P272" i="2"/>
  <c r="V272" i="2"/>
  <c r="Y272" i="2"/>
  <c r="AA272" i="2"/>
  <c r="W272" i="2"/>
  <c r="J272" i="2"/>
  <c r="O94" i="2"/>
  <c r="S94" i="2"/>
  <c r="I94" i="2"/>
  <c r="X94" i="2"/>
  <c r="K94" i="2"/>
  <c r="Z94" i="2"/>
  <c r="L94" i="2"/>
  <c r="AA94" i="2"/>
  <c r="M94" i="2"/>
  <c r="AB94" i="2"/>
  <c r="N94" i="2"/>
  <c r="P94" i="2"/>
  <c r="Q94" i="2"/>
  <c r="T94" i="2"/>
  <c r="W94" i="2"/>
  <c r="Y94" i="2"/>
  <c r="F94" i="2"/>
  <c r="G94" i="2"/>
  <c r="J94" i="2"/>
  <c r="V94" i="2"/>
  <c r="H258" i="2"/>
  <c r="S258" i="2"/>
  <c r="AB258" i="2"/>
  <c r="P258" i="2"/>
  <c r="Q258" i="2"/>
  <c r="G258" i="2"/>
  <c r="Z82" i="2"/>
  <c r="W82" i="2"/>
  <c r="H82" i="2"/>
  <c r="I82" i="2"/>
  <c r="J82" i="2"/>
  <c r="K82" i="2"/>
  <c r="T82" i="2"/>
  <c r="X82" i="2"/>
  <c r="AD82" i="2"/>
  <c r="AB82" i="2"/>
  <c r="AB166" i="2"/>
  <c r="H166" i="2"/>
  <c r="J166" i="2"/>
  <c r="Q166" i="2"/>
  <c r="X166" i="2"/>
  <c r="V57" i="2"/>
  <c r="X57" i="2"/>
  <c r="I57" i="2"/>
  <c r="N57" i="2"/>
  <c r="O57" i="2"/>
  <c r="Q57" i="2"/>
  <c r="S57" i="2"/>
  <c r="U57" i="2"/>
  <c r="G57" i="2"/>
  <c r="K57" i="2"/>
  <c r="W57" i="2"/>
  <c r="AA57" i="2"/>
  <c r="H57" i="2"/>
  <c r="J143" i="2"/>
  <c r="F143" i="2"/>
  <c r="H143" i="2"/>
  <c r="P143" i="2"/>
  <c r="U143" i="2"/>
  <c r="V143" i="2"/>
  <c r="Y143" i="2"/>
  <c r="AB143" i="2"/>
  <c r="AD143" i="2"/>
  <c r="G143" i="2"/>
  <c r="Q143" i="2"/>
  <c r="AD73" i="2"/>
  <c r="S73" i="2"/>
  <c r="AC73" i="2"/>
  <c r="N181" i="2"/>
  <c r="Z181" i="2"/>
  <c r="O181" i="2"/>
  <c r="AA181" i="2"/>
  <c r="F181" i="2"/>
  <c r="R181" i="2"/>
  <c r="G181" i="2"/>
  <c r="S181" i="2"/>
  <c r="H181" i="2"/>
  <c r="T181" i="2"/>
  <c r="I181" i="2"/>
  <c r="U181" i="2"/>
  <c r="J181" i="2"/>
  <c r="V181" i="2"/>
  <c r="L181" i="2"/>
  <c r="X181" i="2"/>
  <c r="M181" i="2"/>
  <c r="Y181" i="2"/>
  <c r="P181" i="2"/>
  <c r="Q181" i="2"/>
  <c r="AD181" i="2"/>
  <c r="K181" i="2"/>
  <c r="W181" i="2"/>
  <c r="AB181" i="2"/>
  <c r="H229" i="2"/>
  <c r="M229" i="2"/>
  <c r="N229" i="2"/>
  <c r="T229" i="2"/>
  <c r="V229" i="2"/>
  <c r="AB229" i="2"/>
  <c r="AD229" i="2"/>
  <c r="F229" i="2"/>
  <c r="P229" i="2"/>
  <c r="R229" i="2"/>
  <c r="U229" i="2"/>
  <c r="G229" i="2"/>
  <c r="G253" i="2"/>
  <c r="P253" i="2"/>
  <c r="Q253" i="2"/>
  <c r="F253" i="2"/>
  <c r="U253" i="2"/>
  <c r="H253" i="2"/>
  <c r="W253" i="2"/>
  <c r="I253" i="2"/>
  <c r="X253" i="2"/>
  <c r="K253" i="2"/>
  <c r="Y253" i="2"/>
  <c r="L253" i="2"/>
  <c r="Z253" i="2"/>
  <c r="N253" i="2"/>
  <c r="AB253" i="2"/>
  <c r="O253" i="2"/>
  <c r="AD253" i="2"/>
  <c r="M253" i="2"/>
  <c r="R253" i="2"/>
  <c r="AA253" i="2"/>
  <c r="S253" i="2"/>
  <c r="Q277" i="2"/>
  <c r="P277" i="2"/>
  <c r="S277" i="2"/>
  <c r="G277" i="2"/>
  <c r="W277" i="2"/>
  <c r="H277" i="2"/>
  <c r="X277" i="2"/>
  <c r="J277" i="2"/>
  <c r="Y277" i="2"/>
  <c r="K277" i="2"/>
  <c r="Z277" i="2"/>
  <c r="L277" i="2"/>
  <c r="AA277" i="2"/>
  <c r="N277" i="2"/>
  <c r="O277" i="2"/>
  <c r="M277" i="2"/>
  <c r="T277" i="2"/>
  <c r="V277" i="2"/>
  <c r="AB277" i="2"/>
  <c r="Z74" i="2"/>
  <c r="Y74" i="2"/>
  <c r="L74" i="2"/>
  <c r="O74" i="2"/>
  <c r="P74" i="2"/>
  <c r="Q74" i="2"/>
  <c r="S74" i="2"/>
  <c r="T74" i="2"/>
  <c r="G74" i="2"/>
  <c r="K74" i="2"/>
  <c r="M74" i="2"/>
  <c r="X74" i="2"/>
  <c r="AB74" i="2"/>
  <c r="V98" i="2"/>
  <c r="J98" i="2"/>
  <c r="Z98" i="2"/>
  <c r="N98" i="2"/>
  <c r="P98" i="2"/>
  <c r="S98" i="2"/>
  <c r="T98" i="2"/>
  <c r="W98" i="2"/>
  <c r="G98" i="2"/>
  <c r="X98" i="2"/>
  <c r="AB98" i="2"/>
  <c r="K98" i="2"/>
  <c r="L98" i="2"/>
  <c r="M98" i="2"/>
  <c r="O98" i="2"/>
  <c r="Y98" i="2"/>
  <c r="H98" i="2"/>
  <c r="AA98" i="2"/>
  <c r="T114" i="2"/>
  <c r="Q114" i="2"/>
  <c r="H114" i="2"/>
  <c r="X114" i="2"/>
  <c r="K114" i="2"/>
  <c r="Z114" i="2"/>
  <c r="L114" i="2"/>
  <c r="AA114" i="2"/>
  <c r="M114" i="2"/>
  <c r="AB114" i="2"/>
  <c r="N114" i="2"/>
  <c r="O114" i="2"/>
  <c r="G114" i="2"/>
  <c r="P114" i="2"/>
  <c r="S114" i="2"/>
  <c r="V114" i="2"/>
  <c r="W114" i="2"/>
  <c r="Y114" i="2"/>
  <c r="J114" i="2"/>
  <c r="O222" i="2"/>
  <c r="P222" i="2"/>
  <c r="S222" i="2"/>
  <c r="F222" i="2"/>
  <c r="V222" i="2"/>
  <c r="G222" i="2"/>
  <c r="W222" i="2"/>
  <c r="H222" i="2"/>
  <c r="Y222" i="2"/>
  <c r="M222" i="2"/>
  <c r="AB222" i="2"/>
  <c r="J222" i="2"/>
  <c r="N222" i="2"/>
  <c r="T222" i="2"/>
  <c r="AA222" i="2"/>
  <c r="AD222" i="2"/>
  <c r="Q222" i="2"/>
  <c r="R222" i="2"/>
  <c r="T246" i="2"/>
  <c r="AA246" i="2"/>
  <c r="AD246" i="2"/>
  <c r="I246" i="2"/>
  <c r="J246" i="2"/>
  <c r="L246" i="2"/>
  <c r="O246" i="2"/>
  <c r="P246" i="2"/>
  <c r="W246" i="2"/>
  <c r="X246" i="2"/>
  <c r="R246" i="2"/>
  <c r="F89" i="2"/>
  <c r="I89" i="2"/>
  <c r="U89" i="2"/>
  <c r="M89" i="2"/>
  <c r="Y89" i="2"/>
  <c r="O89" i="2"/>
  <c r="AA89" i="2"/>
  <c r="P89" i="2"/>
  <c r="AB89" i="2"/>
  <c r="Q89" i="2"/>
  <c r="AD89" i="2"/>
  <c r="R89" i="2"/>
  <c r="G89" i="2"/>
  <c r="S89" i="2"/>
  <c r="H89" i="2"/>
  <c r="J89" i="2"/>
  <c r="L89" i="2"/>
  <c r="N89" i="2"/>
  <c r="V89" i="2"/>
  <c r="W89" i="2"/>
  <c r="X89" i="2"/>
  <c r="Z89" i="2"/>
  <c r="T89" i="2"/>
  <c r="K89" i="2"/>
  <c r="J245" i="2"/>
  <c r="O245" i="2"/>
  <c r="AB245" i="2"/>
  <c r="P245" i="2"/>
  <c r="AD245" i="2"/>
  <c r="F245" i="2"/>
  <c r="S245" i="2"/>
  <c r="G245" i="2"/>
  <c r="T245" i="2"/>
  <c r="H245" i="2"/>
  <c r="U245" i="2"/>
  <c r="I245" i="2"/>
  <c r="W245" i="2"/>
  <c r="K245" i="2"/>
  <c r="X245" i="2"/>
  <c r="M245" i="2"/>
  <c r="Z245" i="2"/>
  <c r="N245" i="2"/>
  <c r="AA245" i="2"/>
  <c r="L245" i="2"/>
  <c r="Q245" i="2"/>
  <c r="R245" i="2"/>
  <c r="Y245" i="2"/>
  <c r="J235" i="2"/>
  <c r="P235" i="2"/>
  <c r="Q235" i="2"/>
  <c r="AB235" i="2"/>
  <c r="X235" i="2"/>
  <c r="Z235" i="2"/>
  <c r="AB259" i="2"/>
  <c r="P259" i="2"/>
  <c r="R84" i="2"/>
  <c r="P118" i="2"/>
  <c r="AC22" i="2"/>
  <c r="AD118" i="2"/>
  <c r="O128" i="2"/>
  <c r="W156" i="2"/>
  <c r="J148" i="2"/>
  <c r="Q145" i="2"/>
  <c r="AB191" i="2"/>
  <c r="I191" i="2"/>
  <c r="R187" i="2"/>
  <c r="AB212" i="2"/>
  <c r="L223" i="2"/>
  <c r="K203" i="2"/>
  <c r="T235" i="2"/>
  <c r="Q223" i="2"/>
  <c r="Y212" i="2"/>
  <c r="AA212" i="2"/>
  <c r="N203" i="2"/>
  <c r="X203" i="2"/>
  <c r="AD273" i="2"/>
  <c r="R285" i="2"/>
  <c r="W223" i="2"/>
  <c r="I273" i="2"/>
  <c r="M259" i="2"/>
  <c r="G259" i="2"/>
  <c r="Q300" i="2"/>
  <c r="L300" i="2"/>
  <c r="H163" i="2"/>
  <c r="F163" i="2"/>
  <c r="M163" i="2"/>
  <c r="T163" i="2"/>
  <c r="V163" i="2"/>
  <c r="W163" i="2"/>
  <c r="Q163" i="2"/>
  <c r="J175" i="2"/>
  <c r="L175" i="2"/>
  <c r="Y175" i="2"/>
  <c r="M175" i="2"/>
  <c r="Z175" i="2"/>
  <c r="P175" i="2"/>
  <c r="AD175" i="2"/>
  <c r="Q175" i="2"/>
  <c r="R175" i="2"/>
  <c r="F175" i="2"/>
  <c r="S175" i="2"/>
  <c r="G175" i="2"/>
  <c r="T175" i="2"/>
  <c r="I175" i="2"/>
  <c r="W175" i="2"/>
  <c r="K175" i="2"/>
  <c r="X175" i="2"/>
  <c r="N175" i="2"/>
  <c r="O175" i="2"/>
  <c r="U175" i="2"/>
  <c r="AA175" i="2"/>
  <c r="AB175" i="2"/>
  <c r="H175" i="2"/>
  <c r="M284" i="2"/>
  <c r="O284" i="2"/>
  <c r="P284" i="2"/>
  <c r="V284" i="2"/>
  <c r="W284" i="2"/>
  <c r="AA284" i="2"/>
  <c r="J284" i="2"/>
  <c r="K284" i="2"/>
  <c r="AB284" i="2"/>
  <c r="W296" i="2"/>
  <c r="Y296" i="2"/>
  <c r="AA296" i="2"/>
  <c r="AB296" i="2"/>
  <c r="F296" i="2"/>
  <c r="AD296" i="2"/>
  <c r="J296" i="2"/>
  <c r="K296" i="2"/>
  <c r="O296" i="2"/>
  <c r="P296" i="2"/>
  <c r="R296" i="2"/>
  <c r="V296" i="2"/>
  <c r="Q296" i="2"/>
  <c r="G150" i="2"/>
  <c r="X150" i="2"/>
  <c r="L150" i="2"/>
  <c r="P150" i="2"/>
  <c r="W150" i="2"/>
  <c r="H59" i="2"/>
  <c r="N59" i="2"/>
  <c r="T59" i="2"/>
  <c r="V59" i="2"/>
  <c r="Z59" i="2"/>
  <c r="F59" i="2"/>
  <c r="AD59" i="2"/>
  <c r="G59" i="2"/>
  <c r="I59" i="2"/>
  <c r="M59" i="2"/>
  <c r="Q59" i="2"/>
  <c r="S59" i="2"/>
  <c r="P59" i="2"/>
  <c r="U59" i="2"/>
  <c r="F132" i="2"/>
  <c r="Y132" i="2"/>
  <c r="AC132" i="2"/>
  <c r="Z132" i="2"/>
  <c r="N132" i="2"/>
  <c r="V61" i="2"/>
  <c r="M61" i="2"/>
  <c r="AB61" i="2"/>
  <c r="G61" i="2"/>
  <c r="S61" i="2"/>
  <c r="Y61" i="2"/>
  <c r="N61" i="2"/>
  <c r="F121" i="2"/>
  <c r="K121" i="2"/>
  <c r="AA121" i="2"/>
  <c r="L121" i="2"/>
  <c r="AD121" i="2"/>
  <c r="N121" i="2"/>
  <c r="Q121" i="2"/>
  <c r="T121" i="2"/>
  <c r="V121" i="2"/>
  <c r="W121" i="2"/>
  <c r="G121" i="2"/>
  <c r="X121" i="2"/>
  <c r="H121" i="2"/>
  <c r="Y121" i="2"/>
  <c r="J121" i="2"/>
  <c r="R121" i="2"/>
  <c r="Z121" i="2"/>
  <c r="M121" i="2"/>
  <c r="N256" i="2"/>
  <c r="J256" i="2"/>
  <c r="O256" i="2"/>
  <c r="P256" i="2"/>
  <c r="V256" i="2"/>
  <c r="W256" i="2"/>
  <c r="Y256" i="2"/>
  <c r="AB256" i="2"/>
  <c r="K256" i="2"/>
  <c r="M256" i="2"/>
  <c r="AA256" i="2"/>
  <c r="N134" i="2"/>
  <c r="J134" i="2"/>
  <c r="Y134" i="2"/>
  <c r="K134" i="2"/>
  <c r="AB134" i="2"/>
  <c r="M134" i="2"/>
  <c r="P134" i="2"/>
  <c r="S134" i="2"/>
  <c r="T134" i="2"/>
  <c r="U134" i="2"/>
  <c r="G134" i="2"/>
  <c r="V134" i="2"/>
  <c r="H134" i="2"/>
  <c r="W134" i="2"/>
  <c r="X134" i="2"/>
  <c r="L134" i="2"/>
  <c r="Q134" i="2"/>
  <c r="I134" i="2"/>
  <c r="P282" i="2"/>
  <c r="U282" i="2"/>
  <c r="V282" i="2"/>
  <c r="G282" i="2"/>
  <c r="J282" i="2"/>
  <c r="Q282" i="2"/>
  <c r="I282" i="2"/>
  <c r="J87" i="2"/>
  <c r="H87" i="2"/>
  <c r="W87" i="2"/>
  <c r="N87" i="2"/>
  <c r="AB87" i="2"/>
  <c r="P87" i="2"/>
  <c r="Q87" i="2"/>
  <c r="R87" i="2"/>
  <c r="S87" i="2"/>
  <c r="F87" i="2"/>
  <c r="T87" i="2"/>
  <c r="G87" i="2"/>
  <c r="I87" i="2"/>
  <c r="M87" i="2"/>
  <c r="O87" i="2"/>
  <c r="Y87" i="2"/>
  <c r="Z87" i="2"/>
  <c r="AA87" i="2"/>
  <c r="AD87" i="2"/>
  <c r="K87" i="2"/>
  <c r="U87" i="2"/>
  <c r="AB102" i="2"/>
  <c r="M102" i="2"/>
  <c r="AC102" i="2"/>
  <c r="T102" i="2"/>
  <c r="S65" i="2"/>
  <c r="G65" i="2"/>
  <c r="Q65" i="2"/>
  <c r="T65" i="2"/>
  <c r="V65" i="2"/>
  <c r="AA65" i="2"/>
  <c r="AB65" i="2"/>
  <c r="F65" i="2"/>
  <c r="M65" i="2"/>
  <c r="O65" i="2"/>
  <c r="R65" i="2"/>
  <c r="N65" i="2"/>
  <c r="Q257" i="2"/>
  <c r="V257" i="2"/>
  <c r="G257" i="2"/>
  <c r="W257" i="2"/>
  <c r="K257" i="2"/>
  <c r="Z257" i="2"/>
  <c r="L257" i="2"/>
  <c r="AA257" i="2"/>
  <c r="M257" i="2"/>
  <c r="AB257" i="2"/>
  <c r="N257" i="2"/>
  <c r="O257" i="2"/>
  <c r="S257" i="2"/>
  <c r="T257" i="2"/>
  <c r="X257" i="2"/>
  <c r="Y257" i="2"/>
  <c r="J257" i="2"/>
  <c r="P257" i="2"/>
  <c r="H257" i="2"/>
  <c r="J84" i="2"/>
  <c r="Q84" i="2"/>
  <c r="AA84" i="2"/>
  <c r="I84" i="2"/>
  <c r="G128" i="2"/>
  <c r="L203" i="2"/>
  <c r="R118" i="2"/>
  <c r="F156" i="2"/>
  <c r="AD191" i="2"/>
  <c r="F187" i="2"/>
  <c r="Y203" i="2"/>
  <c r="O235" i="2"/>
  <c r="J212" i="2"/>
  <c r="O212" i="2"/>
  <c r="K212" i="2"/>
  <c r="H223" i="2"/>
  <c r="U273" i="2"/>
  <c r="X259" i="2"/>
  <c r="AD259" i="2"/>
  <c r="U300" i="2"/>
  <c r="U151" i="2"/>
  <c r="Y151" i="2"/>
  <c r="F151" i="2"/>
  <c r="AD151" i="2"/>
  <c r="H151" i="2"/>
  <c r="M151" i="2"/>
  <c r="N151" i="2"/>
  <c r="Q151" i="2"/>
  <c r="R151" i="2"/>
  <c r="S151" i="2"/>
  <c r="J151" i="2"/>
  <c r="T151" i="2"/>
  <c r="AB151" i="2"/>
  <c r="P152" i="2"/>
  <c r="Q152" i="2"/>
  <c r="S152" i="2"/>
  <c r="V152" i="2"/>
  <c r="F152" i="2"/>
  <c r="Y152" i="2"/>
  <c r="G152" i="2"/>
  <c r="Z152" i="2"/>
  <c r="J152" i="2"/>
  <c r="AA152" i="2"/>
  <c r="K152" i="2"/>
  <c r="AD152" i="2"/>
  <c r="N152" i="2"/>
  <c r="O152" i="2"/>
  <c r="W152" i="2"/>
  <c r="R152" i="2"/>
  <c r="N130" i="2"/>
  <c r="H130" i="2"/>
  <c r="W130" i="2"/>
  <c r="I130" i="2"/>
  <c r="X130" i="2"/>
  <c r="K130" i="2"/>
  <c r="AB130" i="2"/>
  <c r="L130" i="2"/>
  <c r="P130" i="2"/>
  <c r="Q130" i="2"/>
  <c r="S130" i="2"/>
  <c r="T130" i="2"/>
  <c r="U130" i="2"/>
  <c r="G130" i="2"/>
  <c r="J130" i="2"/>
  <c r="M130" i="2"/>
  <c r="Y130" i="2"/>
  <c r="V130" i="2"/>
  <c r="F93" i="2"/>
  <c r="P93" i="2"/>
  <c r="H93" i="2"/>
  <c r="U93" i="2"/>
  <c r="J93" i="2"/>
  <c r="W93" i="2"/>
  <c r="K93" i="2"/>
  <c r="X93" i="2"/>
  <c r="L93" i="2"/>
  <c r="Y93" i="2"/>
  <c r="M93" i="2"/>
  <c r="Z93" i="2"/>
  <c r="N93" i="2"/>
  <c r="AA93" i="2"/>
  <c r="G93" i="2"/>
  <c r="I93" i="2"/>
  <c r="Q93" i="2"/>
  <c r="S93" i="2"/>
  <c r="V93" i="2"/>
  <c r="AB93" i="2"/>
  <c r="O93" i="2"/>
  <c r="T93" i="2"/>
  <c r="L129" i="2"/>
  <c r="O129" i="2"/>
  <c r="P129" i="2"/>
  <c r="V129" i="2"/>
  <c r="W129" i="2"/>
  <c r="Z129" i="2"/>
  <c r="H129" i="2"/>
  <c r="AA129" i="2"/>
  <c r="J129" i="2"/>
  <c r="AB129" i="2"/>
  <c r="K129" i="2"/>
  <c r="M129" i="2"/>
  <c r="Y129" i="2"/>
  <c r="N129" i="2"/>
  <c r="T129" i="2"/>
  <c r="O226" i="2"/>
  <c r="AD226" i="2"/>
  <c r="P226" i="2"/>
  <c r="S226" i="2"/>
  <c r="G226" i="2"/>
  <c r="V226" i="2"/>
  <c r="H226" i="2"/>
  <c r="W226" i="2"/>
  <c r="J226" i="2"/>
  <c r="Y226" i="2"/>
  <c r="M226" i="2"/>
  <c r="AA226" i="2"/>
  <c r="Q226" i="2"/>
  <c r="R226" i="2"/>
  <c r="AB226" i="2"/>
  <c r="K226" i="2"/>
  <c r="N226" i="2"/>
  <c r="F226" i="2"/>
  <c r="T226" i="2"/>
  <c r="Z226" i="2"/>
  <c r="H262" i="2"/>
  <c r="P262" i="2"/>
  <c r="Q262" i="2"/>
  <c r="S262" i="2"/>
  <c r="AB262" i="2"/>
  <c r="G262" i="2"/>
  <c r="J298" i="2"/>
  <c r="G298" i="2"/>
  <c r="AC298" i="2"/>
  <c r="AB298" i="2"/>
  <c r="J162" i="2"/>
  <c r="AB162" i="2"/>
  <c r="K162" i="2"/>
  <c r="N162" i="2"/>
  <c r="P162" i="2"/>
  <c r="S162" i="2"/>
  <c r="U162" i="2"/>
  <c r="V162" i="2"/>
  <c r="G162" i="2"/>
  <c r="W162" i="2"/>
  <c r="H162" i="2"/>
  <c r="X162" i="2"/>
  <c r="Y162" i="2"/>
  <c r="M162" i="2"/>
  <c r="Q162" i="2"/>
  <c r="I162" i="2"/>
  <c r="F42" i="2"/>
  <c r="M42" i="2"/>
  <c r="W42" i="2"/>
  <c r="X42" i="2"/>
  <c r="R42" i="2"/>
  <c r="T197" i="2"/>
  <c r="S197" i="2"/>
  <c r="Y197" i="2"/>
  <c r="H197" i="2"/>
  <c r="M197" i="2"/>
  <c r="H209" i="2"/>
  <c r="Y209" i="2"/>
  <c r="I209" i="2"/>
  <c r="Z209" i="2"/>
  <c r="N209" i="2"/>
  <c r="P209" i="2"/>
  <c r="Q209" i="2"/>
  <c r="R209" i="2"/>
  <c r="S209" i="2"/>
  <c r="F209" i="2"/>
  <c r="U209" i="2"/>
  <c r="M209" i="2"/>
  <c r="T209" i="2"/>
  <c r="AD209" i="2"/>
  <c r="G209" i="2"/>
  <c r="J209" i="2"/>
  <c r="V209" i="2"/>
  <c r="AB209" i="2"/>
  <c r="F221" i="2"/>
  <c r="AB221" i="2"/>
  <c r="G221" i="2"/>
  <c r="AC221" i="2"/>
  <c r="I233" i="2"/>
  <c r="J233" i="2"/>
  <c r="M233" i="2"/>
  <c r="R233" i="2"/>
  <c r="T233" i="2"/>
  <c r="U233" i="2"/>
  <c r="V233" i="2"/>
  <c r="G233" i="2"/>
  <c r="AB233" i="2"/>
  <c r="Y233" i="2"/>
  <c r="AD233" i="2"/>
  <c r="F233" i="2"/>
  <c r="H233" i="2"/>
  <c r="P233" i="2"/>
  <c r="S233" i="2"/>
  <c r="N233" i="2"/>
  <c r="Q269" i="2"/>
  <c r="N269" i="2"/>
  <c r="O269" i="2"/>
  <c r="T269" i="2"/>
  <c r="V269" i="2"/>
  <c r="G269" i="2"/>
  <c r="W269" i="2"/>
  <c r="H269" i="2"/>
  <c r="X269" i="2"/>
  <c r="J269" i="2"/>
  <c r="Y269" i="2"/>
  <c r="L269" i="2"/>
  <c r="AA269" i="2"/>
  <c r="M269" i="2"/>
  <c r="AB269" i="2"/>
  <c r="K269" i="2"/>
  <c r="P269" i="2"/>
  <c r="S269" i="2"/>
  <c r="Z269" i="2"/>
  <c r="Q281" i="2"/>
  <c r="G281" i="2"/>
  <c r="W281" i="2"/>
  <c r="H281" i="2"/>
  <c r="X281" i="2"/>
  <c r="L281" i="2"/>
  <c r="AA281" i="2"/>
  <c r="M281" i="2"/>
  <c r="AB281" i="2"/>
  <c r="N281" i="2"/>
  <c r="O281" i="2"/>
  <c r="P281" i="2"/>
  <c r="T281" i="2"/>
  <c r="V281" i="2"/>
  <c r="J281" i="2"/>
  <c r="K281" i="2"/>
  <c r="S281" i="2"/>
  <c r="Y281" i="2"/>
  <c r="Z281" i="2"/>
  <c r="U118" i="2"/>
  <c r="H156" i="2"/>
  <c r="R145" i="2"/>
  <c r="V235" i="2"/>
  <c r="AA223" i="2"/>
  <c r="T212" i="2"/>
  <c r="N259" i="2"/>
  <c r="K118" i="2"/>
  <c r="X128" i="2"/>
  <c r="V145" i="2"/>
  <c r="X148" i="2"/>
  <c r="AA145" i="2"/>
  <c r="AC21" i="2"/>
  <c r="AC23" i="2"/>
  <c r="F118" i="2"/>
  <c r="L84" i="2"/>
  <c r="AD84" i="2"/>
  <c r="R106" i="2"/>
  <c r="N118" i="2"/>
  <c r="L128" i="2"/>
  <c r="L148" i="2"/>
  <c r="S145" i="2"/>
  <c r="R191" i="2"/>
  <c r="Q187" i="2"/>
  <c r="I270" i="2"/>
  <c r="J203" i="2"/>
  <c r="U235" i="2"/>
  <c r="W212" i="2"/>
  <c r="X270" i="2"/>
  <c r="X223" i="2"/>
  <c r="N270" i="2"/>
  <c r="L259" i="2"/>
  <c r="R259" i="2"/>
  <c r="I300" i="2"/>
  <c r="AA80" i="2"/>
  <c r="X80" i="2"/>
  <c r="K80" i="2"/>
  <c r="N80" i="2"/>
  <c r="O80" i="2"/>
  <c r="T80" i="2"/>
  <c r="AD80" i="2"/>
  <c r="V80" i="2"/>
  <c r="Z80" i="2"/>
  <c r="F140" i="2"/>
  <c r="AB140" i="2"/>
  <c r="N140" i="2"/>
  <c r="R140" i="2"/>
  <c r="F178" i="2"/>
  <c r="L178" i="2"/>
  <c r="O178" i="2"/>
  <c r="U178" i="2"/>
  <c r="Z178" i="2"/>
  <c r="AA178" i="2"/>
  <c r="K178" i="2"/>
  <c r="Q178" i="2"/>
  <c r="R178" i="2"/>
  <c r="F214" i="2"/>
  <c r="M214" i="2"/>
  <c r="R214" i="2"/>
  <c r="S214" i="2"/>
  <c r="V214" i="2"/>
  <c r="AB214" i="2"/>
  <c r="G214" i="2"/>
  <c r="N214" i="2"/>
  <c r="Y214" i="2"/>
  <c r="F190" i="2"/>
  <c r="G190" i="2"/>
  <c r="M190" i="2"/>
  <c r="S190" i="2"/>
  <c r="V190" i="2"/>
  <c r="Y190" i="2"/>
  <c r="AB190" i="2"/>
  <c r="N190" i="2"/>
  <c r="R190" i="2"/>
  <c r="G71" i="2"/>
  <c r="V71" i="2"/>
  <c r="M71" i="2"/>
  <c r="AD71" i="2"/>
  <c r="P71" i="2"/>
  <c r="Q71" i="2"/>
  <c r="R71" i="2"/>
  <c r="S71" i="2"/>
  <c r="T71" i="2"/>
  <c r="AB71" i="2"/>
  <c r="F71" i="2"/>
  <c r="I71" i="2"/>
  <c r="K71" i="2"/>
  <c r="N71" i="2"/>
  <c r="U71" i="2"/>
  <c r="X71" i="2"/>
  <c r="H71" i="2"/>
  <c r="Z71" i="2"/>
  <c r="U95" i="2"/>
  <c r="AC95" i="2"/>
  <c r="T95" i="2"/>
  <c r="L95" i="2"/>
  <c r="G131" i="2"/>
  <c r="I131" i="2"/>
  <c r="J131" i="2"/>
  <c r="N131" i="2"/>
  <c r="T131" i="2"/>
  <c r="U131" i="2"/>
  <c r="G60" i="2"/>
  <c r="M60" i="2"/>
  <c r="S60" i="2"/>
  <c r="V60" i="2"/>
  <c r="Y60" i="2"/>
  <c r="AD60" i="2"/>
  <c r="F60" i="2"/>
  <c r="O60" i="2"/>
  <c r="P60" i="2"/>
  <c r="R60" i="2"/>
  <c r="T60" i="2"/>
  <c r="J124" i="2"/>
  <c r="AB124" i="2"/>
  <c r="K124" i="2"/>
  <c r="AD124" i="2"/>
  <c r="P124" i="2"/>
  <c r="Q124" i="2"/>
  <c r="S124" i="2"/>
  <c r="T124" i="2"/>
  <c r="F124" i="2"/>
  <c r="U124" i="2"/>
  <c r="G124" i="2"/>
  <c r="V124" i="2"/>
  <c r="H124" i="2"/>
  <c r="W124" i="2"/>
  <c r="I124" i="2"/>
  <c r="R124" i="2"/>
  <c r="Y124" i="2"/>
  <c r="O124" i="2"/>
  <c r="V195" i="2"/>
  <c r="L195" i="2"/>
  <c r="N195" i="2"/>
  <c r="S195" i="2"/>
  <c r="T195" i="2"/>
  <c r="Y195" i="2"/>
  <c r="J195" i="2"/>
  <c r="AA195" i="2"/>
  <c r="K231" i="2"/>
  <c r="S231" i="2"/>
  <c r="V231" i="2"/>
  <c r="Z231" i="2"/>
  <c r="G231" i="2"/>
  <c r="J231" i="2"/>
  <c r="P231" i="2"/>
  <c r="L231" i="2"/>
  <c r="Q231" i="2"/>
  <c r="Y231" i="2"/>
  <c r="X231" i="2"/>
  <c r="P111" i="2"/>
  <c r="U111" i="2"/>
  <c r="G111" i="2"/>
  <c r="W111" i="2"/>
  <c r="H111" i="2"/>
  <c r="X111" i="2"/>
  <c r="I111" i="2"/>
  <c r="Y111" i="2"/>
  <c r="J111" i="2"/>
  <c r="Z111" i="2"/>
  <c r="K111" i="2"/>
  <c r="L111" i="2"/>
  <c r="S111" i="2"/>
  <c r="T111" i="2"/>
  <c r="V111" i="2"/>
  <c r="Q111" i="2"/>
  <c r="O173" i="2"/>
  <c r="AA173" i="2"/>
  <c r="P173" i="2"/>
  <c r="AB173" i="2"/>
  <c r="G173" i="2"/>
  <c r="S173" i="2"/>
  <c r="H173" i="2"/>
  <c r="T173" i="2"/>
  <c r="I173" i="2"/>
  <c r="U173" i="2"/>
  <c r="J173" i="2"/>
  <c r="V173" i="2"/>
  <c r="K173" i="2"/>
  <c r="W173" i="2"/>
  <c r="M173" i="2"/>
  <c r="Y173" i="2"/>
  <c r="N173" i="2"/>
  <c r="Z173" i="2"/>
  <c r="L173" i="2"/>
  <c r="Q173" i="2"/>
  <c r="R173" i="2"/>
  <c r="X173" i="2"/>
  <c r="AD173" i="2"/>
  <c r="F173" i="2"/>
  <c r="N185" i="2"/>
  <c r="P185" i="2"/>
  <c r="S185" i="2"/>
  <c r="T185" i="2"/>
  <c r="F185" i="2"/>
  <c r="U185" i="2"/>
  <c r="G185" i="2"/>
  <c r="V185" i="2"/>
  <c r="H185" i="2"/>
  <c r="Y185" i="2"/>
  <c r="J185" i="2"/>
  <c r="AB185" i="2"/>
  <c r="M185" i="2"/>
  <c r="AD185" i="2"/>
  <c r="R185" i="2"/>
  <c r="Z185" i="2"/>
  <c r="I185" i="2"/>
  <c r="Q185" i="2"/>
  <c r="K293" i="2"/>
  <c r="O293" i="2"/>
  <c r="P293" i="2"/>
  <c r="V293" i="2"/>
  <c r="W293" i="2"/>
  <c r="G293" i="2"/>
  <c r="X293" i="2"/>
  <c r="J293" i="2"/>
  <c r="Z293" i="2"/>
  <c r="M293" i="2"/>
  <c r="AB293" i="2"/>
  <c r="N293" i="2"/>
  <c r="H293" i="2"/>
  <c r="L293" i="2"/>
  <c r="S293" i="2"/>
  <c r="T293" i="2"/>
  <c r="Y293" i="2"/>
  <c r="AA293" i="2"/>
  <c r="G223" i="2"/>
  <c r="J223" i="2"/>
  <c r="Z223" i="2"/>
  <c r="I212" i="2"/>
  <c r="M212" i="2"/>
  <c r="S212" i="2"/>
  <c r="X212" i="2"/>
  <c r="AA156" i="2"/>
  <c r="J156" i="2"/>
  <c r="K156" i="2"/>
  <c r="P156" i="2"/>
  <c r="R156" i="2"/>
  <c r="S156" i="2"/>
  <c r="V156" i="2"/>
  <c r="Y156" i="2"/>
  <c r="Z156" i="2"/>
  <c r="N156" i="2"/>
  <c r="M148" i="2"/>
  <c r="N84" i="2"/>
  <c r="X84" i="2"/>
  <c r="AB118" i="2"/>
  <c r="V128" i="2"/>
  <c r="AD156" i="2"/>
  <c r="AB145" i="2"/>
  <c r="N187" i="2"/>
  <c r="F191" i="2"/>
  <c r="K223" i="2"/>
  <c r="U270" i="2"/>
  <c r="W203" i="2"/>
  <c r="I235" i="2"/>
  <c r="H212" i="2"/>
  <c r="N212" i="2"/>
  <c r="I223" i="2"/>
  <c r="W259" i="2"/>
  <c r="F259" i="2"/>
  <c r="AC278" i="2"/>
  <c r="R300" i="2"/>
  <c r="T300" i="2"/>
  <c r="F43" i="2"/>
  <c r="Q43" i="2"/>
  <c r="U43" i="2"/>
  <c r="AD43" i="2"/>
  <c r="J43" i="2"/>
  <c r="Y43" i="2"/>
  <c r="P43" i="2"/>
  <c r="U103" i="2"/>
  <c r="T103" i="2"/>
  <c r="G103" i="2"/>
  <c r="H103" i="2"/>
  <c r="I103" i="2"/>
  <c r="P103" i="2"/>
  <c r="V103" i="2"/>
  <c r="W103" i="2"/>
  <c r="S103" i="2"/>
  <c r="X103" i="2"/>
  <c r="G142" i="2"/>
  <c r="H142" i="2"/>
  <c r="M142" i="2"/>
  <c r="Q142" i="2"/>
  <c r="W142" i="2"/>
  <c r="X142" i="2"/>
  <c r="AB142" i="2"/>
  <c r="K142" i="2"/>
  <c r="T250" i="2"/>
  <c r="V250" i="2"/>
  <c r="F250" i="2"/>
  <c r="X250" i="2"/>
  <c r="K250" i="2"/>
  <c r="AB250" i="2"/>
  <c r="L250" i="2"/>
  <c r="AD250" i="2"/>
  <c r="N250" i="2"/>
  <c r="O250" i="2"/>
  <c r="P250" i="2"/>
  <c r="R250" i="2"/>
  <c r="U250" i="2"/>
  <c r="H250" i="2"/>
  <c r="J250" i="2"/>
  <c r="Q250" i="2"/>
  <c r="Z250" i="2"/>
  <c r="AA250" i="2"/>
  <c r="Q210" i="2"/>
  <c r="R210" i="2"/>
  <c r="W210" i="2"/>
  <c r="Z210" i="2"/>
  <c r="F210" i="2"/>
  <c r="AA210" i="2"/>
  <c r="J210" i="2"/>
  <c r="AD210" i="2"/>
  <c r="K210" i="2"/>
  <c r="O210" i="2"/>
  <c r="N210" i="2"/>
  <c r="P210" i="2"/>
  <c r="S210" i="2"/>
  <c r="V210" i="2"/>
  <c r="R234" i="2"/>
  <c r="S234" i="2"/>
  <c r="H234" i="2"/>
  <c r="W234" i="2"/>
  <c r="K234" i="2"/>
  <c r="Z234" i="2"/>
  <c r="M234" i="2"/>
  <c r="AA234" i="2"/>
  <c r="N234" i="2"/>
  <c r="AB234" i="2"/>
  <c r="P234" i="2"/>
  <c r="G234" i="2"/>
  <c r="J234" i="2"/>
  <c r="O234" i="2"/>
  <c r="Q234" i="2"/>
  <c r="T234" i="2"/>
  <c r="Y234" i="2"/>
  <c r="AD234" i="2"/>
  <c r="V234" i="2"/>
  <c r="F234" i="2"/>
  <c r="G294" i="2"/>
  <c r="P294" i="2"/>
  <c r="X294" i="2"/>
  <c r="W294" i="2"/>
  <c r="Q294" i="2"/>
  <c r="U294" i="2"/>
  <c r="P46" i="2"/>
  <c r="R46" i="2"/>
  <c r="T46" i="2"/>
  <c r="U46" i="2"/>
  <c r="G46" i="2"/>
  <c r="W46" i="2"/>
  <c r="H46" i="2"/>
  <c r="X46" i="2"/>
  <c r="I46" i="2"/>
  <c r="Y46" i="2"/>
  <c r="J46" i="2"/>
  <c r="AD46" i="2"/>
  <c r="K46" i="2"/>
  <c r="F46" i="2"/>
  <c r="N46" i="2"/>
  <c r="V46" i="2"/>
  <c r="S46" i="2"/>
  <c r="Y154" i="2"/>
  <c r="AB154" i="2"/>
  <c r="G154" i="2"/>
  <c r="I154" i="2"/>
  <c r="K154" i="2"/>
  <c r="M154" i="2"/>
  <c r="P154" i="2"/>
  <c r="T154" i="2"/>
  <c r="V154" i="2"/>
  <c r="J154" i="2"/>
  <c r="X154" i="2"/>
  <c r="H217" i="2"/>
  <c r="J217" i="2"/>
  <c r="Q217" i="2"/>
  <c r="Y217" i="2"/>
  <c r="AB217" i="2"/>
  <c r="F217" i="2"/>
  <c r="U217" i="2"/>
  <c r="Z217" i="2"/>
  <c r="I217" i="2"/>
  <c r="S217" i="2"/>
  <c r="T96" i="2"/>
  <c r="Y96" i="2"/>
  <c r="G96" i="2"/>
  <c r="I96" i="2"/>
  <c r="P96" i="2"/>
  <c r="R96" i="2"/>
  <c r="S96" i="2"/>
  <c r="U96" i="2"/>
  <c r="Z96" i="2"/>
  <c r="F96" i="2"/>
  <c r="H96" i="2"/>
  <c r="V96" i="2"/>
  <c r="J85" i="2"/>
  <c r="V85" i="2"/>
  <c r="N85" i="2"/>
  <c r="Z85" i="2"/>
  <c r="P85" i="2"/>
  <c r="AB85" i="2"/>
  <c r="Q85" i="2"/>
  <c r="AD85" i="2"/>
  <c r="F85" i="2"/>
  <c r="R85" i="2"/>
  <c r="G85" i="2"/>
  <c r="S85" i="2"/>
  <c r="H85" i="2"/>
  <c r="T85" i="2"/>
  <c r="U85" i="2"/>
  <c r="W85" i="2"/>
  <c r="Y85" i="2"/>
  <c r="AA85" i="2"/>
  <c r="I85" i="2"/>
  <c r="K85" i="2"/>
  <c r="L85" i="2"/>
  <c r="M85" i="2"/>
  <c r="X85" i="2"/>
  <c r="O85" i="2"/>
  <c r="V244" i="2"/>
  <c r="U244" i="2"/>
  <c r="Y244" i="2"/>
  <c r="H244" i="2"/>
  <c r="N268" i="2"/>
  <c r="W268" i="2"/>
  <c r="Y268" i="2"/>
  <c r="J268" i="2"/>
  <c r="K268" i="2"/>
  <c r="M268" i="2"/>
  <c r="P268" i="2"/>
  <c r="V268" i="2"/>
  <c r="AA268" i="2"/>
  <c r="AB268" i="2"/>
  <c r="O268" i="2"/>
  <c r="L86" i="2"/>
  <c r="U86" i="2"/>
  <c r="Z86" i="2"/>
  <c r="AD86" i="2"/>
  <c r="I86" i="2"/>
  <c r="J86" i="2"/>
  <c r="N86" i="2"/>
  <c r="P86" i="2"/>
  <c r="Q86" i="2"/>
  <c r="X86" i="2"/>
  <c r="G122" i="2"/>
  <c r="Q122" i="2"/>
  <c r="T122" i="2"/>
  <c r="K122" i="2"/>
  <c r="J123" i="2"/>
  <c r="K123" i="2"/>
  <c r="Q123" i="2"/>
  <c r="V123" i="2"/>
  <c r="W123" i="2"/>
  <c r="F123" i="2"/>
  <c r="I123" i="2"/>
  <c r="S123" i="2"/>
  <c r="AD123" i="2"/>
  <c r="V54" i="2"/>
  <c r="M54" i="2"/>
  <c r="T54" i="2"/>
  <c r="U54" i="2"/>
  <c r="O113" i="2"/>
  <c r="AD113" i="2"/>
  <c r="S113" i="2"/>
  <c r="G113" i="2"/>
  <c r="V113" i="2"/>
  <c r="H113" i="2"/>
  <c r="W113" i="2"/>
  <c r="J113" i="2"/>
  <c r="Y113" i="2"/>
  <c r="K113" i="2"/>
  <c r="Z113" i="2"/>
  <c r="M113" i="2"/>
  <c r="AA113" i="2"/>
  <c r="T113" i="2"/>
  <c r="AB113" i="2"/>
  <c r="F113" i="2"/>
  <c r="N113" i="2"/>
  <c r="P113" i="2"/>
  <c r="Q113" i="2"/>
  <c r="R113" i="2"/>
  <c r="L161" i="2"/>
  <c r="P161" i="2"/>
  <c r="T161" i="2"/>
  <c r="W161" i="2"/>
  <c r="X161" i="2"/>
  <c r="AA161" i="2"/>
  <c r="G161" i="2"/>
  <c r="H161" i="2"/>
  <c r="J161" i="2"/>
  <c r="O161" i="2"/>
  <c r="V161" i="2"/>
  <c r="Z161" i="2"/>
  <c r="Q285" i="2"/>
  <c r="G285" i="2"/>
  <c r="W285" i="2"/>
  <c r="H285" i="2"/>
  <c r="X285" i="2"/>
  <c r="L285" i="2"/>
  <c r="AA285" i="2"/>
  <c r="M285" i="2"/>
  <c r="AB285" i="2"/>
  <c r="N285" i="2"/>
  <c r="O285" i="2"/>
  <c r="P285" i="2"/>
  <c r="T285" i="2"/>
  <c r="V285" i="2"/>
  <c r="J285" i="2"/>
  <c r="K285" i="2"/>
  <c r="Y285" i="2"/>
  <c r="Z285" i="2"/>
  <c r="S285" i="2"/>
  <c r="V148" i="2"/>
  <c r="W148" i="2"/>
  <c r="AA148" i="2"/>
  <c r="F148" i="2"/>
  <c r="AD148" i="2"/>
  <c r="K148" i="2"/>
  <c r="N148" i="2"/>
  <c r="O148" i="2"/>
  <c r="P148" i="2"/>
  <c r="R148" i="2"/>
  <c r="G148" i="2"/>
  <c r="Y148" i="2"/>
  <c r="S148" i="2"/>
  <c r="F273" i="2"/>
  <c r="H259" i="2"/>
  <c r="AB84" i="2"/>
  <c r="AC38" i="2"/>
  <c r="H84" i="2"/>
  <c r="J128" i="2"/>
  <c r="J145" i="2"/>
  <c r="O156" i="2"/>
  <c r="I148" i="2"/>
  <c r="M145" i="2"/>
  <c r="M156" i="2"/>
  <c r="O187" i="2"/>
  <c r="Q191" i="2"/>
  <c r="H187" i="2"/>
  <c r="S203" i="2"/>
  <c r="G203" i="2"/>
  <c r="P223" i="2"/>
  <c r="AD235" i="2"/>
  <c r="V212" i="2"/>
  <c r="V223" i="2"/>
  <c r="AD223" i="2"/>
  <c r="K259" i="2"/>
  <c r="Q259" i="2"/>
  <c r="H300" i="2"/>
  <c r="I139" i="2"/>
  <c r="G139" i="2"/>
  <c r="U139" i="2"/>
  <c r="AB139" i="2"/>
  <c r="S139" i="2"/>
  <c r="F104" i="2"/>
  <c r="N104" i="2"/>
  <c r="V104" i="2"/>
  <c r="G104" i="2"/>
  <c r="Y104" i="2"/>
  <c r="H104" i="2"/>
  <c r="Z104" i="2"/>
  <c r="I104" i="2"/>
  <c r="AB104" i="2"/>
  <c r="J104" i="2"/>
  <c r="K104" i="2"/>
  <c r="M104" i="2"/>
  <c r="R104" i="2"/>
  <c r="S104" i="2"/>
  <c r="U104" i="2"/>
  <c r="W104" i="2"/>
  <c r="Q70" i="2"/>
  <c r="G70" i="2"/>
  <c r="V70" i="2"/>
  <c r="I70" i="2"/>
  <c r="Y70" i="2"/>
  <c r="J70" i="2"/>
  <c r="AA70" i="2"/>
  <c r="L70" i="2"/>
  <c r="AB70" i="2"/>
  <c r="N70" i="2"/>
  <c r="O70" i="2"/>
  <c r="T70" i="2"/>
  <c r="U70" i="2"/>
  <c r="H70" i="2"/>
  <c r="P70" i="2"/>
  <c r="S70" i="2"/>
  <c r="W70" i="2"/>
  <c r="G286" i="2"/>
  <c r="S286" i="2"/>
  <c r="V286" i="2"/>
  <c r="U188" i="2"/>
  <c r="I188" i="2"/>
  <c r="S188" i="2"/>
  <c r="T188" i="2"/>
  <c r="X188" i="2"/>
  <c r="AB188" i="2"/>
  <c r="M188" i="2"/>
  <c r="K188" i="2"/>
  <c r="M198" i="2"/>
  <c r="N198" i="2"/>
  <c r="O198" i="2"/>
  <c r="S198" i="2"/>
  <c r="V198" i="2"/>
  <c r="W198" i="2"/>
  <c r="Y198" i="2"/>
  <c r="F198" i="2"/>
  <c r="Z198" i="2"/>
  <c r="J198" i="2"/>
  <c r="AD198" i="2"/>
  <c r="K198" i="2"/>
  <c r="AA198" i="2"/>
  <c r="Q198" i="2"/>
  <c r="R198" i="2"/>
  <c r="G198" i="2"/>
  <c r="G72" i="2"/>
  <c r="AC72" i="2"/>
  <c r="R72" i="2"/>
  <c r="AD72" i="2"/>
  <c r="G220" i="2"/>
  <c r="M220" i="2"/>
  <c r="S232" i="2"/>
  <c r="T232" i="2"/>
  <c r="Y232" i="2"/>
  <c r="AB232" i="2"/>
  <c r="G232" i="2"/>
  <c r="I232" i="2"/>
  <c r="L232" i="2"/>
  <c r="K232" i="2"/>
  <c r="W232" i="2"/>
  <c r="Z232" i="2"/>
  <c r="M232" i="2"/>
  <c r="U232" i="2"/>
  <c r="N280" i="2"/>
  <c r="J280" i="2"/>
  <c r="K280" i="2"/>
  <c r="P280" i="2"/>
  <c r="V280" i="2"/>
  <c r="W280" i="2"/>
  <c r="Y280" i="2"/>
  <c r="AA280" i="2"/>
  <c r="M280" i="2"/>
  <c r="O280" i="2"/>
  <c r="AB280" i="2"/>
  <c r="X90" i="2"/>
  <c r="K90" i="2"/>
  <c r="W90" i="2"/>
  <c r="T90" i="2"/>
  <c r="U90" i="2"/>
  <c r="I90" i="2"/>
  <c r="V90" i="2"/>
  <c r="R51" i="2"/>
  <c r="J51" i="2"/>
  <c r="Z51" i="2"/>
  <c r="O51" i="2"/>
  <c r="Q51" i="2"/>
  <c r="S51" i="2"/>
  <c r="T51" i="2"/>
  <c r="F51" i="2"/>
  <c r="V51" i="2"/>
  <c r="G51" i="2"/>
  <c r="W51" i="2"/>
  <c r="N51" i="2"/>
  <c r="P51" i="2"/>
  <c r="AA51" i="2"/>
  <c r="AB51" i="2"/>
  <c r="I51" i="2"/>
  <c r="K51" i="2"/>
  <c r="AD51" i="2"/>
  <c r="M51" i="2"/>
  <c r="Y51" i="2"/>
  <c r="P77" i="2"/>
  <c r="AB77" i="2"/>
  <c r="H77" i="2"/>
  <c r="T77" i="2"/>
  <c r="J77" i="2"/>
  <c r="V77" i="2"/>
  <c r="K77" i="2"/>
  <c r="W77" i="2"/>
  <c r="L77" i="2"/>
  <c r="X77" i="2"/>
  <c r="M77" i="2"/>
  <c r="Y77" i="2"/>
  <c r="N77" i="2"/>
  <c r="Z77" i="2"/>
  <c r="O77" i="2"/>
  <c r="Q77" i="2"/>
  <c r="S77" i="2"/>
  <c r="U77" i="2"/>
  <c r="AD77" i="2"/>
  <c r="F77" i="2"/>
  <c r="G77" i="2"/>
  <c r="I77" i="2"/>
  <c r="R77" i="2"/>
  <c r="AA77" i="2"/>
  <c r="W84" i="2"/>
  <c r="X156" i="2"/>
  <c r="T148" i="2"/>
  <c r="Z145" i="2"/>
  <c r="P203" i="2"/>
  <c r="V203" i="2"/>
  <c r="R235" i="2"/>
  <c r="G212" i="2"/>
  <c r="L235" i="2"/>
  <c r="R223" i="2"/>
  <c r="V259" i="2"/>
  <c r="G55" i="2"/>
  <c r="Z55" i="2"/>
  <c r="P55" i="2"/>
  <c r="S55" i="2"/>
  <c r="T55" i="2"/>
  <c r="U55" i="2"/>
  <c r="V55" i="2"/>
  <c r="W55" i="2"/>
  <c r="H55" i="2"/>
  <c r="I55" i="2"/>
  <c r="Q55" i="2"/>
  <c r="Y55" i="2"/>
  <c r="F55" i="2"/>
  <c r="AD55" i="2"/>
  <c r="K55" i="2"/>
  <c r="M81" i="2"/>
  <c r="Y81" i="2"/>
  <c r="Q81" i="2"/>
  <c r="AD81" i="2"/>
  <c r="G81" i="2"/>
  <c r="S81" i="2"/>
  <c r="H81" i="2"/>
  <c r="T81" i="2"/>
  <c r="I81" i="2"/>
  <c r="U81" i="2"/>
  <c r="J81" i="2"/>
  <c r="V81" i="2"/>
  <c r="K81" i="2"/>
  <c r="W81" i="2"/>
  <c r="AB81" i="2"/>
  <c r="F81" i="2"/>
  <c r="L81" i="2"/>
  <c r="O81" i="2"/>
  <c r="P81" i="2"/>
  <c r="R81" i="2"/>
  <c r="X81" i="2"/>
  <c r="Z81" i="2"/>
  <c r="N81" i="2"/>
  <c r="AA81" i="2"/>
  <c r="J117" i="2"/>
  <c r="R117" i="2"/>
  <c r="S117" i="2"/>
  <c r="V117" i="2"/>
  <c r="W117" i="2"/>
  <c r="F117" i="2"/>
  <c r="AD117" i="2"/>
  <c r="G117" i="2"/>
  <c r="H117" i="2"/>
  <c r="N117" i="2"/>
  <c r="P117" i="2"/>
  <c r="AB117" i="2"/>
  <c r="Q117" i="2"/>
  <c r="T117" i="2"/>
  <c r="S126" i="2"/>
  <c r="T126" i="2"/>
  <c r="U126" i="2"/>
  <c r="AA126" i="2"/>
  <c r="G126" i="2"/>
  <c r="H126" i="2"/>
  <c r="I126" i="2"/>
  <c r="N126" i="2"/>
  <c r="P126" i="2"/>
  <c r="V126" i="2"/>
  <c r="Q126" i="2"/>
  <c r="I239" i="2"/>
  <c r="H239" i="2"/>
  <c r="Z239" i="2"/>
  <c r="K239" i="2"/>
  <c r="AA239" i="2"/>
  <c r="N239" i="2"/>
  <c r="P239" i="2"/>
  <c r="Q239" i="2"/>
  <c r="S239" i="2"/>
  <c r="T239" i="2"/>
  <c r="X239" i="2"/>
  <c r="G239" i="2"/>
  <c r="Y239" i="2"/>
  <c r="L239" i="2"/>
  <c r="M239" i="2"/>
  <c r="U239" i="2"/>
  <c r="F287" i="2"/>
  <c r="AD287" i="2"/>
  <c r="G287" i="2"/>
  <c r="N287" i="2"/>
  <c r="P287" i="2"/>
  <c r="R287" i="2"/>
  <c r="S287" i="2"/>
  <c r="T287" i="2"/>
  <c r="Z287" i="2"/>
  <c r="AB287" i="2"/>
  <c r="H287" i="2"/>
  <c r="M287" i="2"/>
  <c r="Y287" i="2"/>
  <c r="F299" i="2"/>
  <c r="N299" i="2"/>
  <c r="P299" i="2"/>
  <c r="S299" i="2"/>
  <c r="U299" i="2"/>
  <c r="V299" i="2"/>
  <c r="H243" i="2"/>
  <c r="P243" i="2"/>
  <c r="U243" i="2"/>
  <c r="V243" i="2"/>
  <c r="W243" i="2"/>
  <c r="X243" i="2"/>
  <c r="K243" i="2"/>
  <c r="M243" i="2"/>
  <c r="F120" i="2"/>
  <c r="U120" i="2"/>
  <c r="V120" i="2"/>
  <c r="G120" i="2"/>
  <c r="Y120" i="2"/>
  <c r="H120" i="2"/>
  <c r="Z120" i="2"/>
  <c r="J120" i="2"/>
  <c r="AB120" i="2"/>
  <c r="K120" i="2"/>
  <c r="M120" i="2"/>
  <c r="N120" i="2"/>
  <c r="R120" i="2"/>
  <c r="S120" i="2"/>
  <c r="W120" i="2"/>
  <c r="AA120" i="2"/>
  <c r="I120" i="2"/>
  <c r="G204" i="2"/>
  <c r="I204" i="2"/>
  <c r="S216" i="2"/>
  <c r="T216" i="2"/>
  <c r="H216" i="2"/>
  <c r="W216" i="2"/>
  <c r="J216" i="2"/>
  <c r="Y216" i="2"/>
  <c r="K216" i="2"/>
  <c r="AB216" i="2"/>
  <c r="L216" i="2"/>
  <c r="P216" i="2"/>
  <c r="X216" i="2"/>
  <c r="G216" i="2"/>
  <c r="I216" i="2"/>
  <c r="M216" i="2"/>
  <c r="U216" i="2"/>
  <c r="V216" i="2"/>
  <c r="Q216" i="2"/>
  <c r="F252" i="2"/>
  <c r="T252" i="2"/>
  <c r="V252" i="2"/>
  <c r="H252" i="2"/>
  <c r="R252" i="2"/>
  <c r="J109" i="2"/>
  <c r="T109" i="2"/>
  <c r="F109" i="2"/>
  <c r="AD109" i="2"/>
  <c r="H109" i="2"/>
  <c r="N109" i="2"/>
  <c r="P109" i="2"/>
  <c r="Q109" i="2"/>
  <c r="R109" i="2"/>
  <c r="G109" i="2"/>
  <c r="V109" i="2"/>
  <c r="W109" i="2"/>
  <c r="AB109" i="2"/>
  <c r="S109" i="2"/>
  <c r="M52" i="2"/>
  <c r="Z52" i="2"/>
  <c r="Q52" i="2"/>
  <c r="F52" i="2"/>
  <c r="S52" i="2"/>
  <c r="G52" i="2"/>
  <c r="T52" i="2"/>
  <c r="H52" i="2"/>
  <c r="V52" i="2"/>
  <c r="J52" i="2"/>
  <c r="W52" i="2"/>
  <c r="K52" i="2"/>
  <c r="X52" i="2"/>
  <c r="Y52" i="2"/>
  <c r="AA52" i="2"/>
  <c r="AD52" i="2"/>
  <c r="L52" i="2"/>
  <c r="N52" i="2"/>
  <c r="O52" i="2"/>
  <c r="P52" i="2"/>
  <c r="R52" i="2"/>
  <c r="AB52" i="2"/>
  <c r="J208" i="2"/>
  <c r="P208" i="2"/>
  <c r="Q208" i="2"/>
  <c r="V208" i="2"/>
  <c r="W208" i="2"/>
  <c r="X208" i="2"/>
  <c r="AB208" i="2"/>
  <c r="G208" i="2"/>
  <c r="I208" i="2"/>
  <c r="H208" i="2"/>
  <c r="K208" i="2"/>
  <c r="T208" i="2"/>
  <c r="U208" i="2"/>
  <c r="V206" i="2"/>
  <c r="AA206" i="2"/>
  <c r="F206" i="2"/>
  <c r="AB206" i="2"/>
  <c r="M206" i="2"/>
  <c r="N206" i="2"/>
  <c r="O206" i="2"/>
  <c r="P206" i="2"/>
  <c r="R206" i="2"/>
  <c r="W206" i="2"/>
  <c r="Y206" i="2"/>
  <c r="S206" i="2"/>
  <c r="AD206" i="2"/>
  <c r="G206" i="2"/>
  <c r="K206" i="2"/>
  <c r="O66" i="2"/>
  <c r="G66" i="2"/>
  <c r="J66" i="2"/>
  <c r="N66" i="2"/>
  <c r="X66" i="2"/>
  <c r="G207" i="2"/>
  <c r="K207" i="2"/>
  <c r="AB255" i="2"/>
  <c r="P255" i="2"/>
  <c r="F291" i="2"/>
  <c r="G291" i="2"/>
  <c r="U291" i="2"/>
  <c r="AB291" i="2"/>
  <c r="Y291" i="2"/>
  <c r="Q172" i="2"/>
  <c r="J172" i="2"/>
  <c r="K172" i="2"/>
  <c r="T172" i="2"/>
  <c r="V172" i="2"/>
  <c r="Z172" i="2"/>
  <c r="X172" i="2"/>
  <c r="AD172" i="2"/>
  <c r="H172" i="2"/>
  <c r="P172" i="2"/>
  <c r="M128" i="2"/>
  <c r="R128" i="2"/>
  <c r="W128" i="2"/>
  <c r="AB128" i="2"/>
  <c r="AD128" i="2"/>
  <c r="F128" i="2"/>
  <c r="K128" i="2"/>
  <c r="N128" i="2"/>
  <c r="P128" i="2"/>
  <c r="Q128" i="2"/>
  <c r="Z128" i="2"/>
  <c r="T118" i="2"/>
  <c r="O118" i="2"/>
  <c r="Q118" i="2"/>
  <c r="V118" i="2"/>
  <c r="W118" i="2"/>
  <c r="Y118" i="2"/>
  <c r="G118" i="2"/>
  <c r="H118" i="2"/>
  <c r="J118" i="2"/>
  <c r="S118" i="2"/>
  <c r="X118" i="2"/>
  <c r="T106" i="2"/>
  <c r="K106" i="2"/>
  <c r="Z106" i="2"/>
  <c r="O106" i="2"/>
  <c r="Q106" i="2"/>
  <c r="S106" i="2"/>
  <c r="V106" i="2"/>
  <c r="G106" i="2"/>
  <c r="W106" i="2"/>
  <c r="H106" i="2"/>
  <c r="X106" i="2"/>
  <c r="J106" i="2"/>
  <c r="L106" i="2"/>
  <c r="N106" i="2"/>
  <c r="P106" i="2"/>
  <c r="AA106" i="2"/>
  <c r="AB106" i="2"/>
  <c r="Y106" i="2"/>
  <c r="M106" i="2"/>
  <c r="L165" i="2"/>
  <c r="T165" i="2"/>
  <c r="J177" i="2"/>
  <c r="V177" i="2"/>
  <c r="K177" i="2"/>
  <c r="W177" i="2"/>
  <c r="N177" i="2"/>
  <c r="Z177" i="2"/>
  <c r="O177" i="2"/>
  <c r="AA177" i="2"/>
  <c r="P177" i="2"/>
  <c r="AB177" i="2"/>
  <c r="Q177" i="2"/>
  <c r="F177" i="2"/>
  <c r="R177" i="2"/>
  <c r="AD177" i="2"/>
  <c r="H177" i="2"/>
  <c r="T177" i="2"/>
  <c r="I177" i="2"/>
  <c r="U177" i="2"/>
  <c r="M177" i="2"/>
  <c r="S177" i="2"/>
  <c r="X177" i="2"/>
  <c r="Y177" i="2"/>
  <c r="L177" i="2"/>
  <c r="G177" i="2"/>
  <c r="I201" i="2"/>
  <c r="T201" i="2"/>
  <c r="U201" i="2"/>
  <c r="AB201" i="2"/>
  <c r="F201" i="2"/>
  <c r="G201" i="2"/>
  <c r="H201" i="2"/>
  <c r="J201" i="2"/>
  <c r="Q201" i="2"/>
  <c r="S201" i="2"/>
  <c r="P201" i="2"/>
  <c r="V201" i="2"/>
  <c r="Y201" i="2"/>
  <c r="G213" i="2"/>
  <c r="V213" i="2"/>
  <c r="I225" i="2"/>
  <c r="F225" i="2"/>
  <c r="Y225" i="2"/>
  <c r="G225" i="2"/>
  <c r="AB225" i="2"/>
  <c r="M225" i="2"/>
  <c r="P225" i="2"/>
  <c r="R225" i="2"/>
  <c r="S225" i="2"/>
  <c r="U225" i="2"/>
  <c r="H225" i="2"/>
  <c r="T225" i="2"/>
  <c r="V225" i="2"/>
  <c r="AD225" i="2"/>
  <c r="N225" i="2"/>
  <c r="J225" i="2"/>
  <c r="J83" i="2"/>
  <c r="N83" i="2"/>
  <c r="AB83" i="2"/>
  <c r="R83" i="2"/>
  <c r="F83" i="2"/>
  <c r="T83" i="2"/>
  <c r="G83" i="2"/>
  <c r="U83" i="2"/>
  <c r="H83" i="2"/>
  <c r="W83" i="2"/>
  <c r="I83" i="2"/>
  <c r="Y83" i="2"/>
  <c r="K83" i="2"/>
  <c r="Z83" i="2"/>
  <c r="S83" i="2"/>
  <c r="AA83" i="2"/>
  <c r="M83" i="2"/>
  <c r="O83" i="2"/>
  <c r="P83" i="2"/>
  <c r="Q83" i="2"/>
  <c r="AD83" i="2"/>
  <c r="J119" i="2"/>
  <c r="Z119" i="2"/>
  <c r="K119" i="2"/>
  <c r="P119" i="2"/>
  <c r="Q119" i="2"/>
  <c r="T119" i="2"/>
  <c r="U119" i="2"/>
  <c r="V119" i="2"/>
  <c r="G119" i="2"/>
  <c r="W119" i="2"/>
  <c r="H119" i="2"/>
  <c r="X119" i="2"/>
  <c r="S119" i="2"/>
  <c r="Y119" i="2"/>
  <c r="I119" i="2"/>
  <c r="L119" i="2"/>
  <c r="J251" i="2"/>
  <c r="V251" i="2"/>
  <c r="K251" i="2"/>
  <c r="W251" i="2"/>
  <c r="N251" i="2"/>
  <c r="Z251" i="2"/>
  <c r="O251" i="2"/>
  <c r="AA251" i="2"/>
  <c r="P251" i="2"/>
  <c r="AB251" i="2"/>
  <c r="Q251" i="2"/>
  <c r="AD251" i="2"/>
  <c r="F251" i="2"/>
  <c r="R251" i="2"/>
  <c r="H251" i="2"/>
  <c r="T251" i="2"/>
  <c r="I251" i="2"/>
  <c r="U251" i="2"/>
  <c r="M251" i="2"/>
  <c r="S251" i="2"/>
  <c r="X251" i="2"/>
  <c r="Y251" i="2"/>
  <c r="G251" i="2"/>
  <c r="L251" i="2"/>
  <c r="AB263" i="2"/>
  <c r="P263" i="2"/>
  <c r="F180" i="2"/>
  <c r="Z180" i="2"/>
  <c r="AA180" i="2"/>
  <c r="P180" i="2"/>
  <c r="Q180" i="2"/>
  <c r="K180" i="2"/>
  <c r="H192" i="2"/>
  <c r="W192" i="2"/>
  <c r="I192" i="2"/>
  <c r="X192" i="2"/>
  <c r="L192" i="2"/>
  <c r="M192" i="2"/>
  <c r="P192" i="2"/>
  <c r="Q192" i="2"/>
  <c r="S192" i="2"/>
  <c r="U192" i="2"/>
  <c r="G192" i="2"/>
  <c r="V192" i="2"/>
  <c r="T192" i="2"/>
  <c r="Y192" i="2"/>
  <c r="AB192" i="2"/>
  <c r="K192" i="2"/>
  <c r="J192" i="2"/>
  <c r="G228" i="2"/>
  <c r="L228" i="2"/>
  <c r="P228" i="2"/>
  <c r="U228" i="2"/>
  <c r="Z228" i="2"/>
  <c r="AB228" i="2"/>
  <c r="T228" i="2"/>
  <c r="Y228" i="2"/>
  <c r="K228" i="2"/>
  <c r="S228" i="2"/>
  <c r="H240" i="2"/>
  <c r="R240" i="2"/>
  <c r="S240" i="2"/>
  <c r="F240" i="2"/>
  <c r="X240" i="2"/>
  <c r="G240" i="2"/>
  <c r="Y240" i="2"/>
  <c r="J240" i="2"/>
  <c r="Z240" i="2"/>
  <c r="K240" i="2"/>
  <c r="AD240" i="2"/>
  <c r="L240" i="2"/>
  <c r="P240" i="2"/>
  <c r="Q240" i="2"/>
  <c r="M240" i="2"/>
  <c r="T240" i="2"/>
  <c r="W240" i="2"/>
  <c r="N264" i="2"/>
  <c r="J264" i="2"/>
  <c r="O264" i="2"/>
  <c r="P264" i="2"/>
  <c r="V264" i="2"/>
  <c r="W264" i="2"/>
  <c r="Y264" i="2"/>
  <c r="AB264" i="2"/>
  <c r="K264" i="2"/>
  <c r="M264" i="2"/>
  <c r="AA264" i="2"/>
  <c r="N276" i="2"/>
  <c r="AA276" i="2"/>
  <c r="AB276" i="2"/>
  <c r="J276" i="2"/>
  <c r="K276" i="2"/>
  <c r="M276" i="2"/>
  <c r="O276" i="2"/>
  <c r="P276" i="2"/>
  <c r="W276" i="2"/>
  <c r="Y276" i="2"/>
  <c r="V276" i="2"/>
  <c r="T193" i="2"/>
  <c r="F193" i="2"/>
  <c r="I193" i="2"/>
  <c r="Q193" i="2"/>
  <c r="U193" i="2"/>
  <c r="Z193" i="2"/>
  <c r="S193" i="2"/>
  <c r="T205" i="2"/>
  <c r="J205" i="2"/>
  <c r="N205" i="2"/>
  <c r="R205" i="2"/>
  <c r="S205" i="2"/>
  <c r="Y205" i="2"/>
  <c r="AD205" i="2"/>
  <c r="H205" i="2"/>
  <c r="AB205" i="2"/>
  <c r="Q265" i="2"/>
  <c r="V265" i="2"/>
  <c r="G265" i="2"/>
  <c r="W265" i="2"/>
  <c r="K265" i="2"/>
  <c r="Z265" i="2"/>
  <c r="L265" i="2"/>
  <c r="AA265" i="2"/>
  <c r="M265" i="2"/>
  <c r="AB265" i="2"/>
  <c r="N265" i="2"/>
  <c r="O265" i="2"/>
  <c r="S265" i="2"/>
  <c r="T265" i="2"/>
  <c r="J265" i="2"/>
  <c r="P265" i="2"/>
  <c r="X265" i="2"/>
  <c r="Y265" i="2"/>
  <c r="H265" i="2"/>
  <c r="F112" i="2"/>
  <c r="G112" i="2"/>
  <c r="Y112" i="2"/>
  <c r="K112" i="2"/>
  <c r="N112" i="2"/>
  <c r="R112" i="2"/>
  <c r="S112" i="2"/>
  <c r="U112" i="2"/>
  <c r="V112" i="2"/>
  <c r="J112" i="2"/>
  <c r="M112" i="2"/>
  <c r="Z112" i="2"/>
  <c r="AB112" i="2"/>
  <c r="H112" i="2"/>
  <c r="W112" i="2"/>
  <c r="I112" i="2"/>
  <c r="U184" i="2"/>
  <c r="V184" i="2"/>
  <c r="W184" i="2"/>
  <c r="G184" i="2"/>
  <c r="H184" i="2"/>
  <c r="I184" i="2"/>
  <c r="K184" i="2"/>
  <c r="Q184" i="2"/>
  <c r="T184" i="2"/>
  <c r="AB184" i="2"/>
  <c r="P184" i="2"/>
  <c r="X184" i="2"/>
  <c r="X182" i="2"/>
  <c r="Q182" i="2"/>
  <c r="AC182" i="2"/>
  <c r="V182" i="2"/>
  <c r="J194" i="2"/>
  <c r="AD194" i="2"/>
  <c r="K194" i="2"/>
  <c r="O194" i="2"/>
  <c r="P194" i="2"/>
  <c r="S194" i="2"/>
  <c r="V194" i="2"/>
  <c r="Y194" i="2"/>
  <c r="AA194" i="2"/>
  <c r="W194" i="2"/>
  <c r="F194" i="2"/>
  <c r="G194" i="2"/>
  <c r="J218" i="2"/>
  <c r="N218" i="2"/>
  <c r="O218" i="2"/>
  <c r="V218" i="2"/>
  <c r="Y218" i="2"/>
  <c r="AA218" i="2"/>
  <c r="AD218" i="2"/>
  <c r="G218" i="2"/>
  <c r="F218" i="2"/>
  <c r="K218" i="2"/>
  <c r="S218" i="2"/>
  <c r="W218" i="2"/>
  <c r="P218" i="2"/>
  <c r="G230" i="2"/>
  <c r="W230" i="2"/>
  <c r="H230" i="2"/>
  <c r="Y230" i="2"/>
  <c r="N230" i="2"/>
  <c r="AD230" i="2"/>
  <c r="P230" i="2"/>
  <c r="Q230" i="2"/>
  <c r="R230" i="2"/>
  <c r="T230" i="2"/>
  <c r="O230" i="2"/>
  <c r="S230" i="2"/>
  <c r="AB230" i="2"/>
  <c r="J230" i="2"/>
  <c r="M230" i="2"/>
  <c r="AA230" i="2"/>
  <c r="F230" i="2"/>
  <c r="V230" i="2"/>
  <c r="J242" i="2"/>
  <c r="K242" i="2"/>
  <c r="P242" i="2"/>
  <c r="Q242" i="2"/>
  <c r="V242" i="2"/>
  <c r="W242" i="2"/>
  <c r="X242" i="2"/>
  <c r="AA242" i="2"/>
  <c r="H242" i="2"/>
  <c r="AD242" i="2"/>
  <c r="L242" i="2"/>
  <c r="N242" i="2"/>
  <c r="Y242" i="2"/>
  <c r="I63" i="2"/>
  <c r="J63" i="2"/>
  <c r="Y63" i="2"/>
  <c r="M63" i="2"/>
  <c r="X63" i="2"/>
  <c r="AB63" i="2"/>
  <c r="S63" i="2"/>
  <c r="V183" i="2"/>
  <c r="T183" i="2"/>
  <c r="W183" i="2"/>
  <c r="G183" i="2"/>
  <c r="K183" i="2"/>
  <c r="Z183" i="2"/>
  <c r="I138" i="2"/>
  <c r="H138" i="2"/>
  <c r="Y138" i="2"/>
  <c r="J138" i="2"/>
  <c r="AB138" i="2"/>
  <c r="L138" i="2"/>
  <c r="M138" i="2"/>
  <c r="Q138" i="2"/>
  <c r="S138" i="2"/>
  <c r="T138" i="2"/>
  <c r="V138" i="2"/>
  <c r="W138" i="2"/>
  <c r="G138" i="2"/>
  <c r="X138" i="2"/>
  <c r="K138" i="2"/>
  <c r="P138" i="2"/>
  <c r="H270" i="2"/>
  <c r="Q270" i="2"/>
  <c r="S270" i="2"/>
  <c r="AB270" i="2"/>
  <c r="G270" i="2"/>
  <c r="P270" i="2"/>
  <c r="O55" i="2"/>
  <c r="Z84" i="2"/>
  <c r="Y84" i="2"/>
  <c r="M118" i="2"/>
  <c r="T128" i="2"/>
  <c r="U156" i="2"/>
  <c r="U145" i="2"/>
  <c r="Z187" i="2"/>
  <c r="K165" i="2"/>
  <c r="AC165" i="2"/>
  <c r="S191" i="2"/>
  <c r="P187" i="2"/>
  <c r="S187" i="2"/>
  <c r="G187" i="2"/>
  <c r="U236" i="2"/>
  <c r="R213" i="2"/>
  <c r="X213" i="2"/>
  <c r="AB203" i="2"/>
  <c r="I203" i="2"/>
  <c r="M235" i="2"/>
  <c r="V270" i="2"/>
  <c r="V236" i="2"/>
  <c r="W270" i="2"/>
  <c r="Q212" i="2"/>
  <c r="S223" i="2"/>
  <c r="K235" i="2"/>
  <c r="Y223" i="2"/>
  <c r="AA270" i="2"/>
  <c r="Z189" i="2"/>
  <c r="L189" i="2"/>
  <c r="O223" i="2"/>
  <c r="F224" i="2"/>
  <c r="S236" i="2"/>
  <c r="F270" i="2"/>
  <c r="AA259" i="2"/>
  <c r="U259" i="2"/>
  <c r="AA300" i="2"/>
  <c r="K67" i="2"/>
  <c r="V67" i="2"/>
  <c r="AD67" i="2"/>
  <c r="G67" i="2"/>
  <c r="H67" i="2"/>
  <c r="I67" i="2"/>
  <c r="J67" i="2"/>
  <c r="Q67" i="2"/>
  <c r="X67" i="2"/>
  <c r="Y67" i="2"/>
  <c r="S67" i="2"/>
  <c r="W67" i="2"/>
  <c r="J91" i="2"/>
  <c r="M91" i="2"/>
  <c r="AA91" i="2"/>
  <c r="Q91" i="2"/>
  <c r="S91" i="2"/>
  <c r="F91" i="2"/>
  <c r="T91" i="2"/>
  <c r="G91" i="2"/>
  <c r="U91" i="2"/>
  <c r="H91" i="2"/>
  <c r="W91" i="2"/>
  <c r="I91" i="2"/>
  <c r="Y91" i="2"/>
  <c r="AD91" i="2"/>
  <c r="N91" i="2"/>
  <c r="O91" i="2"/>
  <c r="P91" i="2"/>
  <c r="R91" i="2"/>
  <c r="Z91" i="2"/>
  <c r="K91" i="2"/>
  <c r="AB91" i="2"/>
  <c r="O127" i="2"/>
  <c r="S127" i="2"/>
  <c r="T127" i="2"/>
  <c r="Z127" i="2"/>
  <c r="AB127" i="2"/>
  <c r="F127" i="2"/>
  <c r="G127" i="2"/>
  <c r="H127" i="2"/>
  <c r="M127" i="2"/>
  <c r="P127" i="2"/>
  <c r="Q127" i="2"/>
  <c r="U127" i="2"/>
  <c r="N247" i="2"/>
  <c r="Z247" i="2"/>
  <c r="O247" i="2"/>
  <c r="AA247" i="2"/>
  <c r="F247" i="2"/>
  <c r="R247" i="2"/>
  <c r="G247" i="2"/>
  <c r="S247" i="2"/>
  <c r="H247" i="2"/>
  <c r="T247" i="2"/>
  <c r="I247" i="2"/>
  <c r="U247" i="2"/>
  <c r="J247" i="2"/>
  <c r="V247" i="2"/>
  <c r="L247" i="2"/>
  <c r="X247" i="2"/>
  <c r="M247" i="2"/>
  <c r="Y247" i="2"/>
  <c r="W247" i="2"/>
  <c r="AB247" i="2"/>
  <c r="AD247" i="2"/>
  <c r="P247" i="2"/>
  <c r="Q247" i="2"/>
  <c r="K247" i="2"/>
  <c r="AB271" i="2"/>
  <c r="P271" i="2"/>
  <c r="Y271" i="2"/>
  <c r="AC271" i="2"/>
  <c r="N271" i="2"/>
  <c r="N283" i="2"/>
  <c r="F283" i="2"/>
  <c r="G283" i="2"/>
  <c r="M283" i="2"/>
  <c r="P283" i="2"/>
  <c r="S283" i="2"/>
  <c r="AB283" i="2"/>
  <c r="AD283" i="2"/>
  <c r="Y283" i="2"/>
  <c r="X44" i="2"/>
  <c r="AA44" i="2"/>
  <c r="AB44" i="2"/>
  <c r="F44" i="2"/>
  <c r="G44" i="2"/>
  <c r="P44" i="2"/>
  <c r="Q44" i="2"/>
  <c r="T44" i="2"/>
  <c r="V44" i="2"/>
  <c r="T58" i="2"/>
  <c r="Z58" i="2"/>
  <c r="Z153" i="2"/>
  <c r="G153" i="2"/>
  <c r="AB153" i="2"/>
  <c r="J153" i="2"/>
  <c r="L153" i="2"/>
  <c r="M153" i="2"/>
  <c r="P153" i="2"/>
  <c r="T153" i="2"/>
  <c r="V153" i="2"/>
  <c r="W153" i="2"/>
  <c r="Y153" i="2"/>
  <c r="K153" i="2"/>
  <c r="N153" i="2"/>
  <c r="AA153" i="2"/>
  <c r="Z237" i="2"/>
  <c r="G237" i="2"/>
  <c r="M237" i="2"/>
  <c r="N237" i="2"/>
  <c r="T237" i="2"/>
  <c r="U237" i="2"/>
  <c r="P237" i="2"/>
  <c r="R237" i="2"/>
  <c r="H237" i="2"/>
  <c r="V237" i="2"/>
  <c r="AB237" i="2"/>
  <c r="J249" i="2"/>
  <c r="R249" i="2"/>
  <c r="F249" i="2"/>
  <c r="S249" i="2"/>
  <c r="I249" i="2"/>
  <c r="W249" i="2"/>
  <c r="K249" i="2"/>
  <c r="X249" i="2"/>
  <c r="L249" i="2"/>
  <c r="Y249" i="2"/>
  <c r="M249" i="2"/>
  <c r="Z249" i="2"/>
  <c r="N249" i="2"/>
  <c r="AA249" i="2"/>
  <c r="P249" i="2"/>
  <c r="AD249" i="2"/>
  <c r="Q249" i="2"/>
  <c r="T249" i="2"/>
  <c r="U249" i="2"/>
  <c r="AB249" i="2"/>
  <c r="H249" i="2"/>
  <c r="O249" i="2"/>
  <c r="G249" i="2"/>
  <c r="Q261" i="2"/>
  <c r="M261" i="2"/>
  <c r="AB261" i="2"/>
  <c r="N261" i="2"/>
  <c r="S261" i="2"/>
  <c r="T261" i="2"/>
  <c r="V261" i="2"/>
  <c r="G261" i="2"/>
  <c r="W261" i="2"/>
  <c r="H261" i="2"/>
  <c r="X261" i="2"/>
  <c r="K261" i="2"/>
  <c r="Z261" i="2"/>
  <c r="L261" i="2"/>
  <c r="AA261" i="2"/>
  <c r="O261" i="2"/>
  <c r="P261" i="2"/>
  <c r="Y261" i="2"/>
  <c r="J261" i="2"/>
  <c r="K215" i="2"/>
  <c r="AA215" i="2"/>
  <c r="G215" i="2"/>
  <c r="L215" i="2"/>
  <c r="P215" i="2"/>
  <c r="T215" i="2"/>
  <c r="V215" i="2"/>
  <c r="X215" i="2"/>
  <c r="H215" i="2"/>
  <c r="J215" i="2"/>
  <c r="Y215" i="2"/>
  <c r="O215" i="2"/>
  <c r="W215" i="2"/>
  <c r="J227" i="2"/>
  <c r="N227" i="2"/>
  <c r="X227" i="2"/>
  <c r="Y227" i="2"/>
  <c r="AB227" i="2"/>
  <c r="L227" i="2"/>
  <c r="Q227" i="2"/>
  <c r="F292" i="2"/>
  <c r="Q292" i="2"/>
  <c r="V292" i="2"/>
  <c r="P292" i="2"/>
  <c r="Y292" i="2"/>
  <c r="AA292" i="2"/>
  <c r="J168" i="2"/>
  <c r="O168" i="2"/>
  <c r="R168" i="2"/>
  <c r="V168" i="2"/>
  <c r="X168" i="2"/>
  <c r="AD168" i="2"/>
  <c r="F168" i="2"/>
  <c r="G168" i="2"/>
  <c r="N168" i="2"/>
  <c r="T168" i="2"/>
  <c r="Y168" i="2"/>
  <c r="M288" i="2"/>
  <c r="K288" i="2"/>
  <c r="O288" i="2"/>
  <c r="Q288" i="2"/>
  <c r="V288" i="2"/>
  <c r="Y288" i="2"/>
  <c r="AB288" i="2"/>
  <c r="J288" i="2"/>
  <c r="AA288" i="2"/>
  <c r="X157" i="2"/>
  <c r="N157" i="2"/>
  <c r="W157" i="2"/>
  <c r="G157" i="2"/>
  <c r="Z157" i="2"/>
  <c r="G169" i="2"/>
  <c r="M169" i="2"/>
  <c r="Z169" i="2"/>
  <c r="Y241" i="2"/>
  <c r="M241" i="2"/>
  <c r="O241" i="2"/>
  <c r="S241" i="2"/>
  <c r="V241" i="2"/>
  <c r="W241" i="2"/>
  <c r="AB241" i="2"/>
  <c r="AD241" i="2"/>
  <c r="I241" i="2"/>
  <c r="J241" i="2"/>
  <c r="Q241" i="2"/>
  <c r="R241" i="2"/>
  <c r="Q289" i="2"/>
  <c r="V289" i="2"/>
  <c r="G289" i="2"/>
  <c r="W289" i="2"/>
  <c r="K289" i="2"/>
  <c r="Z289" i="2"/>
  <c r="L289" i="2"/>
  <c r="AA289" i="2"/>
  <c r="M289" i="2"/>
  <c r="AB289" i="2"/>
  <c r="N289" i="2"/>
  <c r="O289" i="2"/>
  <c r="S289" i="2"/>
  <c r="T289" i="2"/>
  <c r="P289" i="2"/>
  <c r="X289" i="2"/>
  <c r="Y289" i="2"/>
  <c r="H289" i="2"/>
  <c r="J289" i="2"/>
  <c r="G64" i="2"/>
  <c r="P64" i="2"/>
  <c r="T64" i="2"/>
  <c r="Z64" i="2"/>
  <c r="AB64" i="2"/>
  <c r="F64" i="2"/>
  <c r="AD64" i="2"/>
  <c r="J64" i="2"/>
  <c r="K64" i="2"/>
  <c r="M64" i="2"/>
  <c r="Q64" i="2"/>
  <c r="R64" i="2"/>
  <c r="S64" i="2"/>
  <c r="Y64" i="2"/>
  <c r="V160" i="2"/>
  <c r="Q160" i="2"/>
  <c r="R160" i="2"/>
  <c r="T160" i="2"/>
  <c r="Z160" i="2"/>
  <c r="G160" i="2"/>
  <c r="J160" i="2"/>
  <c r="M160" i="2"/>
  <c r="N160" i="2"/>
  <c r="O160" i="2"/>
  <c r="S160" i="2"/>
  <c r="AA160" i="2"/>
  <c r="W50" i="2"/>
  <c r="T50" i="2"/>
  <c r="AB50" i="2"/>
  <c r="N50" i="2"/>
  <c r="U50" i="2"/>
  <c r="K50" i="2"/>
  <c r="T110" i="2"/>
  <c r="S110" i="2"/>
  <c r="G110" i="2"/>
  <c r="H110" i="2"/>
  <c r="J110" i="2"/>
  <c r="O110" i="2"/>
  <c r="V110" i="2"/>
  <c r="W110" i="2"/>
  <c r="Q110" i="2"/>
  <c r="X110" i="2"/>
  <c r="T170" i="2"/>
  <c r="Z170" i="2"/>
  <c r="G170" i="2"/>
  <c r="AD170" i="2"/>
  <c r="K170" i="2"/>
  <c r="L170" i="2"/>
  <c r="P170" i="2"/>
  <c r="R170" i="2"/>
  <c r="S170" i="2"/>
  <c r="W170" i="2"/>
  <c r="I170" i="2"/>
  <c r="X170" i="2"/>
  <c r="M170" i="2"/>
  <c r="Q170" i="2"/>
  <c r="H254" i="2"/>
  <c r="Q254" i="2"/>
  <c r="S254" i="2"/>
  <c r="AB254" i="2"/>
  <c r="G254" i="2"/>
  <c r="P254" i="2"/>
  <c r="H266" i="2"/>
  <c r="S266" i="2"/>
  <c r="AB266" i="2"/>
  <c r="P266" i="2"/>
  <c r="Q266" i="2"/>
  <c r="G266" i="2"/>
  <c r="X290" i="2"/>
  <c r="S290" i="2"/>
  <c r="U290" i="2"/>
  <c r="K290" i="2"/>
  <c r="P290" i="2"/>
  <c r="J290" i="2"/>
  <c r="W290" i="2"/>
  <c r="H99" i="2"/>
  <c r="L99" i="2"/>
  <c r="P99" i="2"/>
  <c r="T99" i="2"/>
  <c r="U99" i="2"/>
  <c r="V99" i="2"/>
  <c r="G99" i="2"/>
  <c r="W159" i="2"/>
  <c r="Y159" i="2"/>
  <c r="H159" i="2"/>
  <c r="AB159" i="2"/>
  <c r="I159" i="2"/>
  <c r="AD159" i="2"/>
  <c r="K159" i="2"/>
  <c r="M159" i="2"/>
  <c r="R159" i="2"/>
  <c r="S159" i="2"/>
  <c r="T159" i="2"/>
  <c r="F159" i="2"/>
  <c r="J159" i="2"/>
  <c r="Z159" i="2"/>
  <c r="V159" i="2"/>
  <c r="P171" i="2"/>
  <c r="F171" i="2"/>
  <c r="M171" i="2"/>
  <c r="AB171" i="2"/>
  <c r="K171" i="2"/>
  <c r="S171" i="2"/>
  <c r="O101" i="2"/>
  <c r="S101" i="2"/>
  <c r="F101" i="2"/>
  <c r="W101" i="2"/>
  <c r="G101" i="2"/>
  <c r="Y101" i="2"/>
  <c r="J101" i="2"/>
  <c r="Z101" i="2"/>
  <c r="K101" i="2"/>
  <c r="AA101" i="2"/>
  <c r="M101" i="2"/>
  <c r="AB101" i="2"/>
  <c r="N101" i="2"/>
  <c r="P101" i="2"/>
  <c r="R101" i="2"/>
  <c r="V101" i="2"/>
  <c r="AD101" i="2"/>
  <c r="Q101" i="2"/>
  <c r="AC28" i="2"/>
  <c r="AC39" i="2"/>
  <c r="AC275" i="2"/>
  <c r="AC255" i="2"/>
  <c r="AC116" i="2"/>
  <c r="AC125" i="2"/>
  <c r="AC149" i="2"/>
  <c r="AC75" i="2"/>
  <c r="AC76" i="2"/>
  <c r="AC97" i="2"/>
  <c r="AC248" i="2"/>
  <c r="AC34" i="2"/>
  <c r="AC68" i="2"/>
  <c r="AC140" i="2"/>
  <c r="AC137" i="2"/>
  <c r="AC196" i="2"/>
  <c r="AC24" i="2"/>
  <c r="AC69" i="2"/>
  <c r="AC88" i="2"/>
  <c r="AC32" i="2"/>
  <c r="AC30" i="2"/>
  <c r="AC40" i="2"/>
  <c r="AC108" i="2"/>
  <c r="AC252" i="2"/>
  <c r="AC26" i="2"/>
  <c r="AC27" i="2"/>
  <c r="AC31" i="2"/>
  <c r="AC267" i="2"/>
  <c r="AC48" i="2"/>
  <c r="AC166" i="2"/>
  <c r="AC263" i="2"/>
  <c r="AC58" i="2"/>
  <c r="AC143" i="2"/>
  <c r="AC146" i="2"/>
  <c r="A5" i="2"/>
  <c r="AD5" i="2"/>
  <c r="A6" i="2"/>
  <c r="AD6" i="2"/>
  <c r="A7" i="2"/>
  <c r="AD7" i="2"/>
  <c r="A8" i="2"/>
  <c r="AD8" i="2"/>
  <c r="A9" i="2"/>
  <c r="A10" i="2"/>
  <c r="AD10" i="2"/>
  <c r="A11" i="2"/>
  <c r="AD11" i="2"/>
  <c r="AD13" i="2"/>
  <c r="AD15" i="2"/>
  <c r="AD17" i="2"/>
  <c r="AD18" i="2"/>
  <c r="AD19" i="2"/>
  <c r="A4" i="2"/>
  <c r="AD4" i="2"/>
  <c r="Z11" i="2"/>
  <c r="X11" i="2"/>
  <c r="V11" i="2"/>
  <c r="T11" i="2"/>
  <c r="R11" i="2"/>
  <c r="S11" i="2"/>
  <c r="P11" i="2"/>
  <c r="Q11" i="2"/>
  <c r="N11" i="2"/>
  <c r="L11" i="2"/>
  <c r="M11" i="2"/>
  <c r="J11" i="2"/>
  <c r="H11" i="2"/>
  <c r="I11" i="2"/>
  <c r="F11" i="2"/>
  <c r="Z10" i="2"/>
  <c r="X10" i="2"/>
  <c r="V10" i="2"/>
  <c r="T10" i="2"/>
  <c r="R10" i="2"/>
  <c r="S10" i="2"/>
  <c r="P10" i="2"/>
  <c r="N10" i="2"/>
  <c r="L10" i="2"/>
  <c r="J10" i="2"/>
  <c r="H10" i="2"/>
  <c r="F10" i="2"/>
  <c r="Z9" i="2"/>
  <c r="X9" i="2"/>
  <c r="Y9" i="2"/>
  <c r="V9" i="2"/>
  <c r="T9" i="2"/>
  <c r="R9" i="2"/>
  <c r="S9" i="2"/>
  <c r="P9" i="2"/>
  <c r="N9" i="2"/>
  <c r="L9" i="2"/>
  <c r="M9" i="2"/>
  <c r="J9" i="2"/>
  <c r="H9" i="2"/>
  <c r="I9" i="2"/>
  <c r="F9" i="2"/>
  <c r="Z8" i="2"/>
  <c r="X8" i="2"/>
  <c r="V8" i="2"/>
  <c r="W8" i="2"/>
  <c r="T8" i="2"/>
  <c r="R8" i="2"/>
  <c r="S8" i="2"/>
  <c r="P8" i="2"/>
  <c r="N8" i="2"/>
  <c r="L8" i="2"/>
  <c r="J8" i="2"/>
  <c r="H8" i="2"/>
  <c r="F8" i="2"/>
  <c r="Z6" i="2"/>
  <c r="X6" i="2"/>
  <c r="V6" i="2"/>
  <c r="T6" i="2"/>
  <c r="R6" i="2"/>
  <c r="S6" i="2"/>
  <c r="P6" i="2"/>
  <c r="N6" i="2"/>
  <c r="L6" i="2"/>
  <c r="J6" i="2"/>
  <c r="H6" i="2"/>
  <c r="F6" i="2"/>
  <c r="Z5" i="2"/>
  <c r="X5" i="2"/>
  <c r="V5" i="2"/>
  <c r="T5" i="2"/>
  <c r="U5" i="2"/>
  <c r="R5" i="2"/>
  <c r="S5" i="2"/>
  <c r="P5" i="2"/>
  <c r="Q5" i="2"/>
  <c r="N5" i="2"/>
  <c r="L5" i="2"/>
  <c r="M5" i="2"/>
  <c r="J5" i="2"/>
  <c r="H5" i="2"/>
  <c r="I5" i="2"/>
  <c r="F5" i="2"/>
  <c r="Z4" i="2"/>
  <c r="X4" i="2"/>
  <c r="V4" i="2"/>
  <c r="T4" i="2"/>
  <c r="R4" i="2"/>
  <c r="S4" i="2"/>
  <c r="P4" i="2"/>
  <c r="N4" i="2"/>
  <c r="L4" i="2"/>
  <c r="J4" i="2"/>
  <c r="H4" i="2"/>
  <c r="F4" i="2"/>
  <c r="C7" i="2"/>
  <c r="C6" i="2"/>
  <c r="C5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4" i="2"/>
  <c r="AC244" i="2"/>
  <c r="AC133" i="2"/>
  <c r="AC43" i="2"/>
  <c r="AC158" i="2"/>
  <c r="AC205" i="2"/>
  <c r="AC163" i="2"/>
  <c r="AC135" i="2"/>
  <c r="AC99" i="2"/>
  <c r="AC174" i="2"/>
  <c r="AC86" i="2"/>
  <c r="AC296" i="2"/>
  <c r="AC189" i="2"/>
  <c r="AC90" i="2"/>
  <c r="AC56" i="2"/>
  <c r="AC272" i="2"/>
  <c r="AC136" i="2"/>
  <c r="AC142" i="2"/>
  <c r="AC129" i="2"/>
  <c r="AC195" i="2"/>
  <c r="AC178" i="2"/>
  <c r="AC180" i="2"/>
  <c r="AC42" i="2"/>
  <c r="AC284" i="2"/>
  <c r="AC47" i="2"/>
  <c r="AC224" i="2"/>
  <c r="AC105" i="2"/>
  <c r="AC213" i="2"/>
  <c r="AC210" i="2"/>
  <c r="AC145" i="2"/>
  <c r="AC151" i="2"/>
  <c r="AC282" i="2"/>
  <c r="AC157" i="2"/>
  <c r="AC187" i="2"/>
  <c r="AC214" i="2"/>
  <c r="AC82" i="2"/>
  <c r="AC54" i="2"/>
  <c r="AC226" i="2"/>
  <c r="AC229" i="2"/>
  <c r="AC219" i="2"/>
  <c r="AC110" i="2"/>
  <c r="AC63" i="2"/>
  <c r="AC276" i="2"/>
  <c r="AC291" i="2"/>
  <c r="AC193" i="2"/>
  <c r="AC168" i="2"/>
  <c r="AC122" i="2"/>
  <c r="AC262" i="2"/>
  <c r="AC172" i="2"/>
  <c r="AC299" i="2"/>
  <c r="AC74" i="2"/>
  <c r="AC260" i="2"/>
  <c r="AC144" i="2"/>
  <c r="AC141" i="2"/>
  <c r="AC200" i="2"/>
  <c r="AC211" i="2"/>
  <c r="AC204" i="2"/>
  <c r="AC100" i="2"/>
  <c r="AC50" i="2"/>
  <c r="AC289" i="2"/>
  <c r="AC237" i="2"/>
  <c r="AC162" i="2"/>
  <c r="AC65" i="2"/>
  <c r="AC256" i="2"/>
  <c r="AC259" i="2"/>
  <c r="AC41" i="2"/>
  <c r="AC147" i="2"/>
  <c r="AC242" i="2"/>
  <c r="AC128" i="2"/>
  <c r="AC287" i="2"/>
  <c r="AC71" i="2"/>
  <c r="AC238" i="2"/>
  <c r="AC109" i="2"/>
  <c r="AC139" i="2"/>
  <c r="AC228" i="2"/>
  <c r="AC131" i="2"/>
  <c r="AC80" i="2"/>
  <c r="AC227" i="2"/>
  <c r="AC117" i="2"/>
  <c r="AC123" i="2"/>
  <c r="AC234" i="2"/>
  <c r="AC231" i="2"/>
  <c r="AC150" i="2"/>
  <c r="AC215" i="2"/>
  <c r="AC66" i="2"/>
  <c r="AC243" i="2"/>
  <c r="AC254" i="2"/>
  <c r="AC290" i="2"/>
  <c r="AC292" i="2"/>
  <c r="AC44" i="2"/>
  <c r="AC111" i="2"/>
  <c r="AC281" i="2"/>
  <c r="AC209" i="2"/>
  <c r="AC197" i="2"/>
  <c r="AC62" i="2"/>
  <c r="AC167" i="2"/>
  <c r="AC297" i="2"/>
  <c r="AC159" i="2"/>
  <c r="AC169" i="2"/>
  <c r="AC183" i="2"/>
  <c r="AC112" i="2"/>
  <c r="AC207" i="2"/>
  <c r="AC161" i="2"/>
  <c r="AC294" i="2"/>
  <c r="AC103" i="2"/>
  <c r="AC269" i="2"/>
  <c r="AC121" i="2"/>
  <c r="AC288" i="2"/>
  <c r="AC235" i="2"/>
  <c r="AC55" i="2"/>
  <c r="AC148" i="2"/>
  <c r="AC53" i="2"/>
  <c r="AC186" i="2"/>
  <c r="AC176" i="2"/>
  <c r="AC199" i="2"/>
  <c r="AC218" i="2"/>
  <c r="AC264" i="2"/>
  <c r="AC106" i="2"/>
  <c r="AC208" i="2"/>
  <c r="AC232" i="2"/>
  <c r="AC286" i="2"/>
  <c r="AC203" i="2"/>
  <c r="AC124" i="2"/>
  <c r="AC257" i="2"/>
  <c r="AC134" i="2"/>
  <c r="AC61" i="2"/>
  <c r="AC101" i="2"/>
  <c r="AC261" i="2"/>
  <c r="AC283" i="2"/>
  <c r="AC156" i="2"/>
  <c r="AC51" i="2"/>
  <c r="AC113" i="2"/>
  <c r="AC268" i="2"/>
  <c r="AC217" i="2"/>
  <c r="AC154" i="2"/>
  <c r="AC250" i="2"/>
  <c r="AC293" i="2"/>
  <c r="AC190" i="2"/>
  <c r="AC127" i="2"/>
  <c r="AC67" i="2"/>
  <c r="AC126" i="2"/>
  <c r="AC280" i="2"/>
  <c r="AC198" i="2"/>
  <c r="AC70" i="2"/>
  <c r="AC59" i="2"/>
  <c r="AC236" i="2"/>
  <c r="AC64" i="2"/>
  <c r="AC230" i="2"/>
  <c r="AC201" i="2"/>
  <c r="AC245" i="2"/>
  <c r="AC246" i="2"/>
  <c r="AC222" i="2"/>
  <c r="AC114" i="2"/>
  <c r="AC98" i="2"/>
  <c r="AC277" i="2"/>
  <c r="AC181" i="2"/>
  <c r="AC57" i="2"/>
  <c r="AC258" i="2"/>
  <c r="AC94" i="2"/>
  <c r="AC164" i="2"/>
  <c r="AC120" i="2"/>
  <c r="AC170" i="2"/>
  <c r="AC184" i="2"/>
  <c r="AC265" i="2"/>
  <c r="AC206" i="2"/>
  <c r="AC96" i="2"/>
  <c r="AC46" i="2"/>
  <c r="AC60" i="2"/>
  <c r="AC84" i="2"/>
  <c r="AC295" i="2"/>
  <c r="AC266" i="2"/>
  <c r="AC160" i="2"/>
  <c r="AC194" i="2"/>
  <c r="AC225" i="2"/>
  <c r="AC52" i="2"/>
  <c r="AC216" i="2"/>
  <c r="AC233" i="2"/>
  <c r="AC130" i="2"/>
  <c r="AC152" i="2"/>
  <c r="AC92" i="2"/>
  <c r="AC138" i="2"/>
  <c r="AC192" i="2"/>
  <c r="AC220" i="2"/>
  <c r="AC104" i="2"/>
  <c r="AC185" i="2"/>
  <c r="AC171" i="2"/>
  <c r="AC241" i="2"/>
  <c r="AC153" i="2"/>
  <c r="AC212" i="2"/>
  <c r="AC240" i="2"/>
  <c r="AC239" i="2"/>
  <c r="AC188" i="2"/>
  <c r="AC279" i="2"/>
  <c r="AC155" i="2"/>
  <c r="AC83" i="2"/>
  <c r="AC249" i="2"/>
  <c r="AC251" i="2"/>
  <c r="AC247" i="2"/>
  <c r="AC91" i="2"/>
  <c r="AC175" i="2"/>
  <c r="AC273" i="2"/>
  <c r="AC118" i="2"/>
  <c r="AC45" i="2"/>
  <c r="AC77" i="2"/>
  <c r="AC223" i="2"/>
  <c r="AC179" i="2"/>
  <c r="AC81" i="2"/>
  <c r="AC93" i="2"/>
  <c r="AC79" i="2"/>
  <c r="AC87" i="2"/>
  <c r="AC253" i="2"/>
  <c r="AC173" i="2"/>
  <c r="AC89" i="2"/>
  <c r="AC119" i="2"/>
  <c r="AC285" i="2"/>
  <c r="AC177" i="2"/>
  <c r="AC191" i="2"/>
  <c r="AC85" i="2"/>
  <c r="AC270" i="2"/>
  <c r="AC300" i="2"/>
  <c r="AC49" i="2"/>
  <c r="X7" i="2"/>
  <c r="Y7" i="2"/>
  <c r="Z7" i="2"/>
  <c r="AA7" i="2"/>
  <c r="AD12" i="2"/>
  <c r="F7" i="2"/>
  <c r="G7" i="2"/>
  <c r="H7" i="2"/>
  <c r="I7" i="2"/>
  <c r="J7" i="2"/>
  <c r="K7" i="2"/>
  <c r="L7" i="2"/>
  <c r="M7" i="2"/>
  <c r="N7" i="2"/>
  <c r="O7" i="2"/>
  <c r="P7" i="2"/>
  <c r="Q7" i="2"/>
  <c r="AD9" i="2"/>
  <c r="R7" i="2"/>
  <c r="S7" i="2"/>
  <c r="T7" i="2"/>
  <c r="U7" i="2"/>
  <c r="V7" i="2"/>
  <c r="W7" i="2"/>
  <c r="AD14" i="2"/>
  <c r="AD20" i="2"/>
  <c r="AD16" i="2"/>
  <c r="K4" i="2"/>
  <c r="K10" i="2"/>
  <c r="K8" i="2"/>
  <c r="K6" i="2"/>
  <c r="M8" i="2"/>
  <c r="M6" i="2"/>
  <c r="AA11" i="2"/>
  <c r="K5" i="2"/>
  <c r="AA6" i="2"/>
  <c r="I4" i="2"/>
  <c r="I6" i="2"/>
  <c r="U9" i="2"/>
  <c r="I10" i="2"/>
  <c r="AA10" i="2"/>
  <c r="Q4" i="2"/>
  <c r="AA8" i="2"/>
  <c r="AA4" i="2"/>
  <c r="Q10" i="2"/>
  <c r="Q9" i="2"/>
  <c r="Q8" i="2"/>
  <c r="U11" i="2"/>
  <c r="U6" i="2"/>
  <c r="U4" i="2"/>
  <c r="U10" i="2"/>
  <c r="K11" i="2"/>
  <c r="W10" i="2"/>
  <c r="W6" i="2"/>
  <c r="W5" i="2"/>
  <c r="W4" i="2"/>
  <c r="W11" i="2"/>
  <c r="Y11" i="2"/>
  <c r="Y5" i="2"/>
  <c r="AA5" i="2"/>
  <c r="G11" i="2"/>
  <c r="G10" i="2"/>
  <c r="G9" i="2"/>
  <c r="G8" i="2"/>
  <c r="G6" i="2"/>
  <c r="G5" i="2"/>
  <c r="G4" i="2"/>
  <c r="Y8" i="2"/>
  <c r="Y6" i="2"/>
  <c r="Y10" i="2"/>
  <c r="Y4" i="2"/>
  <c r="M4" i="2"/>
  <c r="Q6" i="2"/>
  <c r="U8" i="2"/>
  <c r="W9" i="2"/>
  <c r="I8" i="2"/>
  <c r="K9" i="2"/>
  <c r="M10" i="2"/>
  <c r="AA9" i="2"/>
  <c r="O6" i="2"/>
  <c r="O5" i="2"/>
  <c r="O4" i="2"/>
  <c r="O11" i="2"/>
  <c r="O10" i="2"/>
  <c r="O9" i="2"/>
  <c r="O8" i="2"/>
  <c r="AB11" i="2"/>
  <c r="AB5" i="2"/>
  <c r="AB6" i="2"/>
  <c r="AB4" i="2"/>
  <c r="AB7" i="2"/>
  <c r="AB8" i="2"/>
  <c r="AB9" i="2"/>
  <c r="AB10" i="2"/>
  <c r="AC11" i="2"/>
  <c r="AC17" i="2"/>
  <c r="AC6" i="2"/>
  <c r="AC7" i="2"/>
  <c r="AC19" i="2"/>
  <c r="AC10" i="2"/>
  <c r="AC16" i="2"/>
  <c r="AC15" i="2"/>
  <c r="AC12" i="2"/>
  <c r="AC20" i="2"/>
  <c r="AC8" i="2"/>
  <c r="AC4" i="2"/>
  <c r="AC9" i="2"/>
  <c r="AC18" i="2"/>
  <c r="AC13" i="2"/>
  <c r="AC5" i="2"/>
  <c r="AC14" i="2"/>
  <c r="AD301" i="2"/>
  <c r="AC301" i="2"/>
  <c r="AB301" i="2"/>
</calcChain>
</file>

<file path=xl/sharedStrings.xml><?xml version="1.0" encoding="utf-8"?>
<sst xmlns="http://schemas.openxmlformats.org/spreadsheetml/2006/main" count="1054" uniqueCount="650">
  <si>
    <t>OPEN TO ACCRUAL</t>
  </si>
  <si>
    <t>SWOG-S9808</t>
  </si>
  <si>
    <t>YU-2019-1</t>
  </si>
  <si>
    <t>YU-2012-1</t>
  </si>
  <si>
    <t>CLOSED TO ACCRUAL</t>
  </si>
  <si>
    <t>LEMARCHAND-2019-1</t>
  </si>
  <si>
    <t>ACOBA-2017-2</t>
  </si>
  <si>
    <t>FUKUI-2019-1</t>
  </si>
  <si>
    <t>BANTUM-2017-1</t>
  </si>
  <si>
    <t>CHAN-2015-1</t>
  </si>
  <si>
    <t>ROSSER-2015-4/ML29793</t>
  </si>
  <si>
    <t>ELI-LILLY-I4T-MC-JVCY</t>
  </si>
  <si>
    <t>I3Y-MC-JPCF/NSABP-B-58</t>
  </si>
  <si>
    <t>MILLENNIUM-C16014</t>
  </si>
  <si>
    <t>DS8201-A-U201</t>
  </si>
  <si>
    <t>GOG-3015/YO39523</t>
  </si>
  <si>
    <t>AFT-25-COMET</t>
  </si>
  <si>
    <t>AFT-19</t>
  </si>
  <si>
    <t>ALTOR-CA-ALT-803-01-14</t>
  </si>
  <si>
    <t>ROSSER-2017-1/ALTOR-16</t>
  </si>
  <si>
    <t>RIFTOS-MKI</t>
  </si>
  <si>
    <t>AFT-28</t>
  </si>
  <si>
    <t>RECENTLY CLOSED OUT</t>
  </si>
  <si>
    <t>VIVENTIA-VB4-845-02-IIIA</t>
  </si>
  <si>
    <t>MERCK-MK-3475-177-00</t>
  </si>
  <si>
    <t>ABBVIE-M13-694/GOG-3005</t>
  </si>
  <si>
    <t>SWOG-S1605</t>
  </si>
  <si>
    <t>CITN-14</t>
  </si>
  <si>
    <t>IRB INITIAL APPROVAL</t>
  </si>
  <si>
    <t>NRG-GY018</t>
  </si>
  <si>
    <t>NRG-LU005</t>
  </si>
  <si>
    <t>PRMC APPROVAL</t>
  </si>
  <si>
    <t>SWOG-S0702</t>
  </si>
  <si>
    <t>SWOG-S1418</t>
  </si>
  <si>
    <t>NRG-LU003</t>
  </si>
  <si>
    <t>SWOG-S1800A</t>
  </si>
  <si>
    <t>ALLIANCE-A031704</t>
  </si>
  <si>
    <t>ECOG-EA6134</t>
  </si>
  <si>
    <t>GOG-0252</t>
  </si>
  <si>
    <t>SWOG-S1806</t>
  </si>
  <si>
    <t>ALLIANCE-A051701</t>
  </si>
  <si>
    <t>Status</t>
  </si>
  <si>
    <t>IIT</t>
  </si>
  <si>
    <t>DT4</t>
  </si>
  <si>
    <t>Drug</t>
  </si>
  <si>
    <t>Precision</t>
  </si>
  <si>
    <t>RN</t>
  </si>
  <si>
    <t>IRB</t>
  </si>
  <si>
    <t>Sponsor</t>
  </si>
  <si>
    <t>FDA</t>
  </si>
  <si>
    <t>Total</t>
  </si>
  <si>
    <t>Mod</t>
  </si>
  <si>
    <t>Modifier</t>
  </si>
  <si>
    <t>Protocol</t>
  </si>
  <si>
    <t>Status Modifier</t>
  </si>
  <si>
    <t>Optimized</t>
  </si>
  <si>
    <t>Actual</t>
  </si>
  <si>
    <t>Hours per Year</t>
  </si>
  <si>
    <t>a</t>
  </si>
  <si>
    <t>A</t>
  </si>
  <si>
    <t>B</t>
  </si>
  <si>
    <t>Hours</t>
  </si>
  <si>
    <t>iit</t>
  </si>
  <si>
    <t>dt4</t>
  </si>
  <si>
    <t>drug</t>
  </si>
  <si>
    <t>precision</t>
  </si>
  <si>
    <t>sites</t>
  </si>
  <si>
    <t>subsites</t>
  </si>
  <si>
    <t>sub_inv</t>
  </si>
  <si>
    <t>rn</t>
  </si>
  <si>
    <t>irb</t>
  </si>
  <si>
    <t>sponsor</t>
  </si>
  <si>
    <t>fda</t>
  </si>
  <si>
    <t>hours</t>
  </si>
  <si>
    <t>ACOBA-2015-1</t>
  </si>
  <si>
    <t>ACOBA-2019-1</t>
  </si>
  <si>
    <t>ACOSOG-Z1031</t>
  </si>
  <si>
    <t>ACUPUNCTURE-WF-97115</t>
  </si>
  <si>
    <t>ALLIANCE-A011202</t>
  </si>
  <si>
    <t>ALLIANCE-A011401</t>
  </si>
  <si>
    <t>ALLIANCE-A011502</t>
  </si>
  <si>
    <t>ALLIANCE-A021502</t>
  </si>
  <si>
    <t>ALLIANCE-A021602</t>
  </si>
  <si>
    <t>ALLIANCE-A021703</t>
  </si>
  <si>
    <t>ALLIANCE-A031201</t>
  </si>
  <si>
    <t>ALLIANCE-A031203</t>
  </si>
  <si>
    <t>ALLIANCE-A031501</t>
  </si>
  <si>
    <t>ALLIANCE-A031803</t>
  </si>
  <si>
    <t>ALLIANCE-A071102</t>
  </si>
  <si>
    <t>ALLIANCE-A081105</t>
  </si>
  <si>
    <t>ALLIANCE-A151216</t>
  </si>
  <si>
    <t>ALLIANCE-A191401</t>
  </si>
  <si>
    <t>ALLIANCE-A191402CD</t>
  </si>
  <si>
    <t>ALLIANCE-A211601</t>
  </si>
  <si>
    <t>ALLIANCE-A221504</t>
  </si>
  <si>
    <t>ALLIANCE-A221602</t>
  </si>
  <si>
    <t>ALLIANCE-A231601CD</t>
  </si>
  <si>
    <t>ALLIANCE-CCP-PILOT</t>
  </si>
  <si>
    <t>BANTUM-2013-2</t>
  </si>
  <si>
    <t>BAYERPHARMA-REASSURE16913</t>
  </si>
  <si>
    <t>BRAUN-INGLIS-2019-1</t>
  </si>
  <si>
    <t>BRAUN-INGLIS-2019-2</t>
  </si>
  <si>
    <t>BRAUN-INGLIS-2019-3</t>
  </si>
  <si>
    <t>BRYANT-GREENWOOD-2013-1</t>
  </si>
  <si>
    <t>CALGB-40603</t>
  </si>
  <si>
    <t>CALGB-80702</t>
  </si>
  <si>
    <t>CALGB-80803</t>
  </si>
  <si>
    <t>CASSEL-2016-3</t>
  </si>
  <si>
    <t>CASSEL-2017-1</t>
  </si>
  <si>
    <t>CHS-17115</t>
  </si>
  <si>
    <t>CTSU-N063D-BIG-2-06-ALTTO</t>
  </si>
  <si>
    <t>DCP-001</t>
  </si>
  <si>
    <t>DCP-002</t>
  </si>
  <si>
    <t>DS8201-A-U301</t>
  </si>
  <si>
    <t>ECOG-ACRIN-EA1131</t>
  </si>
  <si>
    <t>ECOG-ACRIN-EA1141</t>
  </si>
  <si>
    <t>ECOG-ACRIN-EA1151-TMIST</t>
  </si>
  <si>
    <t>ECOG-ACRIN-EA3161</t>
  </si>
  <si>
    <t>ECOG-ACRIN-EA5142</t>
  </si>
  <si>
    <t>ECOG-ACRIN-EA5163</t>
  </si>
  <si>
    <t>ECOG-ACRIN-EA8143</t>
  </si>
  <si>
    <t>ECOG-ACRIN-EA8171</t>
  </si>
  <si>
    <t>ECOG-ACRIN-EA9161</t>
  </si>
  <si>
    <t>ECOG-ACRIN-EAQ152-COMET</t>
  </si>
  <si>
    <t>ECOG-ACRIN-EAQ162CD</t>
  </si>
  <si>
    <t>ECOG-ACRIN-EAY131-MATCH</t>
  </si>
  <si>
    <t>ECOG-E1411</t>
  </si>
  <si>
    <t>ECOG-E1412</t>
  </si>
  <si>
    <t>ECOG-E1505</t>
  </si>
  <si>
    <t>ECOG-E1609</t>
  </si>
  <si>
    <t>ECOG-E1A11</t>
  </si>
  <si>
    <t>ECOG-E1Q11</t>
  </si>
  <si>
    <t>ECOG-E1Z11</t>
  </si>
  <si>
    <t>ECOG-E2112</t>
  </si>
  <si>
    <t>ECOG-E2607</t>
  </si>
  <si>
    <t>ECOG-E2805</t>
  </si>
  <si>
    <t>ECOG-E3108</t>
  </si>
  <si>
    <t>ECOG-E3311</t>
  </si>
  <si>
    <t>ECOG-E4402</t>
  </si>
  <si>
    <t>ECOG-E4512</t>
  </si>
  <si>
    <t>ECOG-E5103</t>
  </si>
  <si>
    <t>ECOG-E5202</t>
  </si>
  <si>
    <t>FRNM-002</t>
  </si>
  <si>
    <t>FUKUI-2019-2</t>
  </si>
  <si>
    <t>GOG-0199</t>
  </si>
  <si>
    <t>GOG-0209</t>
  </si>
  <si>
    <t>GOG-0218</t>
  </si>
  <si>
    <t>GOG-0225</t>
  </si>
  <si>
    <t>GOG-0249</t>
  </si>
  <si>
    <t>GOG-0258</t>
  </si>
  <si>
    <t>GOG-0262</t>
  </si>
  <si>
    <t>GOG-0274</t>
  </si>
  <si>
    <t>GOG-0279</t>
  </si>
  <si>
    <t>GOG-0286B</t>
  </si>
  <si>
    <t>GOG-3004-ASTRAZENECA</t>
  </si>
  <si>
    <t>HERZOG-2016-1</t>
  </si>
  <si>
    <t>HOLCOMBE-2018-1</t>
  </si>
  <si>
    <t>HOLCOMBE-2018-2</t>
  </si>
  <si>
    <t>IBCSG-24-02</t>
  </si>
  <si>
    <t>KUWADA-2020-1</t>
  </si>
  <si>
    <t>KWEE-CHS-17604</t>
  </si>
  <si>
    <t>KWEE-CHS-19373</t>
  </si>
  <si>
    <t>MDA-2014-0944</t>
  </si>
  <si>
    <t>MDA-2015-0936</t>
  </si>
  <si>
    <t>MDA-2016-0046</t>
  </si>
  <si>
    <t>MDA-2016-1035</t>
  </si>
  <si>
    <t>MDA-2018-0349</t>
  </si>
  <si>
    <t>MENDEL</t>
  </si>
  <si>
    <t>MIRATI-516-005</t>
  </si>
  <si>
    <t>NCI-2018-10231/MOONSHOT</t>
  </si>
  <si>
    <t>NCIC-CTG-MA-32</t>
  </si>
  <si>
    <t>NRG-BN003</t>
  </si>
  <si>
    <t>NRG-BR003</t>
  </si>
  <si>
    <t>NRG-BR004</t>
  </si>
  <si>
    <t>NRG-CC003</t>
  </si>
  <si>
    <t>NRG-CC004</t>
  </si>
  <si>
    <t>NRG-CC007CD</t>
  </si>
  <si>
    <t>NRG-GI005</t>
  </si>
  <si>
    <t>NRG-GU003</t>
  </si>
  <si>
    <t>NRG-GY004</t>
  </si>
  <si>
    <t>NRG-GY005</t>
  </si>
  <si>
    <t>NRG-GY014</t>
  </si>
  <si>
    <t>NRG-GY019</t>
  </si>
  <si>
    <t>NRG-HN001</t>
  </si>
  <si>
    <t>NRG-HN002</t>
  </si>
  <si>
    <t>NRG-HN004</t>
  </si>
  <si>
    <t>NRG-HN005</t>
  </si>
  <si>
    <t>NRG-LU001</t>
  </si>
  <si>
    <t>NSABP-B-31</t>
  </si>
  <si>
    <t>NSABP-B-42</t>
  </si>
  <si>
    <t>NSABP-B-43</t>
  </si>
  <si>
    <t>NSABP-B-47</t>
  </si>
  <si>
    <t>NSABP-B-49</t>
  </si>
  <si>
    <t>NSABP-B-51</t>
  </si>
  <si>
    <t>NSABP-B-52</t>
  </si>
  <si>
    <t>NSABP-B-55</t>
  </si>
  <si>
    <t>OPTIMIZE-CA209357</t>
  </si>
  <si>
    <t>PACCT-1</t>
  </si>
  <si>
    <t>PALETTE-1037-0001</t>
  </si>
  <si>
    <t>RTOG-0521</t>
  </si>
  <si>
    <t>RTOG-0534</t>
  </si>
  <si>
    <t>RTOG-0815</t>
  </si>
  <si>
    <t>RTOG-0848</t>
  </si>
  <si>
    <t>RTOG-0920</t>
  </si>
  <si>
    <t>RTOG-0924</t>
  </si>
  <si>
    <t>RTOG-1005</t>
  </si>
  <si>
    <t>RTOG-1203</t>
  </si>
  <si>
    <t>RTOG-98-04</t>
  </si>
  <si>
    <t>RTOG-99-10</t>
  </si>
  <si>
    <t>SGNTUC-016</t>
  </si>
  <si>
    <t>SWOG-E1199-S9808</t>
  </si>
  <si>
    <t>SWOG-E2496</t>
  </si>
  <si>
    <t>SWOG-LUNGMAP</t>
  </si>
  <si>
    <t>SWOG-S0016-S9808</t>
  </si>
  <si>
    <t>SWOG-S0033-S9808</t>
  </si>
  <si>
    <t>SWOG-S0221-S9808</t>
  </si>
  <si>
    <t>SWOG-S0307-S9808</t>
  </si>
  <si>
    <t>SWOG-S0777</t>
  </si>
  <si>
    <t>SWOG-S0816-S9808</t>
  </si>
  <si>
    <t>SWOG-S0820</t>
  </si>
  <si>
    <t>SWOG-S0925-S9808</t>
  </si>
  <si>
    <t>SWOG-S0931-S9808</t>
  </si>
  <si>
    <t>SWOG-S1001-S9808</t>
  </si>
  <si>
    <t>SWOG-S1007</t>
  </si>
  <si>
    <t>SWOG-S1204-S9808</t>
  </si>
  <si>
    <t>SWOG-S1206-8811-S9808</t>
  </si>
  <si>
    <t>SWOG-S1207</t>
  </si>
  <si>
    <t>SWOG-S1222</t>
  </si>
  <si>
    <t>SWOG-S1320</t>
  </si>
  <si>
    <t>SWOG-S1400</t>
  </si>
  <si>
    <t>SWOG-S1400A-S9808</t>
  </si>
  <si>
    <t>SWOG-S1400I</t>
  </si>
  <si>
    <t>SWOG-S1400K</t>
  </si>
  <si>
    <t>SWOG-S1403</t>
  </si>
  <si>
    <t>SWOG-S1404</t>
  </si>
  <si>
    <t>SWOG-S1406</t>
  </si>
  <si>
    <t>SWOG-S1415CD</t>
  </si>
  <si>
    <t>SWOG-S1417CD</t>
  </si>
  <si>
    <t>SWOG-S1507-S9808</t>
  </si>
  <si>
    <t>SWOG-S1602</t>
  </si>
  <si>
    <t>SWOG-S1609-DART</t>
  </si>
  <si>
    <t>SWOG-S1613</t>
  </si>
  <si>
    <t>SWOG-S1614</t>
  </si>
  <si>
    <t>SWOG-S1703</t>
  </si>
  <si>
    <t>SWOG-S1706</t>
  </si>
  <si>
    <t>SWOG-S1712</t>
  </si>
  <si>
    <t>SWOG-S1714</t>
  </si>
  <si>
    <t>SWOG-S1801</t>
  </si>
  <si>
    <t>SWOG-S1803</t>
  </si>
  <si>
    <t>SWOG-S1820</t>
  </si>
  <si>
    <t>SWOG-S1900A</t>
  </si>
  <si>
    <t>SWOG-S1900C</t>
  </si>
  <si>
    <t>SY-2015-1</t>
  </si>
  <si>
    <t>TAPUR</t>
  </si>
  <si>
    <t>URCC-13059</t>
  </si>
  <si>
    <t>URCC-13070</t>
  </si>
  <si>
    <t>URCC-14040</t>
  </si>
  <si>
    <t>URCC-16070</t>
  </si>
  <si>
    <t>URCC-16092</t>
  </si>
  <si>
    <t>URCC-18004CD</t>
  </si>
  <si>
    <t>URCC-18110CD</t>
  </si>
  <si>
    <t>WF-10217</t>
  </si>
  <si>
    <t>WF-1801</t>
  </si>
  <si>
    <t>WF-1802</t>
  </si>
  <si>
    <t>WF-1803CD</t>
  </si>
  <si>
    <t>WF-20817CD</t>
  </si>
  <si>
    <t>WF-97116</t>
  </si>
  <si>
    <t>A091605</t>
  </si>
  <si>
    <t>ACCL1131</t>
  </si>
  <si>
    <t>ACNS1022</t>
  </si>
  <si>
    <t>ACOBA-2013-1</t>
  </si>
  <si>
    <t>ACOBA-2014-1</t>
  </si>
  <si>
    <t>ACOBA-2017-1</t>
  </si>
  <si>
    <t>ACOSOG-Z11102</t>
  </si>
  <si>
    <t>ACOSOG-Z9001</t>
  </si>
  <si>
    <t>ADVAXIS-ADXS001-02</t>
  </si>
  <si>
    <t>AEWS02B1</t>
  </si>
  <si>
    <t>AFT-31</t>
  </si>
  <si>
    <t>AFT-38</t>
  </si>
  <si>
    <t>AFT-39-PROTECT</t>
  </si>
  <si>
    <t>AG013-ODOM-201</t>
  </si>
  <si>
    <t>ALLIANCE-A011106</t>
  </si>
  <si>
    <t>ALLIANCE-A011203</t>
  </si>
  <si>
    <t>ALLIANCE-A021202</t>
  </si>
  <si>
    <t>ALLIANCE-A021302</t>
  </si>
  <si>
    <t>ALLIANCE-A021501</t>
  </si>
  <si>
    <t>ALLIANCE-A031701</t>
  </si>
  <si>
    <t>ALLIANCE-A031702</t>
  </si>
  <si>
    <t>ALLIANCE-A031801</t>
  </si>
  <si>
    <t>ALLIANCE-A041202</t>
  </si>
  <si>
    <t>ALLIANCE-A041501</t>
  </si>
  <si>
    <t>ALLIANCE-A041701</t>
  </si>
  <si>
    <t>ALLIANCE-A041702</t>
  </si>
  <si>
    <t>ALLIANCE-A041703</t>
  </si>
  <si>
    <t>ALLIANCE-A061202</t>
  </si>
  <si>
    <t>ALLIANCE-A061402</t>
  </si>
  <si>
    <t>ALLIANCE-A071401</t>
  </si>
  <si>
    <t>ALLIANCE-A071601</t>
  </si>
  <si>
    <t>ALLIANCE-A071701</t>
  </si>
  <si>
    <t>ALLIANCE-A071801</t>
  </si>
  <si>
    <t>ALLIANCE-A091102</t>
  </si>
  <si>
    <t>ALLIANCE-A091105</t>
  </si>
  <si>
    <t>ALLIANCE-A091202</t>
  </si>
  <si>
    <t>ALLIANCE-A091304</t>
  </si>
  <si>
    <t>ALLIANCE-A091305</t>
  </si>
  <si>
    <t>ALLIANCE-A091401</t>
  </si>
  <si>
    <t>ALLIANCE-A091802</t>
  </si>
  <si>
    <t>ALLIANCE-A151804</t>
  </si>
  <si>
    <t>ALLIANCE-A171601</t>
  </si>
  <si>
    <t>ALLIANCE-A211102</t>
  </si>
  <si>
    <t>ALLIANCE-A211401</t>
  </si>
  <si>
    <t>ALLIANCE-A211701</t>
  </si>
  <si>
    <t>ALLIANCE-A221101</t>
  </si>
  <si>
    <t>ALLIANCE-A221208</t>
  </si>
  <si>
    <t>ALLIANCE-A221301</t>
  </si>
  <si>
    <t>ALLIANCE-A221303</t>
  </si>
  <si>
    <t>ALLIANCE-A221304</t>
  </si>
  <si>
    <t>ALLIANCE-A221405-POSITIVE</t>
  </si>
  <si>
    <t>ALLIANCE-A221505</t>
  </si>
  <si>
    <t>ALLIANCE-A221701</t>
  </si>
  <si>
    <t>ALLIANCE-A221702</t>
  </si>
  <si>
    <t>ALLIANCE-A231602CD</t>
  </si>
  <si>
    <t>ALLIANCE-A231701CD</t>
  </si>
  <si>
    <t>ALLIANCE-N1048</t>
  </si>
  <si>
    <t>ALLIANCE-N1174</t>
  </si>
  <si>
    <t>AM0010-201</t>
  </si>
  <si>
    <t>ARST1321-ABD</t>
  </si>
  <si>
    <t>ASTRAZENECA-</t>
  </si>
  <si>
    <t>BANTUM-2016-1</t>
  </si>
  <si>
    <t>BAY-80-6946-17067</t>
  </si>
  <si>
    <t>BAY-80-6946-17833</t>
  </si>
  <si>
    <t>BAY-94-9343-1572</t>
  </si>
  <si>
    <t>BAYER-ONTRK-20324</t>
  </si>
  <si>
    <t>BIOTH-BT-CL-PGG-CRC1031</t>
  </si>
  <si>
    <t>CA-ALT-803-01-14-SPU-1</t>
  </si>
  <si>
    <t>CA-ALT-803-01-14-SPU-2</t>
  </si>
  <si>
    <t>CA-ALT-803-01-14-SPU-3</t>
  </si>
  <si>
    <t>CA-ALT-803-01-14-SPU-4</t>
  </si>
  <si>
    <t>CA-ALT-803-01-15</t>
  </si>
  <si>
    <t>CA-ALT-803-01-15-SPU-1</t>
  </si>
  <si>
    <t>CALGB-30801</t>
  </si>
  <si>
    <t>CALGB-40101</t>
  </si>
  <si>
    <t>CALGB-40502</t>
  </si>
  <si>
    <t>CALGB-40903</t>
  </si>
  <si>
    <t>CALGB-50904</t>
  </si>
  <si>
    <t>CALGB-70807</t>
  </si>
  <si>
    <t>CALGB-80101</t>
  </si>
  <si>
    <t>CALGB-80405</t>
  </si>
  <si>
    <t>CALGB-80701</t>
  </si>
  <si>
    <t>CALGB-80802</t>
  </si>
  <si>
    <t>CALGB-90202</t>
  </si>
  <si>
    <t>CASSEL-2020-1</t>
  </si>
  <si>
    <t>CASTRO-2013-1</t>
  </si>
  <si>
    <t>CBYL719C2301</t>
  </si>
  <si>
    <t>CCTG-CE7</t>
  </si>
  <si>
    <t>CCTG-MA39</t>
  </si>
  <si>
    <t>CELGENE-CC-488-AML-001</t>
  </si>
  <si>
    <t>CHS-15510</t>
  </si>
  <si>
    <t>CHS-16928</t>
  </si>
  <si>
    <t>CHS-17318</t>
  </si>
  <si>
    <t>CHS-18704</t>
  </si>
  <si>
    <t>CMX-DS-003</t>
  </si>
  <si>
    <t>CO-338-097</t>
  </si>
  <si>
    <t>CRCH-1101BMSSIMPLICITY</t>
  </si>
  <si>
    <t>CRCH-1104POLARIS</t>
  </si>
  <si>
    <t>CRCH0901-HER2-GP2-AE37</t>
  </si>
  <si>
    <t>CRCH1001-BO22589</t>
  </si>
  <si>
    <t>CRCH1103-04-22-ONCONOVA</t>
  </si>
  <si>
    <t>CTSU-CALGB-90401</t>
  </si>
  <si>
    <t>E2204</t>
  </si>
  <si>
    <t>EAE161</t>
  </si>
  <si>
    <t>ECOG-ACRIN-E4412</t>
  </si>
  <si>
    <t>ECOG-ACRIN-EA1181</t>
  </si>
  <si>
    <t>ECOG-ACRIN-EA2133</t>
  </si>
  <si>
    <t>ECOG-ACRIN-EA2161</t>
  </si>
  <si>
    <t>ECOG-ACRIN-EA2165</t>
  </si>
  <si>
    <t>ECOG-ACRIN-EA2182</t>
  </si>
  <si>
    <t>ECOG-ACRIN-EA2183</t>
  </si>
  <si>
    <t>ECOG-ACRIN-EA2185</t>
  </si>
  <si>
    <t>ECOG-ACRIN-EA2187</t>
  </si>
  <si>
    <t>ECOG-ACRIN-EA3132</t>
  </si>
  <si>
    <t>ECOG-ACRIN-EA3163</t>
  </si>
  <si>
    <t>ECOG-ACRIN-EA4151</t>
  </si>
  <si>
    <t>ECOG-ACRIN-EA4181</t>
  </si>
  <si>
    <t>ECOG-ACRIN-EA5161</t>
  </si>
  <si>
    <t>ECOG-ACRIN-EA5162</t>
  </si>
  <si>
    <t>ECOG-ACRIN-EA6141</t>
  </si>
  <si>
    <t>ECOG-ACRIN-EA6174</t>
  </si>
  <si>
    <t>ECOG-ACRIN-EA6183</t>
  </si>
  <si>
    <t>ECOG-ACRIN-EA8134</t>
  </si>
  <si>
    <t>ECOG-ACRIN-EA8153</t>
  </si>
  <si>
    <t>ECOG-ACRIN-EA9171</t>
  </si>
  <si>
    <t>ECOG-ACRIN-EAA173</t>
  </si>
  <si>
    <t>ECOG-ACRIN-EAQ161CD</t>
  </si>
  <si>
    <t>ECOG-ACRIN-EAQ171CD</t>
  </si>
  <si>
    <t>ECOG-ACRIN-EAZ171</t>
  </si>
  <si>
    <t>ECOG-ACRIN-NHLBI-MDS</t>
  </si>
  <si>
    <t>ECOG-E1105</t>
  </si>
  <si>
    <t>ECOG-E1208</t>
  </si>
  <si>
    <t>ECOG-E1808</t>
  </si>
  <si>
    <t>ECOG-E1912</t>
  </si>
  <si>
    <t>ECOG-E2211</t>
  </si>
  <si>
    <t>ECOG-E2212</t>
  </si>
  <si>
    <t>ECOG-E2511</t>
  </si>
  <si>
    <t>ECOG-E2906</t>
  </si>
  <si>
    <t>ECOG-E3612</t>
  </si>
  <si>
    <t>ECOG-E3F05</t>
  </si>
  <si>
    <t>ECOG-E4112</t>
  </si>
  <si>
    <t>ECOG-E4A03</t>
  </si>
  <si>
    <t>ECOG-E5204</t>
  </si>
  <si>
    <t>ECOG-E7208</t>
  </si>
  <si>
    <t>ECOG-EA8141</t>
  </si>
  <si>
    <t>ELI-LILLY-13X-MC-JHTC</t>
  </si>
  <si>
    <t>ELI-LILLY-I4T-MC-JVDB</t>
  </si>
  <si>
    <t>ELI-LILLY-I5B-MC-JGDP</t>
  </si>
  <si>
    <t>EXELIXIS-XL184-309</t>
  </si>
  <si>
    <t>FHOFFMAN-LAROCHE-WO29637</t>
  </si>
  <si>
    <t>FUKUI-2018-1</t>
  </si>
  <si>
    <t>GALENABIOPHARMA-2014-0443</t>
  </si>
  <si>
    <t>GENENTECH-G029431</t>
  </si>
  <si>
    <t>GENENTECH-GB-ML25749</t>
  </si>
  <si>
    <t>GEODE-01-MX-003</t>
  </si>
  <si>
    <t>GILEAD-GS-US-370-1297</t>
  </si>
  <si>
    <t>GOG-0086P</t>
  </si>
  <si>
    <t>GOG-0174</t>
  </si>
  <si>
    <t>GOG-0182</t>
  </si>
  <si>
    <t>GOG-0184</t>
  </si>
  <si>
    <t>GOG-0186J</t>
  </si>
  <si>
    <t>GOG-0186K</t>
  </si>
  <si>
    <t>GOG-0191</t>
  </si>
  <si>
    <t>GOG-0219</t>
  </si>
  <si>
    <t>GOG-0229O</t>
  </si>
  <si>
    <t>GOG-0231D</t>
  </si>
  <si>
    <t>GOG-0238</t>
  </si>
  <si>
    <t>GOG-0240</t>
  </si>
  <si>
    <t>GOG-0259</t>
  </si>
  <si>
    <t>GOG-0263</t>
  </si>
  <si>
    <t>GOG-0277</t>
  </si>
  <si>
    <t>GOG-0278</t>
  </si>
  <si>
    <t>GOG-0281</t>
  </si>
  <si>
    <t>GOG-0283</t>
  </si>
  <si>
    <t>GOG-3001-AMGEN-20101129</t>
  </si>
  <si>
    <t>GOG-3003-VENTIRX</t>
  </si>
  <si>
    <t>GOG-LAP2</t>
  </si>
  <si>
    <t>HEDGES-2015-1</t>
  </si>
  <si>
    <t>HERZOG-2015-1</t>
  </si>
  <si>
    <t>HUANG-2015-1</t>
  </si>
  <si>
    <t>HUANG-2015-SPU-1</t>
  </si>
  <si>
    <t>JANSSEN-PCR-3002</t>
  </si>
  <si>
    <t>KADMON-KD019-206</t>
  </si>
  <si>
    <t>KWEE-CHS-17764</t>
  </si>
  <si>
    <t>KWEE-CHS-18913</t>
  </si>
  <si>
    <t>LILLYI5B-MC-JGDJ</t>
  </si>
  <si>
    <t>MERCK-MK-3475-061</t>
  </si>
  <si>
    <t>MERCK-MK-3475-164</t>
  </si>
  <si>
    <t>MERCK-MK-3475-180</t>
  </si>
  <si>
    <t>MERCK-MK-3475-181</t>
  </si>
  <si>
    <t>MERCK-MK-3475-240-01</t>
  </si>
  <si>
    <t>MORRIS-2013-1</t>
  </si>
  <si>
    <t>MSKCC-10-165A-16</t>
  </si>
  <si>
    <t>N9741</t>
  </si>
  <si>
    <t>NATIVIS-NAT-101</t>
  </si>
  <si>
    <t>NCCTG-N0147</t>
  </si>
  <si>
    <t>NCCTG-N0872</t>
  </si>
  <si>
    <t>NCCTG-N08CA</t>
  </si>
  <si>
    <t>NCCTG-N107C</t>
  </si>
  <si>
    <t>NCCTG-N9831</t>
  </si>
  <si>
    <t>NCIC-CTG-MA21</t>
  </si>
  <si>
    <t>NCORP-RFA-CA-13-014</t>
  </si>
  <si>
    <t>NMTRC-003-WADA</t>
  </si>
  <si>
    <t>NMTRC-008-WADA</t>
  </si>
  <si>
    <t>NMTRC-009-WADA</t>
  </si>
  <si>
    <t>NMTRC-012</t>
  </si>
  <si>
    <t>NOVARTIS-CLEE011A2404</t>
  </si>
  <si>
    <t>NOVARTIS-CLEE011XUS03</t>
  </si>
  <si>
    <t>NOVARTIS-CPZP034A2410</t>
  </si>
  <si>
    <t>NOVARTISPTCL-0016GENOPTIX</t>
  </si>
  <si>
    <t>NOVOCURE-EF-24-LUNAR</t>
  </si>
  <si>
    <t>NOVOCURE-EF-25</t>
  </si>
  <si>
    <t>NOVOCURE-EF27-PANOVA-3</t>
  </si>
  <si>
    <t>NRG-BN001</t>
  </si>
  <si>
    <t>NRG-BN005</t>
  </si>
  <si>
    <t>NRG-BR001</t>
  </si>
  <si>
    <t>NRG-BR002</t>
  </si>
  <si>
    <t>NRG-BR005</t>
  </si>
  <si>
    <t>NRG-CC002</t>
  </si>
  <si>
    <t>NRG-GI001</t>
  </si>
  <si>
    <t>NRG-GI002</t>
  </si>
  <si>
    <t>NRG-GI003</t>
  </si>
  <si>
    <t>NRG-GI004/SWOG-S1610</t>
  </si>
  <si>
    <t>NRG-GI006</t>
  </si>
  <si>
    <t>NRG-GU001</t>
  </si>
  <si>
    <t>NRG-GU002</t>
  </si>
  <si>
    <t>NRG-GU005</t>
  </si>
  <si>
    <t>NRG-GU006</t>
  </si>
  <si>
    <t>NRG-GU007</t>
  </si>
  <si>
    <t>NRG-GU008</t>
  </si>
  <si>
    <t>NRG-GY001</t>
  </si>
  <si>
    <t>NRG-GY003</t>
  </si>
  <si>
    <t>NRG-GY006</t>
  </si>
  <si>
    <t>NRG-GY008</t>
  </si>
  <si>
    <t>NRG-GY009</t>
  </si>
  <si>
    <t>NRG-GY012</t>
  </si>
  <si>
    <t>NRG-GY016</t>
  </si>
  <si>
    <t>NRG-GY020</t>
  </si>
  <si>
    <t>NRG-GY022</t>
  </si>
  <si>
    <t>NRG-LU002</t>
  </si>
  <si>
    <t>NRG-LU006</t>
  </si>
  <si>
    <t>NSABP-B-27</t>
  </si>
  <si>
    <t>NSABP-B-35</t>
  </si>
  <si>
    <t>NSABP-B-36</t>
  </si>
  <si>
    <t>NSABP-B-38</t>
  </si>
  <si>
    <t>NSABP-B-39</t>
  </si>
  <si>
    <t>NSABP-B-40</t>
  </si>
  <si>
    <t>NSABP-B-41</t>
  </si>
  <si>
    <t>NSABP-B-46-I</t>
  </si>
  <si>
    <t>NSABP-B-59</t>
  </si>
  <si>
    <t>NSABP-R-04</t>
  </si>
  <si>
    <t>ODO-TE-B301</t>
  </si>
  <si>
    <t>OKAZAKI-2014-1</t>
  </si>
  <si>
    <t>ONCORETRAINING</t>
  </si>
  <si>
    <t>ONT-380-206</t>
  </si>
  <si>
    <t>PCCTC-C16-170-IRONMAN</t>
  </si>
  <si>
    <t>PENNER-2015-1</t>
  </si>
  <si>
    <t>PFIZER-A8641019</t>
  </si>
  <si>
    <t>PFIZER-B991030</t>
  </si>
  <si>
    <t>POG-P9641</t>
  </si>
  <si>
    <t>POKHREL-2014-1</t>
  </si>
  <si>
    <t>POLYNOMA-103A-301</t>
  </si>
  <si>
    <t>PREVENT-WF-98213</t>
  </si>
  <si>
    <t>PROMETHEUS-10PLK13</t>
  </si>
  <si>
    <t>PUMA-NER-1301</t>
  </si>
  <si>
    <t>QPT-ORE-005/GOG-3035</t>
  </si>
  <si>
    <t>R2810-ONC-16111</t>
  </si>
  <si>
    <t>R2810-ONC-16113</t>
  </si>
  <si>
    <t>RELAX-WF-01213</t>
  </si>
  <si>
    <t>ROSSER-2014-1</t>
  </si>
  <si>
    <t>ROSSER-2015-1</t>
  </si>
  <si>
    <t>ROSSER-2015-3</t>
  </si>
  <si>
    <t>ROSSER-2015-5</t>
  </si>
  <si>
    <t>ROSSER-2015-6</t>
  </si>
  <si>
    <t>ROSSER-2015-7</t>
  </si>
  <si>
    <t>ROSSER-2015-8</t>
  </si>
  <si>
    <t>RRX001-21-02</t>
  </si>
  <si>
    <t>RTOG-0631</t>
  </si>
  <si>
    <t>RTOG-1021</t>
  </si>
  <si>
    <t>RTOG-1106</t>
  </si>
  <si>
    <t>RTOG-1112</t>
  </si>
  <si>
    <t>RTOG-1115</t>
  </si>
  <si>
    <t>RTOG-1119</t>
  </si>
  <si>
    <t>RTOG-1205</t>
  </si>
  <si>
    <t>RTOG-1216</t>
  </si>
  <si>
    <t>RTOG-1221</t>
  </si>
  <si>
    <t>RTOG-1306</t>
  </si>
  <si>
    <t>RTOG-3504</t>
  </si>
  <si>
    <t>RTOG-3505</t>
  </si>
  <si>
    <t>RUTGERS-CYTOPROS</t>
  </si>
  <si>
    <t>SANOFI-AVANTIS-OBS13597</t>
  </si>
  <si>
    <t>SCREENING</t>
  </si>
  <si>
    <t>SCUSF-0806</t>
  </si>
  <si>
    <t>SCUSF-0901</t>
  </si>
  <si>
    <t>SCUSF-1202</t>
  </si>
  <si>
    <t>SGN35-017</t>
  </si>
  <si>
    <t>STARTRK-2-RXDX-101-02</t>
  </si>
  <si>
    <t>SWOG-E5597</t>
  </si>
  <si>
    <t>SWOG-JMA17</t>
  </si>
  <si>
    <t>SWOG-JMA17-JMA17R</t>
  </si>
  <si>
    <t>SWOG-S0023/S9925</t>
  </si>
  <si>
    <t>SWOG-S0205</t>
  </si>
  <si>
    <t>SWOG-S0226</t>
  </si>
  <si>
    <t>SWOG-S0353-S9808</t>
  </si>
  <si>
    <t>SWOG-S0424-S9808</t>
  </si>
  <si>
    <t>SWOG-S0500</t>
  </si>
  <si>
    <t>SWOG-S0601-S9808</t>
  </si>
  <si>
    <t>SWOG-S0720-S9808</t>
  </si>
  <si>
    <t>SWOG-S0800-S9808</t>
  </si>
  <si>
    <t>SWOG-S0806-S9808</t>
  </si>
  <si>
    <t>SWOG-S0819</t>
  </si>
  <si>
    <t>SWOG-S1005</t>
  </si>
  <si>
    <t>SWOG-S1105-S9808</t>
  </si>
  <si>
    <t>SWOG-S1115</t>
  </si>
  <si>
    <t>SWOG-S1117</t>
  </si>
  <si>
    <t>SWOG-S1201-S9808</t>
  </si>
  <si>
    <t>SWOG-S1202</t>
  </si>
  <si>
    <t>SWOG-S1211</t>
  </si>
  <si>
    <t>SWOG-S1216</t>
  </si>
  <si>
    <t>SWOG-S1300</t>
  </si>
  <si>
    <t>SWOG-S1304</t>
  </si>
  <si>
    <t>SWOG-S1314</t>
  </si>
  <si>
    <t>SWOG-S1318</t>
  </si>
  <si>
    <t>SWOG-S1400F</t>
  </si>
  <si>
    <t>SWOG-S1400G</t>
  </si>
  <si>
    <t>SWOG-S1416</t>
  </si>
  <si>
    <t>SWOG-S1500</t>
  </si>
  <si>
    <t>SWOG-S1501</t>
  </si>
  <si>
    <t>SWOG-S1505</t>
  </si>
  <si>
    <t>SWOG-S1512</t>
  </si>
  <si>
    <t>SWOG-S1513</t>
  </si>
  <si>
    <t>SWOG-S1600</t>
  </si>
  <si>
    <t>SWOG-S1607</t>
  </si>
  <si>
    <t>SWOG-S1608</t>
  </si>
  <si>
    <t>SWOG-S1612</t>
  </si>
  <si>
    <t>SWOG-S1616</t>
  </si>
  <si>
    <t>SWOG-S1619</t>
  </si>
  <si>
    <t>SWOG-S1701</t>
  </si>
  <si>
    <t>SWOG-S1702</t>
  </si>
  <si>
    <t>SWOG-S1802</t>
  </si>
  <si>
    <t>SWOG-S1815</t>
  </si>
  <si>
    <t>SWOG-S1826</t>
  </si>
  <si>
    <t>SWOG-S1827</t>
  </si>
  <si>
    <t>SWOG-S1900B</t>
  </si>
  <si>
    <t>SWOG-S1904</t>
  </si>
  <si>
    <t>SWOG-S1922</t>
  </si>
  <si>
    <t>SWOG-S9035</t>
  </si>
  <si>
    <t>SWOG-S9313</t>
  </si>
  <si>
    <t>SWOG-S9349</t>
  </si>
  <si>
    <t>SWOG-S9630</t>
  </si>
  <si>
    <t>SWOG-S9921-S9808</t>
  </si>
  <si>
    <t>TH-138</t>
  </si>
  <si>
    <t>TO-TAS-102-302</t>
  </si>
  <si>
    <t>TSUJI-2012-1</t>
  </si>
  <si>
    <t>TYME-88-PANC</t>
  </si>
  <si>
    <t>ULEP-2016-1</t>
  </si>
  <si>
    <t>URCC-08106</t>
  </si>
  <si>
    <t>URCC-10054</t>
  </si>
  <si>
    <t>URCC-12107</t>
  </si>
  <si>
    <t>URCC-19085</t>
  </si>
  <si>
    <t>VENTIRX-VRXP-A202</t>
  </si>
  <si>
    <t>WCMC-0810010067</t>
  </si>
  <si>
    <t>WF-1806</t>
  </si>
  <si>
    <t>WF-97415</t>
  </si>
  <si>
    <t>WF-97609</t>
  </si>
  <si>
    <t>CASSEL-2012-1</t>
  </si>
  <si>
    <t>CASSEL-2014-1</t>
  </si>
  <si>
    <t>CASSEL-2014-2</t>
  </si>
  <si>
    <t>CASSEL-2018-2</t>
  </si>
  <si>
    <t>HERNANDEZ-2013-1</t>
  </si>
  <si>
    <t>HERNANDEZ-2014-1</t>
  </si>
  <si>
    <t>KUWADA-2016-1</t>
  </si>
  <si>
    <t>SHEPHERD-2019-1</t>
  </si>
  <si>
    <t>WILLS-2013-1</t>
  </si>
  <si>
    <t>WONG-2016-1</t>
  </si>
  <si>
    <t>Regressor</t>
  </si>
  <si>
    <t>Coefficient</t>
  </si>
  <si>
    <t>Sites</t>
  </si>
  <si>
    <t>Subsites</t>
  </si>
  <si>
    <t>Sub_inv</t>
  </si>
  <si>
    <t>Rows</t>
  </si>
  <si>
    <t>Columns</t>
  </si>
  <si>
    <t>Predicted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</si>
</sst>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0"/>
      <name val="Times New Roman"/>
      <family val="1"/>
    </font>
    <font>
      <b/>
      <sz val="12"/>
      <color theme="1"/>
      <name val="Times New Roman"/>
      <family val="1"/>
    </font>
    <font>
      <b/>
      <sz val="18"/>
      <color rgb="FF000000"/>
      <name val="Calibri"/>
      <family val="2"/>
    </font>
    <font>
      <b/>
      <sz val="14"/>
      <color rgb="FF00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Fill="1"/>
    <xf numFmtId="0" fontId="2" fillId="0" borderId="1" xfId="0" applyFont="1" applyBorder="1"/>
    <xf numFmtId="0" fontId="3" fillId="4" borderId="1" xfId="0" applyFont="1" applyFill="1" applyBorder="1"/>
    <xf numFmtId="15" fontId="2" fillId="0" borderId="1" xfId="0" applyNumberFormat="1" applyFont="1" applyBorder="1"/>
    <xf numFmtId="2" fontId="4" fillId="4" borderId="1" xfId="0" applyNumberFormat="1" applyFont="1" applyFill="1" applyBorder="1"/>
    <xf numFmtId="0" fontId="3" fillId="5" borderId="1" xfId="0" applyFont="1" applyFill="1" applyBorder="1" applyAlignment="1">
      <alignment horizontal="left"/>
    </xf>
    <xf numFmtId="0" fontId="6" fillId="6" borderId="1" xfId="0" applyFont="1" applyFill="1" applyBorder="1"/>
    <xf numFmtId="0" fontId="1" fillId="2" borderId="1" xfId="0" applyFont="1" applyFill="1" applyBorder="1" applyAlignment="1"/>
    <xf numFmtId="164" fontId="2" fillId="3" borderId="1" xfId="0" applyNumberFormat="1" applyFont="1" applyFill="1" applyBorder="1" applyAlignment="1">
      <alignment horizontal="left"/>
    </xf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0" fontId="1" fillId="0" borderId="5" xfId="0" applyFont="1" applyFill="1" applyBorder="1" applyAlignment="1">
      <alignment horizontal="left"/>
    </xf>
    <xf numFmtId="2" fontId="4" fillId="0" borderId="5" xfId="0" applyNumberFormat="1" applyFont="1" applyFill="1" applyBorder="1"/>
    <xf numFmtId="164" fontId="3" fillId="4" borderId="1" xfId="0" applyNumberFormat="1" applyFont="1" applyFill="1" applyBorder="1"/>
    <xf numFmtId="164" fontId="2" fillId="0" borderId="1" xfId="0" applyNumberFormat="1" applyFont="1" applyBorder="1"/>
    <xf numFmtId="164" fontId="4" fillId="4" borderId="1" xfId="0" applyNumberFormat="1" applyFont="1" applyFill="1" applyBorder="1"/>
    <xf numFmtId="164" fontId="4" fillId="0" borderId="5" xfId="0" applyNumberFormat="1" applyFont="1" applyFill="1" applyBorder="1"/>
    <xf numFmtId="0" fontId="0" fillId="0" borderId="1" xfId="0" applyBorder="1"/>
    <xf numFmtId="0" fontId="3" fillId="5" borderId="1" xfId="0" applyNumberFormat="1" applyFont="1" applyFill="1" applyBorder="1" applyAlignment="1">
      <alignment horizontal="left"/>
    </xf>
    <xf numFmtId="0" fontId="1" fillId="2" borderId="0" xfId="0" applyFont="1" applyFill="1" applyBorder="1"/>
    <xf numFmtId="0" fontId="0" fillId="0" borderId="0" xfId="0" applyBorder="1"/>
    <xf numFmtId="0" fontId="2" fillId="0" borderId="0" xfId="0" applyFont="1" applyBorder="1"/>
    <xf numFmtId="0" fontId="2" fillId="0" borderId="0" xfId="0" applyFont="1" applyFill="1" applyBorder="1"/>
    <xf numFmtId="0" fontId="5" fillId="2" borderId="1" xfId="0" applyFont="1" applyFill="1" applyBorder="1"/>
    <xf numFmtId="0" fontId="2" fillId="3" borderId="1" xfId="0" applyFont="1" applyFill="1" applyBorder="1"/>
    <xf numFmtId="0" fontId="5" fillId="2" borderId="1" xfId="0" applyFont="1" applyFill="1" applyBorder="1" applyAlignment="1">
      <alignment horizontal="left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2038350</xdr:colOff>
          <xdr:row>0</xdr:row>
          <xdr:rowOff>485775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Coefficients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302</xdr:row>
          <xdr:rowOff>180975</xdr:rowOff>
        </xdr:from>
        <xdr:to>
          <xdr:col>15</xdr:col>
          <xdr:colOff>457200</xdr:colOff>
          <xdr:row>305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Coefficients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302</xdr:row>
          <xdr:rowOff>161925</xdr:rowOff>
        </xdr:from>
        <xdr:to>
          <xdr:col>25</xdr:col>
          <xdr:colOff>123825</xdr:colOff>
          <xdr:row>305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Commit Cofficients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08"/>
  <sheetViews>
    <sheetView tabSelected="1" workbookViewId="0"/>
  </sheetViews>
  <sheetFormatPr defaultRowHeight="15" x14ac:dyDescent="0.25"/>
  <cols>
    <col min="1" max="1" width="40.140625" customWidth="1"/>
  </cols>
  <sheetData>
    <row r="1" spans="1:12" ht="21" customHeight="1" x14ac:dyDescent="0.25">
      <c r="A1" s="11" t="s">
        <v>53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644</v>
      </c>
      <c r="G1" s="11" t="s">
        <v>645</v>
      </c>
      <c r="H1" s="11" t="s">
        <v>646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 x14ac:dyDescent="0.25">
      <c r="A2" s="11" t="s">
        <v>267</v>
      </c>
      <c r="B2" s="11">
        <v>0</v>
      </c>
      <c r="C2" s="11">
        <v>1</v>
      </c>
      <c r="D2" s="11">
        <v>0</v>
      </c>
      <c r="E2" s="11">
        <v>0</v>
      </c>
      <c r="F2" s="11">
        <v>0</v>
      </c>
      <c r="G2" s="11">
        <v>0</v>
      </c>
      <c r="H2" s="11"/>
      <c r="I2" s="11"/>
      <c r="J2" s="11">
        <v>0.5</v>
      </c>
      <c r="K2" s="11">
        <v>1</v>
      </c>
      <c r="L2" s="11">
        <v>0</v>
      </c>
    </row>
    <row r="3" spans="1:12" x14ac:dyDescent="0.25">
      <c r="A3" s="11" t="s">
        <v>25</v>
      </c>
      <c r="B3" s="11">
        <v>0</v>
      </c>
      <c r="C3" s="11">
        <v>1</v>
      </c>
      <c r="D3" s="11">
        <v>1</v>
      </c>
      <c r="E3" s="11">
        <v>0</v>
      </c>
      <c r="F3" s="11">
        <v>2</v>
      </c>
      <c r="G3" s="11">
        <v>2</v>
      </c>
      <c r="H3" s="11"/>
      <c r="I3" s="11">
        <v>3</v>
      </c>
      <c r="J3" s="11">
        <v>0.75</v>
      </c>
      <c r="K3" s="11">
        <v>1</v>
      </c>
      <c r="L3" s="11">
        <v>0</v>
      </c>
    </row>
    <row r="4" spans="1:12" x14ac:dyDescent="0.25">
      <c r="A4" s="11" t="s">
        <v>268</v>
      </c>
      <c r="B4" s="11">
        <v>0</v>
      </c>
      <c r="C4" s="11">
        <v>1</v>
      </c>
      <c r="D4" s="11">
        <v>1</v>
      </c>
      <c r="E4" s="11">
        <v>0</v>
      </c>
      <c r="F4" s="11">
        <v>0</v>
      </c>
      <c r="G4" s="11">
        <v>0</v>
      </c>
      <c r="H4" s="11"/>
      <c r="I4" s="11">
        <v>1</v>
      </c>
      <c r="J4" s="11">
        <v>0.75</v>
      </c>
      <c r="K4" s="11">
        <v>0.5</v>
      </c>
      <c r="L4" s="11">
        <v>0</v>
      </c>
    </row>
    <row r="5" spans="1:12" x14ac:dyDescent="0.25">
      <c r="A5" s="11" t="s">
        <v>269</v>
      </c>
      <c r="B5" s="11">
        <v>0</v>
      </c>
      <c r="C5" s="11">
        <v>1</v>
      </c>
      <c r="D5" s="11">
        <v>0</v>
      </c>
      <c r="E5" s="11">
        <v>0</v>
      </c>
      <c r="F5" s="11">
        <v>2</v>
      </c>
      <c r="G5" s="11">
        <v>1</v>
      </c>
      <c r="H5" s="11"/>
      <c r="I5" s="11"/>
      <c r="J5" s="11">
        <v>0.75</v>
      </c>
      <c r="K5" s="11">
        <v>0.5</v>
      </c>
      <c r="L5" s="11">
        <v>0</v>
      </c>
    </row>
    <row r="6" spans="1:12" x14ac:dyDescent="0.25">
      <c r="A6" s="11" t="s">
        <v>270</v>
      </c>
      <c r="B6" s="11">
        <v>1</v>
      </c>
      <c r="C6" s="11">
        <v>0.25</v>
      </c>
      <c r="D6" s="11">
        <v>0</v>
      </c>
      <c r="E6" s="11">
        <v>0</v>
      </c>
      <c r="F6" s="11">
        <v>1</v>
      </c>
      <c r="G6" s="11">
        <v>0</v>
      </c>
      <c r="H6" s="11"/>
      <c r="I6" s="11">
        <v>3</v>
      </c>
      <c r="J6" s="11">
        <v>0.75</v>
      </c>
      <c r="K6" s="11">
        <v>1</v>
      </c>
      <c r="L6" s="11">
        <v>0</v>
      </c>
    </row>
    <row r="7" spans="1:12" x14ac:dyDescent="0.25">
      <c r="A7" s="11" t="s">
        <v>271</v>
      </c>
      <c r="B7" s="11">
        <v>1</v>
      </c>
      <c r="C7" s="11">
        <v>1</v>
      </c>
      <c r="D7" s="11">
        <v>0</v>
      </c>
      <c r="E7" s="11">
        <v>0</v>
      </c>
      <c r="F7" s="11">
        <v>3</v>
      </c>
      <c r="G7" s="11">
        <v>6</v>
      </c>
      <c r="H7" s="11"/>
      <c r="I7" s="11">
        <v>2</v>
      </c>
      <c r="J7" s="11">
        <v>0.75</v>
      </c>
      <c r="K7" s="11">
        <v>1</v>
      </c>
      <c r="L7" s="11">
        <v>0</v>
      </c>
    </row>
    <row r="8" spans="1:12" x14ac:dyDescent="0.25">
      <c r="A8" s="11" t="s">
        <v>74</v>
      </c>
      <c r="B8" s="11">
        <v>1</v>
      </c>
      <c r="C8" s="11">
        <v>0.25</v>
      </c>
      <c r="D8" s="11">
        <v>0</v>
      </c>
      <c r="E8" s="11">
        <v>0</v>
      </c>
      <c r="F8" s="11">
        <v>2</v>
      </c>
      <c r="G8" s="11">
        <v>3</v>
      </c>
      <c r="H8" s="11"/>
      <c r="I8" s="11"/>
      <c r="J8" s="11">
        <v>0.75</v>
      </c>
      <c r="K8" s="11">
        <v>1</v>
      </c>
      <c r="L8" s="11">
        <v>0</v>
      </c>
    </row>
    <row r="9" spans="1:12" x14ac:dyDescent="0.25">
      <c r="A9" s="11" t="s">
        <v>272</v>
      </c>
      <c r="B9" s="11">
        <v>0</v>
      </c>
      <c r="C9" s="11">
        <v>1</v>
      </c>
      <c r="D9" s="11">
        <v>1</v>
      </c>
      <c r="E9" s="11">
        <v>0</v>
      </c>
      <c r="F9" s="11">
        <v>3</v>
      </c>
      <c r="G9" s="11">
        <v>0</v>
      </c>
      <c r="H9" s="11"/>
      <c r="I9" s="11">
        <v>1</v>
      </c>
      <c r="J9" s="11">
        <v>0.5</v>
      </c>
      <c r="K9" s="11">
        <v>1</v>
      </c>
      <c r="L9" s="11">
        <v>0</v>
      </c>
    </row>
    <row r="10" spans="1:12" x14ac:dyDescent="0.25">
      <c r="A10" s="11" t="s">
        <v>6</v>
      </c>
      <c r="B10" s="11">
        <v>1</v>
      </c>
      <c r="C10" s="11">
        <v>1</v>
      </c>
      <c r="D10" s="11">
        <v>1</v>
      </c>
      <c r="E10" s="11">
        <v>0</v>
      </c>
      <c r="F10" s="11">
        <v>4</v>
      </c>
      <c r="G10" s="11">
        <v>5</v>
      </c>
      <c r="H10" s="11"/>
      <c r="I10" s="11"/>
      <c r="J10" s="11">
        <v>0.75</v>
      </c>
      <c r="K10" s="11">
        <v>1</v>
      </c>
      <c r="L10" s="11">
        <v>1</v>
      </c>
    </row>
    <row r="11" spans="1:12" x14ac:dyDescent="0.25">
      <c r="A11" s="11" t="s">
        <v>75</v>
      </c>
      <c r="B11" s="11">
        <v>1</v>
      </c>
      <c r="C11" s="11">
        <v>0.25</v>
      </c>
      <c r="D11" s="11">
        <v>0</v>
      </c>
      <c r="E11" s="11">
        <v>0</v>
      </c>
      <c r="F11" s="11">
        <v>2</v>
      </c>
      <c r="G11" s="11">
        <v>3</v>
      </c>
      <c r="H11" s="11"/>
      <c r="I11" s="11"/>
      <c r="J11" s="11">
        <v>0.5</v>
      </c>
      <c r="K11" s="11">
        <v>1</v>
      </c>
      <c r="L11" s="11">
        <v>0</v>
      </c>
    </row>
    <row r="12" spans="1:12" x14ac:dyDescent="0.25">
      <c r="A12" s="11" t="s">
        <v>76</v>
      </c>
      <c r="B12" s="11">
        <v>0</v>
      </c>
      <c r="C12" s="11">
        <v>1</v>
      </c>
      <c r="D12" s="11">
        <v>1</v>
      </c>
      <c r="E12" s="11">
        <v>0</v>
      </c>
      <c r="F12" s="11">
        <v>3</v>
      </c>
      <c r="G12" s="11">
        <v>10</v>
      </c>
      <c r="H12" s="11"/>
      <c r="I12" s="11">
        <v>4</v>
      </c>
      <c r="J12" s="11">
        <v>1</v>
      </c>
      <c r="K12" s="11">
        <v>0.5</v>
      </c>
      <c r="L12" s="11">
        <v>0</v>
      </c>
    </row>
    <row r="13" spans="1:12" x14ac:dyDescent="0.25">
      <c r="A13" s="11" t="s">
        <v>273</v>
      </c>
      <c r="B13" s="11">
        <v>0</v>
      </c>
      <c r="C13" s="11">
        <v>1</v>
      </c>
      <c r="D13" s="11">
        <v>0</v>
      </c>
      <c r="E13" s="11">
        <v>0</v>
      </c>
      <c r="F13" s="11">
        <v>3</v>
      </c>
      <c r="G13" s="11">
        <v>9</v>
      </c>
      <c r="H13" s="11"/>
      <c r="I13" s="11">
        <v>3</v>
      </c>
      <c r="J13" s="11">
        <v>0.75</v>
      </c>
      <c r="K13" s="11">
        <v>0.5</v>
      </c>
      <c r="L13" s="11">
        <v>0</v>
      </c>
    </row>
    <row r="14" spans="1:12" x14ac:dyDescent="0.25">
      <c r="A14" s="11" t="s">
        <v>274</v>
      </c>
      <c r="B14" s="11">
        <v>0</v>
      </c>
      <c r="C14" s="11">
        <v>0.25</v>
      </c>
      <c r="D14" s="11">
        <v>1</v>
      </c>
      <c r="E14" s="11">
        <v>0</v>
      </c>
      <c r="F14" s="11">
        <v>3</v>
      </c>
      <c r="G14" s="11">
        <v>8</v>
      </c>
      <c r="H14" s="11"/>
      <c r="I14" s="11">
        <v>5</v>
      </c>
      <c r="J14" s="11">
        <v>1</v>
      </c>
      <c r="K14" s="11">
        <v>0.5</v>
      </c>
      <c r="L14" s="11">
        <v>0</v>
      </c>
    </row>
    <row r="15" spans="1:12" x14ac:dyDescent="0.25">
      <c r="A15" s="11" t="s">
        <v>77</v>
      </c>
      <c r="B15" s="11">
        <v>0</v>
      </c>
      <c r="C15" s="11">
        <v>1</v>
      </c>
      <c r="D15" s="11">
        <v>0</v>
      </c>
      <c r="E15" s="11">
        <v>0</v>
      </c>
      <c r="F15" s="11">
        <v>9</v>
      </c>
      <c r="G15" s="11">
        <v>16</v>
      </c>
      <c r="H15" s="11"/>
      <c r="I15" s="11">
        <v>3</v>
      </c>
      <c r="J15" s="11">
        <v>0.5</v>
      </c>
      <c r="K15" s="11">
        <v>0.5</v>
      </c>
      <c r="L15" s="11">
        <v>0</v>
      </c>
    </row>
    <row r="16" spans="1:12" x14ac:dyDescent="0.25">
      <c r="A16" s="11" t="s">
        <v>275</v>
      </c>
      <c r="B16" s="11">
        <v>0</v>
      </c>
      <c r="C16" s="11">
        <v>1</v>
      </c>
      <c r="D16" s="11">
        <v>1</v>
      </c>
      <c r="E16" s="11">
        <v>0</v>
      </c>
      <c r="F16" s="11">
        <v>2</v>
      </c>
      <c r="G16" s="11">
        <v>0</v>
      </c>
      <c r="H16" s="11"/>
      <c r="I16" s="11">
        <v>1</v>
      </c>
      <c r="J16" s="11">
        <v>0.75</v>
      </c>
      <c r="K16" s="11">
        <v>1</v>
      </c>
      <c r="L16" s="11">
        <v>0</v>
      </c>
    </row>
    <row r="17" spans="1:12" x14ac:dyDescent="0.25">
      <c r="A17" s="11" t="s">
        <v>276</v>
      </c>
      <c r="B17" s="11">
        <v>0</v>
      </c>
      <c r="C17" s="11">
        <v>0.25</v>
      </c>
      <c r="D17" s="11">
        <v>0</v>
      </c>
      <c r="E17" s="11">
        <v>0</v>
      </c>
      <c r="F17" s="11">
        <v>1</v>
      </c>
      <c r="G17" s="11">
        <v>1</v>
      </c>
      <c r="H17" s="11"/>
      <c r="I17" s="11"/>
      <c r="J17" s="11">
        <v>0.5</v>
      </c>
      <c r="K17" s="11">
        <v>1</v>
      </c>
      <c r="L17" s="11">
        <v>0</v>
      </c>
    </row>
    <row r="18" spans="1:12" x14ac:dyDescent="0.25">
      <c r="A18" s="11" t="s">
        <v>17</v>
      </c>
      <c r="B18" s="11">
        <v>0</v>
      </c>
      <c r="C18" s="11">
        <v>1</v>
      </c>
      <c r="D18" s="11">
        <v>1</v>
      </c>
      <c r="E18" s="11">
        <v>0</v>
      </c>
      <c r="F18" s="11">
        <v>1</v>
      </c>
      <c r="G18" s="11">
        <v>2</v>
      </c>
      <c r="H18" s="11">
        <v>2</v>
      </c>
      <c r="I18" s="11"/>
      <c r="J18" s="11">
        <v>0.75</v>
      </c>
      <c r="K18" s="11">
        <v>1</v>
      </c>
      <c r="L18" s="11">
        <v>0</v>
      </c>
    </row>
    <row r="19" spans="1:12" x14ac:dyDescent="0.25">
      <c r="A19" s="11" t="s">
        <v>16</v>
      </c>
      <c r="B19" s="11">
        <v>0</v>
      </c>
      <c r="C19" s="11">
        <v>1</v>
      </c>
      <c r="D19" s="11">
        <v>0</v>
      </c>
      <c r="E19" s="11">
        <v>0</v>
      </c>
      <c r="F19" s="11">
        <v>1</v>
      </c>
      <c r="G19" s="11">
        <v>4</v>
      </c>
      <c r="H19" s="11">
        <v>1</v>
      </c>
      <c r="I19" s="11"/>
      <c r="J19" s="11">
        <v>0.75</v>
      </c>
      <c r="K19" s="11">
        <v>1</v>
      </c>
      <c r="L19" s="11">
        <v>0</v>
      </c>
    </row>
    <row r="20" spans="1:12" x14ac:dyDescent="0.25">
      <c r="A20" s="11" t="s">
        <v>21</v>
      </c>
      <c r="B20" s="11">
        <v>0</v>
      </c>
      <c r="C20" s="11">
        <v>1</v>
      </c>
      <c r="D20" s="11">
        <v>0</v>
      </c>
      <c r="E20" s="11">
        <v>0</v>
      </c>
      <c r="F20" s="11">
        <v>4</v>
      </c>
      <c r="G20" s="11">
        <v>5</v>
      </c>
      <c r="H20" s="11"/>
      <c r="I20" s="11">
        <v>1</v>
      </c>
      <c r="J20" s="11">
        <v>0.75</v>
      </c>
      <c r="K20" s="11">
        <v>1</v>
      </c>
      <c r="L20" s="11">
        <v>0</v>
      </c>
    </row>
    <row r="21" spans="1:12" x14ac:dyDescent="0.25">
      <c r="A21" s="11" t="s">
        <v>277</v>
      </c>
      <c r="B21" s="11">
        <v>0</v>
      </c>
      <c r="C21" s="11">
        <v>1</v>
      </c>
      <c r="D21" s="11">
        <v>1</v>
      </c>
      <c r="E21" s="11">
        <v>0</v>
      </c>
      <c r="F21" s="11">
        <v>5</v>
      </c>
      <c r="G21" s="11">
        <v>0</v>
      </c>
      <c r="H21" s="11"/>
      <c r="I21" s="11"/>
      <c r="J21" s="11">
        <v>0.5</v>
      </c>
      <c r="K21" s="11">
        <v>1</v>
      </c>
      <c r="L21" s="11">
        <v>0</v>
      </c>
    </row>
    <row r="22" spans="1:12" x14ac:dyDescent="0.25">
      <c r="A22" s="11" t="s">
        <v>278</v>
      </c>
      <c r="B22" s="11">
        <v>0</v>
      </c>
      <c r="C22" s="11">
        <v>1</v>
      </c>
      <c r="D22" s="11">
        <v>1</v>
      </c>
      <c r="E22" s="11">
        <v>0</v>
      </c>
      <c r="F22" s="11">
        <v>0</v>
      </c>
      <c r="G22" s="11">
        <v>0</v>
      </c>
      <c r="H22" s="11"/>
      <c r="I22" s="11"/>
      <c r="J22" s="11">
        <v>0.5</v>
      </c>
      <c r="K22" s="11">
        <v>1</v>
      </c>
      <c r="L22" s="11">
        <v>0</v>
      </c>
    </row>
    <row r="23" spans="1:12" x14ac:dyDescent="0.25">
      <c r="A23" s="11" t="s">
        <v>279</v>
      </c>
      <c r="B23" s="11">
        <v>0</v>
      </c>
      <c r="C23" s="11">
        <v>1</v>
      </c>
      <c r="D23" s="11">
        <v>0</v>
      </c>
      <c r="E23" s="11">
        <v>0</v>
      </c>
      <c r="F23" s="11">
        <v>0</v>
      </c>
      <c r="G23" s="11">
        <v>0</v>
      </c>
      <c r="H23" s="11"/>
      <c r="I23" s="11"/>
      <c r="J23" s="11">
        <v>0.5</v>
      </c>
      <c r="K23" s="11">
        <v>1</v>
      </c>
      <c r="L23" s="11">
        <v>0</v>
      </c>
    </row>
    <row r="24" spans="1:12" x14ac:dyDescent="0.25">
      <c r="A24" s="11" t="s">
        <v>280</v>
      </c>
      <c r="B24" s="11">
        <v>0</v>
      </c>
      <c r="C24" s="11">
        <v>1</v>
      </c>
      <c r="D24" s="11">
        <v>1</v>
      </c>
      <c r="E24" s="11">
        <v>0</v>
      </c>
      <c r="F24" s="11">
        <v>5</v>
      </c>
      <c r="G24" s="11">
        <v>0</v>
      </c>
      <c r="H24" s="11"/>
      <c r="I24" s="11"/>
      <c r="J24" s="11">
        <v>0.5</v>
      </c>
      <c r="K24" s="11">
        <v>1</v>
      </c>
      <c r="L24" s="11">
        <v>0</v>
      </c>
    </row>
    <row r="25" spans="1:12" x14ac:dyDescent="0.25">
      <c r="A25" s="11" t="s">
        <v>281</v>
      </c>
      <c r="B25" s="11">
        <v>0</v>
      </c>
      <c r="C25" s="11">
        <v>1</v>
      </c>
      <c r="D25" s="11">
        <v>0</v>
      </c>
      <c r="E25" s="11">
        <v>0</v>
      </c>
      <c r="F25" s="11">
        <v>1</v>
      </c>
      <c r="G25" s="11">
        <v>0</v>
      </c>
      <c r="H25" s="11"/>
      <c r="I25" s="11"/>
      <c r="J25" s="11">
        <v>0.5</v>
      </c>
      <c r="K25" s="11">
        <v>0.5</v>
      </c>
      <c r="L25" s="11">
        <v>0</v>
      </c>
    </row>
    <row r="26" spans="1:12" x14ac:dyDescent="0.25">
      <c r="A26" s="11" t="s">
        <v>78</v>
      </c>
      <c r="B26" s="11">
        <v>0</v>
      </c>
      <c r="C26" s="11">
        <v>1</v>
      </c>
      <c r="D26" s="11">
        <v>0</v>
      </c>
      <c r="E26" s="11">
        <v>0</v>
      </c>
      <c r="F26" s="11">
        <v>6</v>
      </c>
      <c r="G26" s="11">
        <v>12</v>
      </c>
      <c r="H26" s="11"/>
      <c r="I26" s="11">
        <v>2</v>
      </c>
      <c r="J26" s="11">
        <v>0.5</v>
      </c>
      <c r="K26" s="11">
        <v>0.5</v>
      </c>
      <c r="L26" s="11">
        <v>0</v>
      </c>
    </row>
    <row r="27" spans="1:12" x14ac:dyDescent="0.25">
      <c r="A27" s="11" t="s">
        <v>282</v>
      </c>
      <c r="B27" s="11">
        <v>0</v>
      </c>
      <c r="C27" s="11">
        <v>1</v>
      </c>
      <c r="D27" s="11">
        <v>0</v>
      </c>
      <c r="E27" s="11">
        <v>0</v>
      </c>
      <c r="F27" s="11">
        <v>4</v>
      </c>
      <c r="G27" s="11">
        <v>11</v>
      </c>
      <c r="H27" s="11"/>
      <c r="I27" s="11">
        <v>2</v>
      </c>
      <c r="J27" s="11">
        <v>0.5</v>
      </c>
      <c r="K27" s="11">
        <v>0.5</v>
      </c>
      <c r="L27" s="11">
        <v>0</v>
      </c>
    </row>
    <row r="28" spans="1:12" x14ac:dyDescent="0.25">
      <c r="A28" s="11" t="s">
        <v>79</v>
      </c>
      <c r="B28" s="11">
        <v>0</v>
      </c>
      <c r="C28" s="11">
        <v>1</v>
      </c>
      <c r="D28" s="11">
        <v>0</v>
      </c>
      <c r="E28" s="11">
        <v>0</v>
      </c>
      <c r="F28" s="11">
        <v>7</v>
      </c>
      <c r="G28" s="11">
        <v>15</v>
      </c>
      <c r="H28" s="11"/>
      <c r="I28" s="11">
        <v>3</v>
      </c>
      <c r="J28" s="11">
        <v>0.5</v>
      </c>
      <c r="K28" s="11">
        <v>0.5</v>
      </c>
      <c r="L28" s="11">
        <v>0</v>
      </c>
    </row>
    <row r="29" spans="1:12" x14ac:dyDescent="0.25">
      <c r="A29" s="11" t="s">
        <v>80</v>
      </c>
      <c r="B29" s="11">
        <v>0</v>
      </c>
      <c r="C29" s="11">
        <v>1</v>
      </c>
      <c r="D29" s="11">
        <v>0</v>
      </c>
      <c r="E29" s="11">
        <v>0</v>
      </c>
      <c r="F29" s="11">
        <v>9</v>
      </c>
      <c r="G29" s="11">
        <v>12</v>
      </c>
      <c r="H29" s="11"/>
      <c r="I29" s="11">
        <v>1</v>
      </c>
      <c r="J29" s="11">
        <v>0.5</v>
      </c>
      <c r="K29" s="11">
        <v>0.5</v>
      </c>
      <c r="L29" s="11">
        <v>0</v>
      </c>
    </row>
    <row r="30" spans="1:12" x14ac:dyDescent="0.25">
      <c r="A30" s="11" t="s">
        <v>283</v>
      </c>
      <c r="B30" s="11">
        <v>0</v>
      </c>
      <c r="C30" s="11">
        <v>1</v>
      </c>
      <c r="D30" s="11">
        <v>1</v>
      </c>
      <c r="E30" s="11">
        <v>0</v>
      </c>
      <c r="F30" s="11">
        <v>4</v>
      </c>
      <c r="G30" s="11">
        <v>8</v>
      </c>
      <c r="H30" s="11"/>
      <c r="I30" s="11">
        <v>3</v>
      </c>
      <c r="J30" s="11">
        <v>0.75</v>
      </c>
      <c r="K30" s="11">
        <v>0.5</v>
      </c>
      <c r="L30" s="11">
        <v>0</v>
      </c>
    </row>
    <row r="31" spans="1:12" x14ac:dyDescent="0.25">
      <c r="A31" s="11" t="s">
        <v>284</v>
      </c>
      <c r="B31" s="11">
        <v>0</v>
      </c>
      <c r="C31" s="11">
        <v>1</v>
      </c>
      <c r="D31" s="11">
        <v>0</v>
      </c>
      <c r="E31" s="11">
        <v>0</v>
      </c>
      <c r="F31" s="11">
        <v>2</v>
      </c>
      <c r="G31" s="11">
        <v>6</v>
      </c>
      <c r="H31" s="11"/>
      <c r="I31" s="11">
        <v>1</v>
      </c>
      <c r="J31" s="11">
        <v>0.5</v>
      </c>
      <c r="K31" s="11">
        <v>0.5</v>
      </c>
      <c r="L31" s="11">
        <v>0</v>
      </c>
    </row>
    <row r="32" spans="1:12" x14ac:dyDescent="0.25">
      <c r="A32" s="11" t="s">
        <v>285</v>
      </c>
      <c r="B32" s="11">
        <v>0</v>
      </c>
      <c r="C32" s="11">
        <v>1</v>
      </c>
      <c r="D32" s="11">
        <v>0</v>
      </c>
      <c r="E32" s="11">
        <v>0</v>
      </c>
      <c r="F32" s="11">
        <v>8</v>
      </c>
      <c r="G32" s="11">
        <v>0</v>
      </c>
      <c r="H32" s="11"/>
      <c r="I32" s="11">
        <v>2</v>
      </c>
      <c r="J32" s="11">
        <v>0.5</v>
      </c>
      <c r="K32" s="11">
        <v>0.5</v>
      </c>
      <c r="L32" s="11">
        <v>0</v>
      </c>
    </row>
    <row r="33" spans="1:12" x14ac:dyDescent="0.25">
      <c r="A33" s="11" t="s">
        <v>81</v>
      </c>
      <c r="B33" s="11">
        <v>0</v>
      </c>
      <c r="C33" s="11">
        <v>1</v>
      </c>
      <c r="D33" s="11">
        <v>1</v>
      </c>
      <c r="E33" s="11">
        <v>0</v>
      </c>
      <c r="F33" s="11">
        <v>5</v>
      </c>
      <c r="G33" s="11">
        <v>8</v>
      </c>
      <c r="H33" s="11"/>
      <c r="I33" s="11">
        <v>2</v>
      </c>
      <c r="J33" s="11">
        <v>0.5</v>
      </c>
      <c r="K33" s="11">
        <v>0.5</v>
      </c>
      <c r="L33" s="11">
        <v>1</v>
      </c>
    </row>
    <row r="34" spans="1:12" x14ac:dyDescent="0.25">
      <c r="A34" s="11" t="s">
        <v>82</v>
      </c>
      <c r="B34" s="11">
        <v>0</v>
      </c>
      <c r="C34" s="11">
        <v>1</v>
      </c>
      <c r="D34" s="11">
        <v>0</v>
      </c>
      <c r="E34" s="11">
        <v>0</v>
      </c>
      <c r="F34" s="11">
        <v>4</v>
      </c>
      <c r="G34" s="11">
        <v>9</v>
      </c>
      <c r="H34" s="11"/>
      <c r="I34" s="11">
        <v>2</v>
      </c>
      <c r="J34" s="11">
        <v>0.5</v>
      </c>
      <c r="K34" s="11">
        <v>0.5</v>
      </c>
      <c r="L34" s="11">
        <v>1</v>
      </c>
    </row>
    <row r="35" spans="1:12" x14ac:dyDescent="0.25">
      <c r="A35" s="11" t="s">
        <v>83</v>
      </c>
      <c r="B35" s="11">
        <v>0</v>
      </c>
      <c r="C35" s="11">
        <v>1</v>
      </c>
      <c r="D35" s="11">
        <v>0</v>
      </c>
      <c r="E35" s="11">
        <v>0</v>
      </c>
      <c r="F35" s="11">
        <v>4</v>
      </c>
      <c r="G35" s="11">
        <v>14</v>
      </c>
      <c r="H35" s="11"/>
      <c r="I35" s="11">
        <v>1</v>
      </c>
      <c r="J35" s="11">
        <v>0.5</v>
      </c>
      <c r="K35" s="11">
        <v>0.5</v>
      </c>
      <c r="L35" s="11">
        <v>0</v>
      </c>
    </row>
    <row r="36" spans="1:12" x14ac:dyDescent="0.25">
      <c r="A36" s="11" t="s">
        <v>84</v>
      </c>
      <c r="B36" s="11">
        <v>0</v>
      </c>
      <c r="C36" s="11">
        <v>1</v>
      </c>
      <c r="D36" s="11">
        <v>1</v>
      </c>
      <c r="E36" s="11">
        <v>0</v>
      </c>
      <c r="F36" s="11">
        <v>5</v>
      </c>
      <c r="G36" s="11">
        <v>10</v>
      </c>
      <c r="H36" s="11"/>
      <c r="I36" s="11">
        <v>5</v>
      </c>
      <c r="J36" s="11">
        <v>0.5</v>
      </c>
      <c r="K36" s="11">
        <v>0.5</v>
      </c>
      <c r="L36" s="11">
        <v>0</v>
      </c>
    </row>
    <row r="37" spans="1:12" x14ac:dyDescent="0.25">
      <c r="A37" s="11" t="s">
        <v>85</v>
      </c>
      <c r="B37" s="11">
        <v>0</v>
      </c>
      <c r="C37" s="11">
        <v>1</v>
      </c>
      <c r="D37" s="11">
        <v>1</v>
      </c>
      <c r="E37" s="11">
        <v>0</v>
      </c>
      <c r="F37" s="11">
        <v>4</v>
      </c>
      <c r="G37" s="11">
        <v>9</v>
      </c>
      <c r="H37" s="11"/>
      <c r="I37" s="11">
        <v>5</v>
      </c>
      <c r="J37" s="11">
        <v>0.75</v>
      </c>
      <c r="K37" s="11">
        <v>0.5</v>
      </c>
      <c r="L37" s="11">
        <v>0</v>
      </c>
    </row>
    <row r="38" spans="1:12" x14ac:dyDescent="0.25">
      <c r="A38" s="11" t="s">
        <v>86</v>
      </c>
      <c r="B38" s="11">
        <v>0</v>
      </c>
      <c r="C38" s="11">
        <v>1</v>
      </c>
      <c r="D38" s="11">
        <v>1</v>
      </c>
      <c r="E38" s="11">
        <v>0</v>
      </c>
      <c r="F38" s="11">
        <v>8</v>
      </c>
      <c r="G38" s="11">
        <v>10</v>
      </c>
      <c r="H38" s="11"/>
      <c r="I38" s="11">
        <v>1</v>
      </c>
      <c r="J38" s="11">
        <v>0.5</v>
      </c>
      <c r="K38" s="11">
        <v>0.5</v>
      </c>
      <c r="L38" s="11">
        <v>0</v>
      </c>
    </row>
    <row r="39" spans="1:12" x14ac:dyDescent="0.25">
      <c r="A39" s="11" t="s">
        <v>286</v>
      </c>
      <c r="B39" s="11">
        <v>0</v>
      </c>
      <c r="C39" s="11">
        <v>1</v>
      </c>
      <c r="D39" s="11">
        <v>0</v>
      </c>
      <c r="E39" s="11">
        <v>0</v>
      </c>
      <c r="F39" s="11">
        <v>6</v>
      </c>
      <c r="G39" s="11">
        <v>0</v>
      </c>
      <c r="H39" s="11"/>
      <c r="I39" s="11"/>
      <c r="J39" s="11">
        <v>0.5</v>
      </c>
      <c r="K39" s="11">
        <v>0.5</v>
      </c>
      <c r="L39" s="11">
        <v>0</v>
      </c>
    </row>
    <row r="40" spans="1:12" x14ac:dyDescent="0.25">
      <c r="A40" s="11" t="s">
        <v>287</v>
      </c>
      <c r="B40" s="11">
        <v>0</v>
      </c>
      <c r="C40" s="11">
        <v>1</v>
      </c>
      <c r="D40" s="11">
        <v>0</v>
      </c>
      <c r="E40" s="11">
        <v>0</v>
      </c>
      <c r="F40" s="11">
        <v>2</v>
      </c>
      <c r="G40" s="11">
        <v>0</v>
      </c>
      <c r="H40" s="11"/>
      <c r="I40" s="11"/>
      <c r="J40" s="11">
        <v>0.5</v>
      </c>
      <c r="K40" s="11">
        <v>0.5</v>
      </c>
      <c r="L40" s="11">
        <v>0</v>
      </c>
    </row>
    <row r="41" spans="1:12" x14ac:dyDescent="0.25">
      <c r="A41" s="11" t="s">
        <v>36</v>
      </c>
      <c r="B41" s="11">
        <v>0</v>
      </c>
      <c r="C41" s="11">
        <v>1</v>
      </c>
      <c r="D41" s="11">
        <v>0</v>
      </c>
      <c r="E41" s="11">
        <v>0</v>
      </c>
      <c r="F41" s="11">
        <v>4</v>
      </c>
      <c r="G41" s="11">
        <v>12</v>
      </c>
      <c r="H41" s="11"/>
      <c r="I41" s="11">
        <v>1</v>
      </c>
      <c r="J41" s="11">
        <v>0.5</v>
      </c>
      <c r="K41" s="11">
        <v>0.5</v>
      </c>
      <c r="L41" s="11">
        <v>0</v>
      </c>
    </row>
    <row r="42" spans="1:12" x14ac:dyDescent="0.25">
      <c r="A42" s="11" t="s">
        <v>288</v>
      </c>
      <c r="B42" s="11">
        <v>0</v>
      </c>
      <c r="C42" s="11">
        <v>1</v>
      </c>
      <c r="D42" s="11">
        <v>0</v>
      </c>
      <c r="E42" s="11">
        <v>0</v>
      </c>
      <c r="F42" s="11">
        <v>2</v>
      </c>
      <c r="G42" s="11">
        <v>0</v>
      </c>
      <c r="H42" s="11"/>
      <c r="I42" s="11"/>
      <c r="J42" s="11">
        <v>0.5</v>
      </c>
      <c r="K42" s="11">
        <v>0.5</v>
      </c>
      <c r="L42" s="11">
        <v>0</v>
      </c>
    </row>
    <row r="43" spans="1:12" x14ac:dyDescent="0.25">
      <c r="A43" s="11" t="s">
        <v>87</v>
      </c>
      <c r="B43" s="11">
        <v>0</v>
      </c>
      <c r="C43" s="11">
        <v>1</v>
      </c>
      <c r="D43" s="11">
        <v>0</v>
      </c>
      <c r="E43" s="11">
        <v>0</v>
      </c>
      <c r="F43" s="11">
        <v>4</v>
      </c>
      <c r="G43" s="11">
        <v>0</v>
      </c>
      <c r="H43" s="11"/>
      <c r="I43" s="11"/>
      <c r="J43" s="11">
        <v>0.5</v>
      </c>
      <c r="K43" s="11">
        <v>0.5</v>
      </c>
      <c r="L43" s="11">
        <v>0</v>
      </c>
    </row>
    <row r="44" spans="1:12" x14ac:dyDescent="0.25">
      <c r="A44" s="11" t="s">
        <v>289</v>
      </c>
      <c r="B44" s="11">
        <v>0</v>
      </c>
      <c r="C44" s="11">
        <v>1</v>
      </c>
      <c r="D44" s="11">
        <v>0</v>
      </c>
      <c r="E44" s="11">
        <v>0</v>
      </c>
      <c r="F44" s="11">
        <v>6</v>
      </c>
      <c r="G44" s="11">
        <v>13</v>
      </c>
      <c r="H44" s="11"/>
      <c r="I44" s="11">
        <v>5</v>
      </c>
      <c r="J44" s="11">
        <v>0.5</v>
      </c>
      <c r="K44" s="11">
        <v>0.5</v>
      </c>
      <c r="L44" s="11">
        <v>0</v>
      </c>
    </row>
    <row r="45" spans="1:12" x14ac:dyDescent="0.25">
      <c r="A45" s="11" t="s">
        <v>290</v>
      </c>
      <c r="B45" s="11">
        <v>0</v>
      </c>
      <c r="C45" s="11">
        <v>1</v>
      </c>
      <c r="D45" s="11">
        <v>0</v>
      </c>
      <c r="E45" s="11">
        <v>0</v>
      </c>
      <c r="F45" s="11">
        <v>0</v>
      </c>
      <c r="G45" s="11">
        <v>0</v>
      </c>
      <c r="H45" s="11"/>
      <c r="I45" s="11"/>
      <c r="J45" s="11">
        <v>0.5</v>
      </c>
      <c r="K45" s="11">
        <v>0.5</v>
      </c>
      <c r="L45" s="11">
        <v>0</v>
      </c>
    </row>
    <row r="46" spans="1:12" x14ac:dyDescent="0.25">
      <c r="A46" s="11" t="s">
        <v>291</v>
      </c>
      <c r="B46" s="11">
        <v>0</v>
      </c>
      <c r="C46" s="11">
        <v>1</v>
      </c>
      <c r="D46" s="11">
        <v>0</v>
      </c>
      <c r="E46" s="11">
        <v>0</v>
      </c>
      <c r="F46" s="11">
        <v>2</v>
      </c>
      <c r="G46" s="11">
        <v>0</v>
      </c>
      <c r="H46" s="11"/>
      <c r="I46" s="11"/>
      <c r="J46" s="11">
        <v>0.5</v>
      </c>
      <c r="K46" s="11">
        <v>0.5</v>
      </c>
      <c r="L46" s="11">
        <v>0</v>
      </c>
    </row>
    <row r="47" spans="1:12" x14ac:dyDescent="0.25">
      <c r="A47" s="11" t="s">
        <v>292</v>
      </c>
      <c r="B47" s="11">
        <v>0</v>
      </c>
      <c r="C47" s="11">
        <v>1</v>
      </c>
      <c r="D47" s="11">
        <v>0</v>
      </c>
      <c r="E47" s="11">
        <v>0</v>
      </c>
      <c r="F47" s="11">
        <v>2</v>
      </c>
      <c r="G47" s="11">
        <v>0</v>
      </c>
      <c r="H47" s="11"/>
      <c r="I47" s="11"/>
      <c r="J47" s="11">
        <v>0.5</v>
      </c>
      <c r="K47" s="11">
        <v>0.5</v>
      </c>
      <c r="L47" s="11">
        <v>0</v>
      </c>
    </row>
    <row r="48" spans="1:12" x14ac:dyDescent="0.25">
      <c r="A48" s="11" t="s">
        <v>293</v>
      </c>
      <c r="B48" s="11">
        <v>0</v>
      </c>
      <c r="C48" s="11">
        <v>1</v>
      </c>
      <c r="D48" s="11">
        <v>0</v>
      </c>
      <c r="E48" s="11">
        <v>0</v>
      </c>
      <c r="F48" s="11">
        <v>3</v>
      </c>
      <c r="G48" s="11">
        <v>0</v>
      </c>
      <c r="H48" s="11"/>
      <c r="I48" s="11"/>
      <c r="J48" s="11">
        <v>0.5</v>
      </c>
      <c r="K48" s="11">
        <v>0.5</v>
      </c>
      <c r="L48" s="11">
        <v>0</v>
      </c>
    </row>
    <row r="49" spans="1:12" x14ac:dyDescent="0.25">
      <c r="A49" s="11" t="s">
        <v>40</v>
      </c>
      <c r="B49" s="11">
        <v>0</v>
      </c>
      <c r="C49" s="11">
        <v>1</v>
      </c>
      <c r="D49" s="11">
        <v>0</v>
      </c>
      <c r="E49" s="11">
        <v>0</v>
      </c>
      <c r="F49" s="11">
        <v>3</v>
      </c>
      <c r="G49" s="11">
        <v>8</v>
      </c>
      <c r="H49" s="11"/>
      <c r="I49" s="11"/>
      <c r="J49" s="11">
        <v>0.5</v>
      </c>
      <c r="K49" s="11">
        <v>0.5</v>
      </c>
      <c r="L49" s="11">
        <v>0</v>
      </c>
    </row>
    <row r="50" spans="1:12" x14ac:dyDescent="0.25">
      <c r="A50" s="11" t="s">
        <v>294</v>
      </c>
      <c r="B50" s="11">
        <v>0</v>
      </c>
      <c r="C50" s="11">
        <v>1</v>
      </c>
      <c r="D50" s="11">
        <v>0</v>
      </c>
      <c r="E50" s="11">
        <v>0</v>
      </c>
      <c r="F50" s="11">
        <v>2</v>
      </c>
      <c r="G50" s="11">
        <v>0</v>
      </c>
      <c r="H50" s="11"/>
      <c r="I50" s="11"/>
      <c r="J50" s="11">
        <v>0.5</v>
      </c>
      <c r="K50" s="11">
        <v>0.5</v>
      </c>
      <c r="L50" s="11">
        <v>0</v>
      </c>
    </row>
    <row r="51" spans="1:12" x14ac:dyDescent="0.25">
      <c r="A51" s="11" t="s">
        <v>295</v>
      </c>
      <c r="B51" s="11">
        <v>0</v>
      </c>
      <c r="C51" s="11">
        <v>1</v>
      </c>
      <c r="D51" s="11">
        <v>1</v>
      </c>
      <c r="E51" s="11">
        <v>0</v>
      </c>
      <c r="F51" s="11">
        <v>7</v>
      </c>
      <c r="G51" s="11">
        <v>0</v>
      </c>
      <c r="H51" s="11"/>
      <c r="I51" s="11">
        <v>2</v>
      </c>
      <c r="J51" s="11">
        <v>0.5</v>
      </c>
      <c r="K51" s="11">
        <v>0.5</v>
      </c>
      <c r="L51" s="11">
        <v>0</v>
      </c>
    </row>
    <row r="52" spans="1:12" x14ac:dyDescent="0.25">
      <c r="A52" s="11" t="s">
        <v>88</v>
      </c>
      <c r="B52" s="11">
        <v>0</v>
      </c>
      <c r="C52" s="11">
        <v>1</v>
      </c>
      <c r="D52" s="11">
        <v>1</v>
      </c>
      <c r="E52" s="11">
        <v>0</v>
      </c>
      <c r="F52" s="11">
        <v>3</v>
      </c>
      <c r="G52" s="11">
        <v>10</v>
      </c>
      <c r="H52" s="11"/>
      <c r="I52" s="11">
        <v>5</v>
      </c>
      <c r="J52" s="11">
        <v>0.5</v>
      </c>
      <c r="K52" s="11">
        <v>0.5</v>
      </c>
      <c r="L52" s="11">
        <v>0</v>
      </c>
    </row>
    <row r="53" spans="1:12" x14ac:dyDescent="0.25">
      <c r="A53" s="11" t="s">
        <v>296</v>
      </c>
      <c r="B53" s="11">
        <v>0</v>
      </c>
      <c r="C53" s="11">
        <v>1</v>
      </c>
      <c r="D53" s="11">
        <v>1</v>
      </c>
      <c r="E53" s="11">
        <v>0</v>
      </c>
      <c r="F53" s="11">
        <v>0</v>
      </c>
      <c r="G53" s="11">
        <v>0</v>
      </c>
      <c r="H53" s="11"/>
      <c r="I53" s="11"/>
      <c r="J53" s="11">
        <v>0.5</v>
      </c>
      <c r="K53" s="11">
        <v>0.5</v>
      </c>
      <c r="L53" s="11">
        <v>0</v>
      </c>
    </row>
    <row r="54" spans="1:12" x14ac:dyDescent="0.25">
      <c r="A54" s="11" t="s">
        <v>297</v>
      </c>
      <c r="B54" s="11">
        <v>0</v>
      </c>
      <c r="C54" s="11">
        <v>1</v>
      </c>
      <c r="D54" s="11">
        <v>1</v>
      </c>
      <c r="E54" s="11">
        <v>0</v>
      </c>
      <c r="F54" s="11">
        <v>0</v>
      </c>
      <c r="G54" s="11">
        <v>0</v>
      </c>
      <c r="H54" s="11"/>
      <c r="I54" s="11"/>
      <c r="J54" s="11">
        <v>0.5</v>
      </c>
      <c r="K54" s="11">
        <v>1</v>
      </c>
      <c r="L54" s="11">
        <v>0</v>
      </c>
    </row>
    <row r="55" spans="1:12" x14ac:dyDescent="0.25">
      <c r="A55" s="11" t="s">
        <v>298</v>
      </c>
      <c r="B55" s="11">
        <v>0</v>
      </c>
      <c r="C55" s="11">
        <v>1</v>
      </c>
      <c r="D55" s="11">
        <v>0</v>
      </c>
      <c r="E55" s="11">
        <v>0</v>
      </c>
      <c r="F55" s="11">
        <v>2</v>
      </c>
      <c r="G55" s="11">
        <v>0</v>
      </c>
      <c r="H55" s="11"/>
      <c r="I55" s="11"/>
      <c r="J55" s="11">
        <v>0.5</v>
      </c>
      <c r="K55" s="11">
        <v>0.5</v>
      </c>
      <c r="L55" s="11">
        <v>0</v>
      </c>
    </row>
    <row r="56" spans="1:12" x14ac:dyDescent="0.25">
      <c r="A56" s="11" t="s">
        <v>299</v>
      </c>
      <c r="B56" s="11">
        <v>0</v>
      </c>
      <c r="C56" s="11">
        <v>1</v>
      </c>
      <c r="D56" s="11">
        <v>0</v>
      </c>
      <c r="E56" s="11">
        <v>0</v>
      </c>
      <c r="F56" s="11">
        <v>2</v>
      </c>
      <c r="G56" s="11">
        <v>0</v>
      </c>
      <c r="H56" s="11"/>
      <c r="I56" s="11"/>
      <c r="J56" s="11">
        <v>0.5</v>
      </c>
      <c r="K56" s="11">
        <v>0.5</v>
      </c>
      <c r="L56" s="11">
        <v>0</v>
      </c>
    </row>
    <row r="57" spans="1:12" x14ac:dyDescent="0.25">
      <c r="A57" s="11" t="s">
        <v>89</v>
      </c>
      <c r="B57" s="11">
        <v>0</v>
      </c>
      <c r="C57" s="11">
        <v>1</v>
      </c>
      <c r="D57" s="11">
        <v>1</v>
      </c>
      <c r="E57" s="11">
        <v>1</v>
      </c>
      <c r="F57" s="11">
        <v>6</v>
      </c>
      <c r="G57" s="11">
        <v>13</v>
      </c>
      <c r="H57" s="11"/>
      <c r="I57" s="11">
        <v>2</v>
      </c>
      <c r="J57" s="11">
        <v>0.5</v>
      </c>
      <c r="K57" s="11">
        <v>0.5</v>
      </c>
      <c r="L57" s="11">
        <v>1</v>
      </c>
    </row>
    <row r="58" spans="1:12" x14ac:dyDescent="0.25">
      <c r="A58" s="11" t="s">
        <v>300</v>
      </c>
      <c r="B58" s="11">
        <v>0</v>
      </c>
      <c r="C58" s="11">
        <v>1</v>
      </c>
      <c r="D58" s="11">
        <v>0</v>
      </c>
      <c r="E58" s="11">
        <v>0</v>
      </c>
      <c r="F58" s="11">
        <v>4</v>
      </c>
      <c r="G58" s="11">
        <v>10</v>
      </c>
      <c r="H58" s="11"/>
      <c r="I58" s="11">
        <v>3</v>
      </c>
      <c r="J58" s="11">
        <v>0.75</v>
      </c>
      <c r="K58" s="11">
        <v>0.5</v>
      </c>
      <c r="L58" s="11">
        <v>0</v>
      </c>
    </row>
    <row r="59" spans="1:12" x14ac:dyDescent="0.25">
      <c r="A59" s="11" t="s">
        <v>301</v>
      </c>
      <c r="B59" s="11">
        <v>0</v>
      </c>
      <c r="C59" s="11">
        <v>1</v>
      </c>
      <c r="D59" s="11">
        <v>1</v>
      </c>
      <c r="E59" s="11">
        <v>0</v>
      </c>
      <c r="F59" s="11">
        <v>4</v>
      </c>
      <c r="G59" s="11">
        <v>10</v>
      </c>
      <c r="H59" s="11"/>
      <c r="I59" s="11">
        <v>4</v>
      </c>
      <c r="J59" s="11">
        <v>0.5</v>
      </c>
      <c r="K59" s="11">
        <v>0.5</v>
      </c>
      <c r="L59" s="11">
        <v>0</v>
      </c>
    </row>
    <row r="60" spans="1:12" x14ac:dyDescent="0.25">
      <c r="A60" s="11" t="s">
        <v>302</v>
      </c>
      <c r="B60" s="11">
        <v>0</v>
      </c>
      <c r="C60" s="11">
        <v>1</v>
      </c>
      <c r="D60" s="11">
        <v>1</v>
      </c>
      <c r="E60" s="11">
        <v>0</v>
      </c>
      <c r="F60" s="11">
        <v>4</v>
      </c>
      <c r="G60" s="11">
        <v>12</v>
      </c>
      <c r="H60" s="11"/>
      <c r="I60" s="11">
        <v>4</v>
      </c>
      <c r="J60" s="11">
        <v>0.5</v>
      </c>
      <c r="K60" s="11">
        <v>0.5</v>
      </c>
      <c r="L60" s="11">
        <v>0</v>
      </c>
    </row>
    <row r="61" spans="1:12" x14ac:dyDescent="0.25">
      <c r="A61" s="11" t="s">
        <v>303</v>
      </c>
      <c r="B61" s="11">
        <v>0</v>
      </c>
      <c r="C61" s="11">
        <v>1</v>
      </c>
      <c r="D61" s="11">
        <v>1</v>
      </c>
      <c r="E61" s="11">
        <v>0</v>
      </c>
      <c r="F61" s="11">
        <v>4</v>
      </c>
      <c r="G61" s="11">
        <v>8</v>
      </c>
      <c r="H61" s="11"/>
      <c r="I61" s="11">
        <v>1</v>
      </c>
      <c r="J61" s="11">
        <v>0.5</v>
      </c>
      <c r="K61" s="11">
        <v>0.5</v>
      </c>
      <c r="L61" s="11">
        <v>0</v>
      </c>
    </row>
    <row r="62" spans="1:12" x14ac:dyDescent="0.25">
      <c r="A62" s="11" t="s">
        <v>304</v>
      </c>
      <c r="B62" s="11">
        <v>0</v>
      </c>
      <c r="C62" s="11">
        <v>1</v>
      </c>
      <c r="D62" s="11">
        <v>1</v>
      </c>
      <c r="E62" s="11">
        <v>0</v>
      </c>
      <c r="F62" s="11">
        <v>7</v>
      </c>
      <c r="G62" s="11">
        <v>12</v>
      </c>
      <c r="H62" s="11"/>
      <c r="I62" s="11">
        <v>4</v>
      </c>
      <c r="J62" s="11">
        <v>0.75</v>
      </c>
      <c r="K62" s="11">
        <v>0.5</v>
      </c>
      <c r="L62" s="11">
        <v>0</v>
      </c>
    </row>
    <row r="63" spans="1:12" x14ac:dyDescent="0.25">
      <c r="A63" s="11" t="s">
        <v>305</v>
      </c>
      <c r="B63" s="11">
        <v>0</v>
      </c>
      <c r="C63" s="11">
        <v>1</v>
      </c>
      <c r="D63" s="11">
        <v>1</v>
      </c>
      <c r="E63" s="11">
        <v>0</v>
      </c>
      <c r="F63" s="11">
        <v>4</v>
      </c>
      <c r="G63" s="11">
        <v>9</v>
      </c>
      <c r="H63" s="11"/>
      <c r="I63" s="11">
        <v>5</v>
      </c>
      <c r="J63" s="11">
        <v>0.5</v>
      </c>
      <c r="K63" s="11">
        <v>0.5</v>
      </c>
      <c r="L63" s="11">
        <v>0</v>
      </c>
    </row>
    <row r="64" spans="1:12" x14ac:dyDescent="0.25">
      <c r="A64" s="11" t="s">
        <v>306</v>
      </c>
      <c r="B64" s="11">
        <v>0</v>
      </c>
      <c r="C64" s="11">
        <v>1</v>
      </c>
      <c r="D64" s="11">
        <v>0</v>
      </c>
      <c r="E64" s="11">
        <v>0</v>
      </c>
      <c r="F64" s="11">
        <v>2</v>
      </c>
      <c r="G64" s="11">
        <v>0</v>
      </c>
      <c r="H64" s="11"/>
      <c r="I64" s="11"/>
      <c r="J64" s="11">
        <v>0.5</v>
      </c>
      <c r="K64" s="11">
        <v>1</v>
      </c>
      <c r="L64" s="11">
        <v>0</v>
      </c>
    </row>
    <row r="65" spans="1:12" x14ac:dyDescent="0.25">
      <c r="A65" s="11" t="s">
        <v>90</v>
      </c>
      <c r="B65" s="11">
        <v>0</v>
      </c>
      <c r="C65" s="11">
        <v>1</v>
      </c>
      <c r="D65" s="11">
        <v>0</v>
      </c>
      <c r="E65" s="11">
        <v>0</v>
      </c>
      <c r="F65" s="11">
        <v>8</v>
      </c>
      <c r="G65" s="11">
        <v>18</v>
      </c>
      <c r="H65" s="11"/>
      <c r="I65" s="11">
        <v>4</v>
      </c>
      <c r="J65" s="11">
        <v>0.5</v>
      </c>
      <c r="K65" s="11">
        <v>0.5</v>
      </c>
      <c r="L65" s="11">
        <v>0</v>
      </c>
    </row>
    <row r="66" spans="1:12" x14ac:dyDescent="0.25">
      <c r="A66" s="11" t="s">
        <v>307</v>
      </c>
      <c r="B66" s="11">
        <v>0</v>
      </c>
      <c r="C66" s="11">
        <v>0.25</v>
      </c>
      <c r="D66" s="11">
        <v>0</v>
      </c>
      <c r="E66" s="11">
        <v>0</v>
      </c>
      <c r="F66" s="11">
        <v>5</v>
      </c>
      <c r="G66" s="11">
        <v>0</v>
      </c>
      <c r="H66" s="11"/>
      <c r="I66" s="11"/>
      <c r="J66" s="11">
        <v>0.5</v>
      </c>
      <c r="K66" s="11">
        <v>0.5</v>
      </c>
      <c r="L66" s="11">
        <v>0</v>
      </c>
    </row>
    <row r="67" spans="1:12" x14ac:dyDescent="0.25">
      <c r="A67" s="11" t="s">
        <v>308</v>
      </c>
      <c r="B67" s="11">
        <v>0</v>
      </c>
      <c r="C67" s="11">
        <v>1</v>
      </c>
      <c r="D67" s="11">
        <v>0</v>
      </c>
      <c r="E67" s="11">
        <v>0</v>
      </c>
      <c r="F67" s="11">
        <v>4</v>
      </c>
      <c r="G67" s="11">
        <v>12</v>
      </c>
      <c r="H67" s="11">
        <v>9</v>
      </c>
      <c r="I67" s="11">
        <v>6</v>
      </c>
      <c r="J67" s="11">
        <v>0.5</v>
      </c>
      <c r="K67" s="11">
        <v>0.5</v>
      </c>
      <c r="L67" s="11">
        <v>0</v>
      </c>
    </row>
    <row r="68" spans="1:12" x14ac:dyDescent="0.25">
      <c r="A68" s="11" t="s">
        <v>91</v>
      </c>
      <c r="B68" s="11">
        <v>0</v>
      </c>
      <c r="C68" s="11">
        <v>0.25</v>
      </c>
      <c r="D68" s="11">
        <v>0</v>
      </c>
      <c r="E68" s="11">
        <v>0</v>
      </c>
      <c r="F68" s="11">
        <v>7</v>
      </c>
      <c r="G68" s="11">
        <v>18</v>
      </c>
      <c r="H68" s="11"/>
      <c r="I68" s="11">
        <v>2</v>
      </c>
      <c r="J68" s="11">
        <v>0.75</v>
      </c>
      <c r="K68" s="11">
        <v>0.5</v>
      </c>
      <c r="L68" s="11">
        <v>0</v>
      </c>
    </row>
    <row r="69" spans="1:12" x14ac:dyDescent="0.25">
      <c r="A69" s="11" t="s">
        <v>92</v>
      </c>
      <c r="B69" s="11">
        <v>0</v>
      </c>
      <c r="C69" s="11">
        <v>1</v>
      </c>
      <c r="D69" s="11">
        <v>0</v>
      </c>
      <c r="E69" s="11">
        <v>0</v>
      </c>
      <c r="F69" s="11">
        <v>1</v>
      </c>
      <c r="G69" s="11">
        <v>1</v>
      </c>
      <c r="H69" s="11"/>
      <c r="I69" s="11"/>
      <c r="J69" s="11">
        <v>0.5</v>
      </c>
      <c r="K69" s="11">
        <v>0.5</v>
      </c>
      <c r="L69" s="11">
        <v>0</v>
      </c>
    </row>
    <row r="70" spans="1:12" x14ac:dyDescent="0.25">
      <c r="A70" s="11" t="s">
        <v>309</v>
      </c>
      <c r="B70" s="11">
        <v>0</v>
      </c>
      <c r="C70" s="11">
        <v>1</v>
      </c>
      <c r="D70" s="11">
        <v>1</v>
      </c>
      <c r="E70" s="11">
        <v>0</v>
      </c>
      <c r="F70" s="11">
        <v>0</v>
      </c>
      <c r="G70" s="11">
        <v>0</v>
      </c>
      <c r="H70" s="11"/>
      <c r="I70" s="11">
        <v>3</v>
      </c>
      <c r="J70" s="11">
        <v>0.5</v>
      </c>
      <c r="K70" s="11">
        <v>0.5</v>
      </c>
      <c r="L70" s="11">
        <v>0</v>
      </c>
    </row>
    <row r="71" spans="1:12" x14ac:dyDescent="0.25">
      <c r="A71" s="11" t="s">
        <v>310</v>
      </c>
      <c r="B71" s="11">
        <v>0</v>
      </c>
      <c r="C71" s="11">
        <v>1</v>
      </c>
      <c r="D71" s="11">
        <v>0</v>
      </c>
      <c r="E71" s="11">
        <v>0</v>
      </c>
      <c r="F71" s="11">
        <v>1</v>
      </c>
      <c r="G71" s="11">
        <v>0</v>
      </c>
      <c r="H71" s="11"/>
      <c r="I71" s="11"/>
      <c r="J71" s="11">
        <v>0.5</v>
      </c>
      <c r="K71" s="11">
        <v>0.5</v>
      </c>
      <c r="L71" s="11">
        <v>0</v>
      </c>
    </row>
    <row r="72" spans="1:12" x14ac:dyDescent="0.25">
      <c r="A72" s="11" t="s">
        <v>93</v>
      </c>
      <c r="B72" s="11">
        <v>0</v>
      </c>
      <c r="C72" s="11">
        <v>0.25</v>
      </c>
      <c r="D72" s="11">
        <v>0</v>
      </c>
      <c r="E72" s="11">
        <v>0</v>
      </c>
      <c r="F72" s="11">
        <v>6</v>
      </c>
      <c r="G72" s="11">
        <v>15</v>
      </c>
      <c r="H72" s="11"/>
      <c r="I72" s="11">
        <v>1</v>
      </c>
      <c r="J72" s="11">
        <v>0.5</v>
      </c>
      <c r="K72" s="11">
        <v>0.5</v>
      </c>
      <c r="L72" s="11">
        <v>0</v>
      </c>
    </row>
    <row r="73" spans="1:12" x14ac:dyDescent="0.25">
      <c r="A73" s="11" t="s">
        <v>311</v>
      </c>
      <c r="B73" s="11">
        <v>0</v>
      </c>
      <c r="C73" s="11">
        <v>0.25</v>
      </c>
      <c r="D73" s="11">
        <v>0</v>
      </c>
      <c r="E73" s="11">
        <v>0</v>
      </c>
      <c r="F73" s="11">
        <v>1</v>
      </c>
      <c r="G73" s="11">
        <v>0</v>
      </c>
      <c r="H73" s="11"/>
      <c r="I73" s="11"/>
      <c r="J73" s="11">
        <v>0.5</v>
      </c>
      <c r="K73" s="11">
        <v>0.5</v>
      </c>
      <c r="L73" s="11">
        <v>0</v>
      </c>
    </row>
    <row r="74" spans="1:12" x14ac:dyDescent="0.25">
      <c r="A74" s="11" t="s">
        <v>312</v>
      </c>
      <c r="B74" s="11">
        <v>0</v>
      </c>
      <c r="C74" s="11">
        <v>1</v>
      </c>
      <c r="D74" s="11">
        <v>1</v>
      </c>
      <c r="E74" s="11">
        <v>0</v>
      </c>
      <c r="F74" s="11">
        <v>4</v>
      </c>
      <c r="G74" s="11">
        <v>10</v>
      </c>
      <c r="H74" s="11"/>
      <c r="I74" s="11">
        <v>5</v>
      </c>
      <c r="J74" s="11">
        <v>0.75</v>
      </c>
      <c r="K74" s="11">
        <v>0.5</v>
      </c>
      <c r="L74" s="11">
        <v>0</v>
      </c>
    </row>
    <row r="75" spans="1:12" x14ac:dyDescent="0.25">
      <c r="A75" s="11" t="s">
        <v>313</v>
      </c>
      <c r="B75" s="11">
        <v>0</v>
      </c>
      <c r="C75" s="11">
        <v>1</v>
      </c>
      <c r="D75" s="11">
        <v>1</v>
      </c>
      <c r="E75" s="11">
        <v>0</v>
      </c>
      <c r="F75" s="11">
        <v>8</v>
      </c>
      <c r="G75" s="11">
        <v>0</v>
      </c>
      <c r="H75" s="11"/>
      <c r="I75" s="11">
        <v>2</v>
      </c>
      <c r="J75" s="11">
        <v>0.5</v>
      </c>
      <c r="K75" s="11">
        <v>0.5</v>
      </c>
      <c r="L75" s="11">
        <v>0</v>
      </c>
    </row>
    <row r="76" spans="1:12" x14ac:dyDescent="0.25">
      <c r="A76" s="11" t="s">
        <v>314</v>
      </c>
      <c r="B76" s="11">
        <v>0</v>
      </c>
      <c r="C76" s="11">
        <v>1</v>
      </c>
      <c r="D76" s="11">
        <v>1</v>
      </c>
      <c r="E76" s="11">
        <v>0</v>
      </c>
      <c r="F76" s="11">
        <v>7</v>
      </c>
      <c r="G76" s="11">
        <v>14</v>
      </c>
      <c r="H76" s="11"/>
      <c r="I76" s="11">
        <v>3</v>
      </c>
      <c r="J76" s="11">
        <v>0.75</v>
      </c>
      <c r="K76" s="11">
        <v>0.5</v>
      </c>
      <c r="L76" s="11">
        <v>0</v>
      </c>
    </row>
    <row r="77" spans="1:12" x14ac:dyDescent="0.25">
      <c r="A77" s="11" t="s">
        <v>315</v>
      </c>
      <c r="B77" s="11">
        <v>0</v>
      </c>
      <c r="C77" s="11">
        <v>1</v>
      </c>
      <c r="D77" s="11">
        <v>0</v>
      </c>
      <c r="E77" s="11">
        <v>0</v>
      </c>
      <c r="F77" s="11">
        <v>2</v>
      </c>
      <c r="G77" s="11">
        <v>5</v>
      </c>
      <c r="H77" s="11"/>
      <c r="I77" s="11">
        <v>4</v>
      </c>
      <c r="J77" s="11">
        <v>0.75</v>
      </c>
      <c r="K77" s="11">
        <v>0.5</v>
      </c>
      <c r="L77" s="11">
        <v>0</v>
      </c>
    </row>
    <row r="78" spans="1:12" x14ac:dyDescent="0.25">
      <c r="A78" s="11" t="s">
        <v>316</v>
      </c>
      <c r="B78" s="11">
        <v>0</v>
      </c>
      <c r="C78" s="11">
        <v>1</v>
      </c>
      <c r="D78" s="11">
        <v>0</v>
      </c>
      <c r="E78" s="11">
        <v>0</v>
      </c>
      <c r="F78" s="11">
        <v>1</v>
      </c>
      <c r="G78" s="11">
        <v>0</v>
      </c>
      <c r="H78" s="11"/>
      <c r="I78" s="11">
        <v>2</v>
      </c>
      <c r="J78" s="11">
        <v>0.5</v>
      </c>
      <c r="K78" s="11">
        <v>0.5</v>
      </c>
      <c r="L78" s="11">
        <v>0</v>
      </c>
    </row>
    <row r="79" spans="1:12" x14ac:dyDescent="0.25">
      <c r="A79" s="11" t="s">
        <v>317</v>
      </c>
      <c r="B79" s="11">
        <v>0</v>
      </c>
      <c r="C79" s="11">
        <v>1</v>
      </c>
      <c r="D79" s="11">
        <v>0</v>
      </c>
      <c r="E79" s="11">
        <v>0</v>
      </c>
      <c r="F79" s="11">
        <v>6</v>
      </c>
      <c r="G79" s="11">
        <v>5</v>
      </c>
      <c r="H79" s="11"/>
      <c r="I79" s="11">
        <v>2</v>
      </c>
      <c r="J79" s="11">
        <v>0.5</v>
      </c>
      <c r="K79" s="11">
        <v>0.5</v>
      </c>
      <c r="L79" s="11">
        <v>0</v>
      </c>
    </row>
    <row r="80" spans="1:12" x14ac:dyDescent="0.25">
      <c r="A80" s="11" t="s">
        <v>94</v>
      </c>
      <c r="B80" s="11">
        <v>0</v>
      </c>
      <c r="C80" s="11">
        <v>1</v>
      </c>
      <c r="D80" s="11">
        <v>0</v>
      </c>
      <c r="E80" s="11">
        <v>0</v>
      </c>
      <c r="F80" s="11">
        <v>5</v>
      </c>
      <c r="G80" s="11">
        <v>9</v>
      </c>
      <c r="H80" s="11"/>
      <c r="I80" s="11">
        <v>2</v>
      </c>
      <c r="J80" s="11">
        <v>0.5</v>
      </c>
      <c r="K80" s="11">
        <v>0.5</v>
      </c>
      <c r="L80" s="11">
        <v>0</v>
      </c>
    </row>
    <row r="81" spans="1:12" x14ac:dyDescent="0.25">
      <c r="A81" s="11" t="s">
        <v>318</v>
      </c>
      <c r="B81" s="11">
        <v>0</v>
      </c>
      <c r="C81" s="11">
        <v>1</v>
      </c>
      <c r="D81" s="11">
        <v>0</v>
      </c>
      <c r="E81" s="11">
        <v>0</v>
      </c>
      <c r="F81" s="11">
        <v>6</v>
      </c>
      <c r="G81" s="11">
        <v>0</v>
      </c>
      <c r="H81" s="11"/>
      <c r="I81" s="11"/>
      <c r="J81" s="11">
        <v>0.5</v>
      </c>
      <c r="K81" s="11">
        <v>0.5</v>
      </c>
      <c r="L81" s="11">
        <v>0</v>
      </c>
    </row>
    <row r="82" spans="1:12" x14ac:dyDescent="0.25">
      <c r="A82" s="11" t="s">
        <v>95</v>
      </c>
      <c r="B82" s="11">
        <v>0</v>
      </c>
      <c r="C82" s="11">
        <v>1</v>
      </c>
      <c r="D82" s="11">
        <v>0</v>
      </c>
      <c r="E82" s="11">
        <v>0</v>
      </c>
      <c r="F82" s="11">
        <v>4</v>
      </c>
      <c r="G82" s="11">
        <v>10</v>
      </c>
      <c r="H82" s="11">
        <v>12</v>
      </c>
      <c r="I82" s="11">
        <v>6</v>
      </c>
      <c r="J82" s="11">
        <v>0.5</v>
      </c>
      <c r="K82" s="11">
        <v>0.5</v>
      </c>
      <c r="L82" s="11">
        <v>0</v>
      </c>
    </row>
    <row r="83" spans="1:12" x14ac:dyDescent="0.25">
      <c r="A83" s="11" t="s">
        <v>95</v>
      </c>
      <c r="B83" s="11">
        <v>0</v>
      </c>
      <c r="C83" s="11">
        <v>1</v>
      </c>
      <c r="D83" s="11">
        <v>0</v>
      </c>
      <c r="E83" s="11">
        <v>0</v>
      </c>
      <c r="F83" s="11">
        <v>4</v>
      </c>
      <c r="G83" s="11">
        <v>10</v>
      </c>
      <c r="H83" s="11">
        <v>12</v>
      </c>
      <c r="I83" s="11">
        <v>6</v>
      </c>
      <c r="J83" s="11">
        <v>0.5</v>
      </c>
      <c r="K83" s="11">
        <v>0.5</v>
      </c>
      <c r="L83" s="11">
        <v>0</v>
      </c>
    </row>
    <row r="84" spans="1:12" x14ac:dyDescent="0.25">
      <c r="A84" s="11" t="s">
        <v>319</v>
      </c>
      <c r="B84" s="11">
        <v>0</v>
      </c>
      <c r="C84" s="11">
        <v>1</v>
      </c>
      <c r="D84" s="11">
        <v>0</v>
      </c>
      <c r="E84" s="11">
        <v>0</v>
      </c>
      <c r="F84" s="11">
        <v>3</v>
      </c>
      <c r="G84" s="11">
        <v>0</v>
      </c>
      <c r="H84" s="11"/>
      <c r="I84" s="11"/>
      <c r="J84" s="11">
        <v>0.5</v>
      </c>
      <c r="K84" s="11">
        <v>0.5</v>
      </c>
      <c r="L84" s="11">
        <v>0</v>
      </c>
    </row>
    <row r="85" spans="1:12" x14ac:dyDescent="0.25">
      <c r="A85" s="11" t="s">
        <v>320</v>
      </c>
      <c r="B85" s="11">
        <v>0</v>
      </c>
      <c r="C85" s="11">
        <v>1</v>
      </c>
      <c r="D85" s="11">
        <v>0</v>
      </c>
      <c r="E85" s="11">
        <v>0</v>
      </c>
      <c r="F85" s="11">
        <v>2</v>
      </c>
      <c r="G85" s="11">
        <v>0</v>
      </c>
      <c r="H85" s="11"/>
      <c r="I85" s="11"/>
      <c r="J85" s="11">
        <v>0.5</v>
      </c>
      <c r="K85" s="11">
        <v>0.5</v>
      </c>
      <c r="L85" s="11">
        <v>0</v>
      </c>
    </row>
    <row r="86" spans="1:12" x14ac:dyDescent="0.25">
      <c r="A86" s="11" t="s">
        <v>96</v>
      </c>
      <c r="B86" s="11">
        <v>0</v>
      </c>
      <c r="C86" s="11">
        <v>1</v>
      </c>
      <c r="D86" s="11">
        <v>0</v>
      </c>
      <c r="E86" s="11">
        <v>0</v>
      </c>
      <c r="F86" s="11">
        <v>1</v>
      </c>
      <c r="G86" s="11">
        <v>1</v>
      </c>
      <c r="H86" s="11"/>
      <c r="I86" s="11">
        <v>1</v>
      </c>
      <c r="J86" s="11">
        <v>0.5</v>
      </c>
      <c r="K86" s="11">
        <v>0.5</v>
      </c>
      <c r="L86" s="11">
        <v>0</v>
      </c>
    </row>
    <row r="87" spans="1:12" x14ac:dyDescent="0.25">
      <c r="A87" s="11" t="s">
        <v>321</v>
      </c>
      <c r="B87" s="11">
        <v>0</v>
      </c>
      <c r="C87" s="11">
        <v>0.25</v>
      </c>
      <c r="D87" s="11">
        <v>0</v>
      </c>
      <c r="E87" s="11">
        <v>0</v>
      </c>
      <c r="F87" s="11">
        <v>4</v>
      </c>
      <c r="G87" s="11">
        <v>9</v>
      </c>
      <c r="H87" s="11"/>
      <c r="I87" s="11">
        <v>1</v>
      </c>
      <c r="J87" s="11">
        <v>0.5</v>
      </c>
      <c r="K87" s="11">
        <v>0.5</v>
      </c>
      <c r="L87" s="11">
        <v>0</v>
      </c>
    </row>
    <row r="88" spans="1:12" x14ac:dyDescent="0.25">
      <c r="A88" s="11" t="s">
        <v>322</v>
      </c>
      <c r="B88" s="11">
        <v>0</v>
      </c>
      <c r="C88" s="11">
        <v>1</v>
      </c>
      <c r="D88" s="11">
        <v>0</v>
      </c>
      <c r="E88" s="11">
        <v>0</v>
      </c>
      <c r="F88" s="11">
        <v>1</v>
      </c>
      <c r="G88" s="11">
        <v>2</v>
      </c>
      <c r="H88" s="11"/>
      <c r="I88" s="11"/>
      <c r="J88" s="11">
        <v>0.5</v>
      </c>
      <c r="K88" s="11">
        <v>0.5</v>
      </c>
      <c r="L88" s="11">
        <v>0</v>
      </c>
    </row>
    <row r="89" spans="1:12" x14ac:dyDescent="0.25">
      <c r="A89" s="11" t="s">
        <v>97</v>
      </c>
      <c r="B89" s="11">
        <v>0</v>
      </c>
      <c r="C89" s="11">
        <v>1</v>
      </c>
      <c r="D89" s="11">
        <v>0</v>
      </c>
      <c r="E89" s="11">
        <v>0</v>
      </c>
      <c r="F89" s="11">
        <v>1</v>
      </c>
      <c r="G89" s="11">
        <v>0</v>
      </c>
      <c r="H89" s="11"/>
      <c r="I89" s="11"/>
      <c r="J89" s="11">
        <v>0.5</v>
      </c>
      <c r="K89" s="11">
        <v>0.5</v>
      </c>
      <c r="L89" s="11">
        <v>0</v>
      </c>
    </row>
    <row r="90" spans="1:12" x14ac:dyDescent="0.25">
      <c r="A90" s="11" t="s">
        <v>323</v>
      </c>
      <c r="B90" s="11">
        <v>0</v>
      </c>
      <c r="C90" s="11">
        <v>1</v>
      </c>
      <c r="D90" s="11">
        <v>0</v>
      </c>
      <c r="E90" s="11">
        <v>0</v>
      </c>
      <c r="F90" s="11">
        <v>8</v>
      </c>
      <c r="G90" s="11">
        <v>13</v>
      </c>
      <c r="H90" s="11"/>
      <c r="I90" s="11">
        <v>2</v>
      </c>
      <c r="J90" s="11">
        <v>0.5</v>
      </c>
      <c r="K90" s="11">
        <v>0.5</v>
      </c>
      <c r="L90" s="11">
        <v>0</v>
      </c>
    </row>
    <row r="91" spans="1:12" x14ac:dyDescent="0.25">
      <c r="A91" s="11" t="s">
        <v>324</v>
      </c>
      <c r="B91" s="11">
        <v>0</v>
      </c>
      <c r="C91" s="11">
        <v>1</v>
      </c>
      <c r="D91" s="11">
        <v>0</v>
      </c>
      <c r="E91" s="11">
        <v>0</v>
      </c>
      <c r="F91" s="11">
        <v>0</v>
      </c>
      <c r="G91" s="11">
        <v>0</v>
      </c>
      <c r="H91" s="11"/>
      <c r="I91" s="11">
        <v>3</v>
      </c>
      <c r="J91" s="11">
        <v>0.5</v>
      </c>
      <c r="K91" s="11">
        <v>0.5</v>
      </c>
      <c r="L91" s="11">
        <v>0</v>
      </c>
    </row>
    <row r="92" spans="1:12" x14ac:dyDescent="0.25">
      <c r="A92" s="11" t="s">
        <v>18</v>
      </c>
      <c r="B92" s="11">
        <v>1</v>
      </c>
      <c r="C92" s="11">
        <v>1</v>
      </c>
      <c r="D92" s="11">
        <v>1</v>
      </c>
      <c r="E92" s="11">
        <v>0</v>
      </c>
      <c r="F92" s="11">
        <v>4</v>
      </c>
      <c r="G92" s="11">
        <v>4</v>
      </c>
      <c r="H92" s="11">
        <v>2</v>
      </c>
      <c r="I92" s="11">
        <v>5</v>
      </c>
      <c r="J92" s="11">
        <v>0.75</v>
      </c>
      <c r="K92" s="11">
        <v>1</v>
      </c>
      <c r="L92" s="11">
        <v>0</v>
      </c>
    </row>
    <row r="93" spans="1:12" x14ac:dyDescent="0.25">
      <c r="A93" s="11" t="s">
        <v>325</v>
      </c>
      <c r="B93" s="11">
        <v>0</v>
      </c>
      <c r="C93" s="11">
        <v>1</v>
      </c>
      <c r="D93" s="11">
        <v>1</v>
      </c>
      <c r="E93" s="11">
        <v>0</v>
      </c>
      <c r="F93" s="11">
        <v>1</v>
      </c>
      <c r="G93" s="11">
        <v>0</v>
      </c>
      <c r="H93" s="11"/>
      <c r="I93" s="11"/>
      <c r="J93" s="11">
        <v>0.5</v>
      </c>
      <c r="K93" s="11">
        <v>1</v>
      </c>
      <c r="L93" s="11">
        <v>0</v>
      </c>
    </row>
    <row r="94" spans="1:12" x14ac:dyDescent="0.25">
      <c r="A94" s="11" t="s">
        <v>326</v>
      </c>
      <c r="B94" s="11">
        <v>0</v>
      </c>
      <c r="C94" s="11">
        <v>1</v>
      </c>
      <c r="D94" s="11">
        <v>1</v>
      </c>
      <c r="E94" s="11">
        <v>0</v>
      </c>
      <c r="F94" s="11">
        <v>0</v>
      </c>
      <c r="G94" s="11">
        <v>0</v>
      </c>
      <c r="H94" s="11"/>
      <c r="I94" s="11">
        <v>1</v>
      </c>
      <c r="J94" s="11">
        <v>0.5</v>
      </c>
      <c r="K94" s="11">
        <v>0.5</v>
      </c>
      <c r="L94" s="11">
        <v>0</v>
      </c>
    </row>
    <row r="95" spans="1:12" x14ac:dyDescent="0.25">
      <c r="A95" s="11" t="s">
        <v>327</v>
      </c>
      <c r="B95" s="11">
        <v>0</v>
      </c>
      <c r="C95" s="11">
        <v>1</v>
      </c>
      <c r="D95" s="11">
        <v>0</v>
      </c>
      <c r="E95" s="11">
        <v>0</v>
      </c>
      <c r="F95" s="11">
        <v>4</v>
      </c>
      <c r="G95" s="11">
        <v>0</v>
      </c>
      <c r="H95" s="11"/>
      <c r="I95" s="11"/>
      <c r="J95" s="11">
        <v>0.5</v>
      </c>
      <c r="K95" s="11">
        <v>1</v>
      </c>
      <c r="L95" s="11">
        <v>0</v>
      </c>
    </row>
    <row r="96" spans="1:12" x14ac:dyDescent="0.25">
      <c r="A96" s="11" t="s">
        <v>98</v>
      </c>
      <c r="B96" s="11">
        <v>1</v>
      </c>
      <c r="C96" s="11">
        <v>1</v>
      </c>
      <c r="D96" s="11">
        <v>0</v>
      </c>
      <c r="E96" s="11">
        <v>0</v>
      </c>
      <c r="F96" s="11">
        <v>3</v>
      </c>
      <c r="G96" s="11">
        <v>5</v>
      </c>
      <c r="H96" s="11"/>
      <c r="I96" s="11"/>
      <c r="J96" s="11">
        <v>0.75</v>
      </c>
      <c r="K96" s="11">
        <v>1</v>
      </c>
      <c r="L96" s="11">
        <v>0</v>
      </c>
    </row>
    <row r="97" spans="1:12" x14ac:dyDescent="0.25">
      <c r="A97" s="11" t="s">
        <v>328</v>
      </c>
      <c r="B97" s="11">
        <v>1</v>
      </c>
      <c r="C97" s="11">
        <v>1</v>
      </c>
      <c r="D97" s="11">
        <v>0</v>
      </c>
      <c r="E97" s="11">
        <v>0</v>
      </c>
      <c r="F97" s="11">
        <v>0</v>
      </c>
      <c r="G97" s="11">
        <v>0</v>
      </c>
      <c r="H97" s="11"/>
      <c r="I97" s="11"/>
      <c r="J97" s="11">
        <v>0.5</v>
      </c>
      <c r="K97" s="11">
        <v>1</v>
      </c>
      <c r="L97" s="11">
        <v>0</v>
      </c>
    </row>
    <row r="98" spans="1:12" x14ac:dyDescent="0.25">
      <c r="A98" s="11" t="s">
        <v>8</v>
      </c>
      <c r="B98" s="11">
        <v>1</v>
      </c>
      <c r="C98" s="11">
        <v>1</v>
      </c>
      <c r="D98" s="11">
        <v>0</v>
      </c>
      <c r="E98" s="11">
        <v>0</v>
      </c>
      <c r="F98" s="11">
        <v>1</v>
      </c>
      <c r="G98" s="11">
        <v>1</v>
      </c>
      <c r="H98" s="11"/>
      <c r="I98" s="11"/>
      <c r="J98" s="11">
        <v>0.75</v>
      </c>
      <c r="K98" s="11">
        <v>1</v>
      </c>
      <c r="L98" s="11">
        <v>0</v>
      </c>
    </row>
    <row r="99" spans="1:12" x14ac:dyDescent="0.25">
      <c r="A99" s="11" t="s">
        <v>329</v>
      </c>
      <c r="B99" s="11">
        <v>0</v>
      </c>
      <c r="C99" s="11">
        <v>1</v>
      </c>
      <c r="D99" s="11">
        <v>0</v>
      </c>
      <c r="E99" s="11">
        <v>0</v>
      </c>
      <c r="F99" s="11">
        <v>1</v>
      </c>
      <c r="G99" s="11">
        <v>0</v>
      </c>
      <c r="H99" s="11"/>
      <c r="I99" s="11"/>
      <c r="J99" s="11">
        <v>0.5</v>
      </c>
      <c r="K99" s="11">
        <v>1</v>
      </c>
      <c r="L99" s="11">
        <v>0</v>
      </c>
    </row>
    <row r="100" spans="1:12" x14ac:dyDescent="0.25">
      <c r="A100" s="11" t="s">
        <v>330</v>
      </c>
      <c r="B100" s="11">
        <v>0</v>
      </c>
      <c r="C100" s="11">
        <v>1</v>
      </c>
      <c r="D100" s="11">
        <v>0</v>
      </c>
      <c r="E100" s="11">
        <v>0</v>
      </c>
      <c r="F100" s="11">
        <v>1</v>
      </c>
      <c r="G100" s="11">
        <v>0</v>
      </c>
      <c r="H100" s="11"/>
      <c r="I100" s="11"/>
      <c r="J100" s="11">
        <v>0.5</v>
      </c>
      <c r="K100" s="11">
        <v>1</v>
      </c>
      <c r="L100" s="11">
        <v>0</v>
      </c>
    </row>
    <row r="101" spans="1:12" x14ac:dyDescent="0.25">
      <c r="A101" s="11" t="s">
        <v>331</v>
      </c>
      <c r="B101" s="11">
        <v>0</v>
      </c>
      <c r="C101" s="11">
        <v>1</v>
      </c>
      <c r="D101" s="11">
        <v>1</v>
      </c>
      <c r="E101" s="11">
        <v>0</v>
      </c>
      <c r="F101" s="11">
        <v>2</v>
      </c>
      <c r="G101" s="11">
        <v>1</v>
      </c>
      <c r="H101" s="11"/>
      <c r="I101" s="11"/>
      <c r="J101" s="11">
        <v>0.5</v>
      </c>
      <c r="K101" s="11">
        <v>1</v>
      </c>
      <c r="L101" s="11">
        <v>0</v>
      </c>
    </row>
    <row r="102" spans="1:12" x14ac:dyDescent="0.25">
      <c r="A102" s="11" t="s">
        <v>332</v>
      </c>
      <c r="B102" s="11">
        <v>0</v>
      </c>
      <c r="C102" s="11">
        <v>0.25</v>
      </c>
      <c r="D102" s="11">
        <v>0</v>
      </c>
      <c r="E102" s="11">
        <v>0</v>
      </c>
      <c r="F102" s="11">
        <v>4</v>
      </c>
      <c r="G102" s="11">
        <v>0</v>
      </c>
      <c r="H102" s="11"/>
      <c r="I102" s="11"/>
      <c r="J102" s="11">
        <v>0.5</v>
      </c>
      <c r="K102" s="11">
        <v>1</v>
      </c>
      <c r="L102" s="11">
        <v>0</v>
      </c>
    </row>
    <row r="103" spans="1:12" x14ac:dyDescent="0.25">
      <c r="A103" s="11" t="s">
        <v>99</v>
      </c>
      <c r="B103" s="11">
        <v>0</v>
      </c>
      <c r="C103" s="11">
        <v>0.25</v>
      </c>
      <c r="D103" s="11">
        <v>0</v>
      </c>
      <c r="E103" s="11">
        <v>0</v>
      </c>
      <c r="F103" s="11">
        <v>2</v>
      </c>
      <c r="G103" s="11">
        <v>2</v>
      </c>
      <c r="H103" s="11">
        <v>1</v>
      </c>
      <c r="I103" s="11">
        <v>2</v>
      </c>
      <c r="J103" s="11">
        <v>0.75</v>
      </c>
      <c r="K103" s="11">
        <v>1</v>
      </c>
      <c r="L103" s="11">
        <v>0</v>
      </c>
    </row>
    <row r="104" spans="1:12" x14ac:dyDescent="0.25">
      <c r="A104" s="11" t="s">
        <v>333</v>
      </c>
      <c r="B104" s="11">
        <v>0</v>
      </c>
      <c r="C104" s="11">
        <v>1</v>
      </c>
      <c r="D104" s="11">
        <v>1</v>
      </c>
      <c r="E104" s="11">
        <v>0</v>
      </c>
      <c r="F104" s="11">
        <v>3</v>
      </c>
      <c r="G104" s="11">
        <v>5</v>
      </c>
      <c r="H104" s="11"/>
      <c r="I104" s="11">
        <v>3</v>
      </c>
      <c r="J104" s="11">
        <v>0.75</v>
      </c>
      <c r="K104" s="11">
        <v>1</v>
      </c>
      <c r="L104" s="11">
        <v>0</v>
      </c>
    </row>
    <row r="105" spans="1:12" x14ac:dyDescent="0.25">
      <c r="A105" s="11" t="s">
        <v>100</v>
      </c>
      <c r="B105" s="11">
        <v>1</v>
      </c>
      <c r="C105" s="11">
        <v>0.25</v>
      </c>
      <c r="D105" s="11">
        <v>0</v>
      </c>
      <c r="E105" s="11">
        <v>0</v>
      </c>
      <c r="F105" s="11">
        <v>1</v>
      </c>
      <c r="G105" s="11">
        <v>1</v>
      </c>
      <c r="H105" s="11"/>
      <c r="I105" s="11"/>
      <c r="J105" s="11">
        <v>1</v>
      </c>
      <c r="K105" s="11">
        <v>1</v>
      </c>
      <c r="L105" s="11">
        <v>0</v>
      </c>
    </row>
    <row r="106" spans="1:12" x14ac:dyDescent="0.25">
      <c r="A106" s="11" t="s">
        <v>101</v>
      </c>
      <c r="B106" s="11">
        <v>1</v>
      </c>
      <c r="C106" s="11">
        <v>0.25</v>
      </c>
      <c r="D106" s="11">
        <v>0</v>
      </c>
      <c r="E106" s="11">
        <v>0</v>
      </c>
      <c r="F106" s="11">
        <v>1</v>
      </c>
      <c r="G106" s="11">
        <v>1</v>
      </c>
      <c r="H106" s="11"/>
      <c r="I106" s="11"/>
      <c r="J106" s="11">
        <v>1</v>
      </c>
      <c r="K106" s="11">
        <v>1</v>
      </c>
      <c r="L106" s="11">
        <v>0</v>
      </c>
    </row>
    <row r="107" spans="1:12" x14ac:dyDescent="0.25">
      <c r="A107" s="11" t="s">
        <v>102</v>
      </c>
      <c r="B107" s="11">
        <v>1</v>
      </c>
      <c r="C107" s="11">
        <v>0.25</v>
      </c>
      <c r="D107" s="11">
        <v>0</v>
      </c>
      <c r="E107" s="11">
        <v>0</v>
      </c>
      <c r="F107" s="11">
        <v>1</v>
      </c>
      <c r="G107" s="11">
        <v>1</v>
      </c>
      <c r="H107" s="11"/>
      <c r="I107" s="11"/>
      <c r="J107" s="11">
        <v>1</v>
      </c>
      <c r="K107" s="11">
        <v>1</v>
      </c>
      <c r="L107" s="11">
        <v>0</v>
      </c>
    </row>
    <row r="108" spans="1:12" x14ac:dyDescent="0.25">
      <c r="A108" s="11" t="s">
        <v>103</v>
      </c>
      <c r="B108" s="11">
        <v>1</v>
      </c>
      <c r="C108" s="11">
        <v>0.25</v>
      </c>
      <c r="D108" s="11">
        <v>0</v>
      </c>
      <c r="E108" s="11">
        <v>0</v>
      </c>
      <c r="F108" s="11">
        <v>2</v>
      </c>
      <c r="G108" s="11">
        <v>2</v>
      </c>
      <c r="H108" s="11"/>
      <c r="I108" s="11"/>
      <c r="J108" s="11">
        <v>0.75</v>
      </c>
      <c r="K108" s="11">
        <v>1</v>
      </c>
      <c r="L108" s="11">
        <v>0</v>
      </c>
    </row>
    <row r="109" spans="1:12" x14ac:dyDescent="0.25">
      <c r="A109" s="11" t="s">
        <v>334</v>
      </c>
      <c r="B109" s="11">
        <v>1</v>
      </c>
      <c r="C109" s="11">
        <v>1</v>
      </c>
      <c r="D109" s="11">
        <v>1</v>
      </c>
      <c r="E109" s="11">
        <v>0</v>
      </c>
      <c r="F109" s="11">
        <v>2</v>
      </c>
      <c r="G109" s="11">
        <v>1</v>
      </c>
      <c r="H109" s="11"/>
      <c r="I109" s="11">
        <v>1</v>
      </c>
      <c r="J109" s="11">
        <v>0.75</v>
      </c>
      <c r="K109" s="11">
        <v>1</v>
      </c>
      <c r="L109" s="11">
        <v>0</v>
      </c>
    </row>
    <row r="110" spans="1:12" x14ac:dyDescent="0.25">
      <c r="A110" s="11" t="s">
        <v>335</v>
      </c>
      <c r="B110" s="11">
        <v>1</v>
      </c>
      <c r="C110" s="11">
        <v>1</v>
      </c>
      <c r="D110" s="11">
        <v>1</v>
      </c>
      <c r="E110" s="11">
        <v>0</v>
      </c>
      <c r="F110" s="11">
        <v>2</v>
      </c>
      <c r="G110" s="11">
        <v>2</v>
      </c>
      <c r="H110" s="11"/>
      <c r="I110" s="11">
        <v>4</v>
      </c>
      <c r="J110" s="11">
        <v>0.75</v>
      </c>
      <c r="K110" s="11">
        <v>1</v>
      </c>
      <c r="L110" s="11">
        <v>0</v>
      </c>
    </row>
    <row r="111" spans="1:12" x14ac:dyDescent="0.25">
      <c r="A111" s="11" t="s">
        <v>336</v>
      </c>
      <c r="B111" s="11">
        <v>1</v>
      </c>
      <c r="C111" s="11">
        <v>1</v>
      </c>
      <c r="D111" s="11">
        <v>1</v>
      </c>
      <c r="E111" s="11">
        <v>0</v>
      </c>
      <c r="F111" s="11">
        <v>1</v>
      </c>
      <c r="G111" s="11">
        <v>1</v>
      </c>
      <c r="H111" s="11"/>
      <c r="I111" s="11">
        <v>3</v>
      </c>
      <c r="J111" s="11">
        <v>0.75</v>
      </c>
      <c r="K111" s="11">
        <v>1</v>
      </c>
      <c r="L111" s="11">
        <v>0</v>
      </c>
    </row>
    <row r="112" spans="1:12" x14ac:dyDescent="0.25">
      <c r="A112" s="11" t="s">
        <v>337</v>
      </c>
      <c r="B112" s="11">
        <v>1</v>
      </c>
      <c r="C112" s="11">
        <v>1</v>
      </c>
      <c r="D112" s="11">
        <v>1</v>
      </c>
      <c r="E112" s="11">
        <v>0</v>
      </c>
      <c r="F112" s="11">
        <v>1</v>
      </c>
      <c r="G112" s="11">
        <v>1</v>
      </c>
      <c r="H112" s="11"/>
      <c r="I112" s="11"/>
      <c r="J112" s="11">
        <v>0.75</v>
      </c>
      <c r="K112" s="11">
        <v>1</v>
      </c>
      <c r="L112" s="11">
        <v>0</v>
      </c>
    </row>
    <row r="113" spans="1:12" x14ac:dyDescent="0.25">
      <c r="A113" s="11" t="s">
        <v>338</v>
      </c>
      <c r="B113" s="11">
        <v>1</v>
      </c>
      <c r="C113" s="11">
        <v>1</v>
      </c>
      <c r="D113" s="11">
        <v>1</v>
      </c>
      <c r="E113" s="11">
        <v>0</v>
      </c>
      <c r="F113" s="11">
        <v>2</v>
      </c>
      <c r="G113" s="11">
        <v>4</v>
      </c>
      <c r="H113" s="11">
        <v>1</v>
      </c>
      <c r="I113" s="11"/>
      <c r="J113" s="11">
        <v>0.75</v>
      </c>
      <c r="K113" s="11">
        <v>1</v>
      </c>
      <c r="L113" s="11">
        <v>0</v>
      </c>
    </row>
    <row r="114" spans="1:12" x14ac:dyDescent="0.25">
      <c r="A114" s="11" t="s">
        <v>339</v>
      </c>
      <c r="B114" s="11">
        <v>1</v>
      </c>
      <c r="C114" s="11">
        <v>1</v>
      </c>
      <c r="D114" s="11">
        <v>1</v>
      </c>
      <c r="E114" s="11">
        <v>0</v>
      </c>
      <c r="F114" s="11">
        <v>2</v>
      </c>
      <c r="G114" s="11">
        <v>2</v>
      </c>
      <c r="H114" s="11"/>
      <c r="I114" s="11"/>
      <c r="J114" s="11">
        <v>0.75</v>
      </c>
      <c r="K114" s="11">
        <v>1</v>
      </c>
      <c r="L114" s="11">
        <v>0</v>
      </c>
    </row>
    <row r="115" spans="1:12" x14ac:dyDescent="0.25">
      <c r="A115" s="11" t="s">
        <v>340</v>
      </c>
      <c r="B115" s="11">
        <v>0</v>
      </c>
      <c r="C115" s="11">
        <v>1</v>
      </c>
      <c r="D115" s="11">
        <v>0</v>
      </c>
      <c r="E115" s="11">
        <v>0</v>
      </c>
      <c r="F115" s="11">
        <v>5</v>
      </c>
      <c r="G115" s="11">
        <v>7</v>
      </c>
      <c r="H115" s="11"/>
      <c r="I115" s="11">
        <v>4</v>
      </c>
      <c r="J115" s="11">
        <v>1</v>
      </c>
      <c r="K115" s="11">
        <v>0.5</v>
      </c>
      <c r="L115" s="11">
        <v>0</v>
      </c>
    </row>
    <row r="116" spans="1:12" x14ac:dyDescent="0.25">
      <c r="A116" s="11" t="s">
        <v>341</v>
      </c>
      <c r="B116" s="11">
        <v>0</v>
      </c>
      <c r="C116" s="11">
        <v>0.25</v>
      </c>
      <c r="D116" s="11">
        <v>0</v>
      </c>
      <c r="E116" s="11">
        <v>0</v>
      </c>
      <c r="F116" s="11">
        <v>4</v>
      </c>
      <c r="G116" s="11">
        <v>11</v>
      </c>
      <c r="H116" s="11"/>
      <c r="I116" s="11">
        <v>5</v>
      </c>
      <c r="J116" s="11">
        <v>1</v>
      </c>
      <c r="K116" s="11">
        <v>0.5</v>
      </c>
      <c r="L116" s="11">
        <v>0</v>
      </c>
    </row>
    <row r="117" spans="1:12" x14ac:dyDescent="0.25">
      <c r="A117" s="11" t="s">
        <v>342</v>
      </c>
      <c r="B117" s="11">
        <v>0</v>
      </c>
      <c r="C117" s="11">
        <v>1</v>
      </c>
      <c r="D117" s="11">
        <v>1</v>
      </c>
      <c r="E117" s="11">
        <v>0</v>
      </c>
      <c r="F117" s="11">
        <v>3</v>
      </c>
      <c r="G117" s="11">
        <v>6</v>
      </c>
      <c r="H117" s="11"/>
      <c r="I117" s="11">
        <v>3</v>
      </c>
      <c r="J117" s="11">
        <v>1</v>
      </c>
      <c r="K117" s="11">
        <v>0.5</v>
      </c>
      <c r="L117" s="11">
        <v>0</v>
      </c>
    </row>
    <row r="118" spans="1:12" x14ac:dyDescent="0.25">
      <c r="A118" s="11" t="s">
        <v>104</v>
      </c>
      <c r="B118" s="11">
        <v>0</v>
      </c>
      <c r="C118" s="11">
        <v>1</v>
      </c>
      <c r="D118" s="11">
        <v>1</v>
      </c>
      <c r="E118" s="11">
        <v>0</v>
      </c>
      <c r="F118" s="11">
        <v>5</v>
      </c>
      <c r="G118" s="11">
        <v>11</v>
      </c>
      <c r="H118" s="11"/>
      <c r="I118" s="11">
        <v>4</v>
      </c>
      <c r="J118" s="11">
        <v>1</v>
      </c>
      <c r="K118" s="11">
        <v>0.5</v>
      </c>
      <c r="L118" s="11">
        <v>0</v>
      </c>
    </row>
    <row r="119" spans="1:12" x14ac:dyDescent="0.25">
      <c r="A119" s="11" t="s">
        <v>343</v>
      </c>
      <c r="B119" s="11">
        <v>0</v>
      </c>
      <c r="C119" s="11">
        <v>1</v>
      </c>
      <c r="D119" s="11">
        <v>0</v>
      </c>
      <c r="E119" s="11">
        <v>0</v>
      </c>
      <c r="F119" s="11">
        <v>5</v>
      </c>
      <c r="G119" s="11">
        <v>11</v>
      </c>
      <c r="H119" s="11"/>
      <c r="I119" s="11">
        <v>3</v>
      </c>
      <c r="J119" s="11">
        <v>0.75</v>
      </c>
      <c r="K119" s="11">
        <v>0.5</v>
      </c>
      <c r="L119" s="11">
        <v>0</v>
      </c>
    </row>
    <row r="120" spans="1:12" x14ac:dyDescent="0.25">
      <c r="A120" s="11" t="s">
        <v>344</v>
      </c>
      <c r="B120" s="11">
        <v>0</v>
      </c>
      <c r="C120" s="11">
        <v>1</v>
      </c>
      <c r="D120" s="11">
        <v>1</v>
      </c>
      <c r="E120" s="11">
        <v>0</v>
      </c>
      <c r="F120" s="11">
        <v>5</v>
      </c>
      <c r="G120" s="11">
        <v>11</v>
      </c>
      <c r="H120" s="11"/>
      <c r="I120" s="11">
        <v>3</v>
      </c>
      <c r="J120" s="11">
        <v>0.75</v>
      </c>
      <c r="K120" s="11">
        <v>0.5</v>
      </c>
      <c r="L120" s="11">
        <v>0</v>
      </c>
    </row>
    <row r="121" spans="1:12" x14ac:dyDescent="0.25">
      <c r="A121" s="11" t="s">
        <v>345</v>
      </c>
      <c r="B121" s="11">
        <v>0</v>
      </c>
      <c r="C121" s="11">
        <v>1</v>
      </c>
      <c r="D121" s="11">
        <v>0</v>
      </c>
      <c r="E121" s="11">
        <v>0</v>
      </c>
      <c r="F121" s="11">
        <v>3</v>
      </c>
      <c r="G121" s="11">
        <v>9</v>
      </c>
      <c r="H121" s="11">
        <v>1</v>
      </c>
      <c r="I121" s="11">
        <v>5</v>
      </c>
      <c r="J121" s="11">
        <v>0.75</v>
      </c>
      <c r="K121" s="11">
        <v>0.5</v>
      </c>
      <c r="L121" s="11">
        <v>0</v>
      </c>
    </row>
    <row r="122" spans="1:12" x14ac:dyDescent="0.25">
      <c r="A122" s="11" t="s">
        <v>346</v>
      </c>
      <c r="B122" s="11">
        <v>0</v>
      </c>
      <c r="C122" s="11">
        <v>1</v>
      </c>
      <c r="D122" s="11">
        <v>0</v>
      </c>
      <c r="E122" s="11">
        <v>0</v>
      </c>
      <c r="F122" s="11">
        <v>4</v>
      </c>
      <c r="G122" s="11">
        <v>11</v>
      </c>
      <c r="H122" s="11"/>
      <c r="I122" s="11">
        <v>4</v>
      </c>
      <c r="J122" s="11">
        <v>1</v>
      </c>
      <c r="K122" s="11">
        <v>0.5</v>
      </c>
      <c r="L122" s="11">
        <v>0</v>
      </c>
    </row>
    <row r="123" spans="1:12" x14ac:dyDescent="0.25">
      <c r="A123" s="11" t="s">
        <v>347</v>
      </c>
      <c r="B123" s="11">
        <v>0</v>
      </c>
      <c r="C123" s="11">
        <v>1</v>
      </c>
      <c r="D123" s="11">
        <v>1</v>
      </c>
      <c r="E123" s="11">
        <v>0</v>
      </c>
      <c r="F123" s="11">
        <v>6</v>
      </c>
      <c r="G123" s="11">
        <v>14</v>
      </c>
      <c r="H123" s="11"/>
      <c r="I123" s="11">
        <v>4</v>
      </c>
      <c r="J123" s="11">
        <v>1</v>
      </c>
      <c r="K123" s="11">
        <v>0.5</v>
      </c>
      <c r="L123" s="11">
        <v>0</v>
      </c>
    </row>
    <row r="124" spans="1:12" x14ac:dyDescent="0.25">
      <c r="A124" s="11" t="s">
        <v>348</v>
      </c>
      <c r="B124" s="11">
        <v>0</v>
      </c>
      <c r="C124" s="11">
        <v>1</v>
      </c>
      <c r="D124" s="11">
        <v>1</v>
      </c>
      <c r="E124" s="11">
        <v>0</v>
      </c>
      <c r="F124" s="11">
        <v>4</v>
      </c>
      <c r="G124" s="11">
        <v>7</v>
      </c>
      <c r="H124" s="11"/>
      <c r="I124" s="11">
        <v>3</v>
      </c>
      <c r="J124" s="11">
        <v>1</v>
      </c>
      <c r="K124" s="11">
        <v>0.5</v>
      </c>
      <c r="L124" s="11">
        <v>0</v>
      </c>
    </row>
    <row r="125" spans="1:12" x14ac:dyDescent="0.25">
      <c r="A125" s="11" t="s">
        <v>105</v>
      </c>
      <c r="B125" s="11">
        <v>0</v>
      </c>
      <c r="C125" s="11">
        <v>1</v>
      </c>
      <c r="D125" s="11">
        <v>1</v>
      </c>
      <c r="E125" s="11">
        <v>0</v>
      </c>
      <c r="F125" s="11">
        <v>5</v>
      </c>
      <c r="G125" s="11">
        <v>11</v>
      </c>
      <c r="H125" s="11"/>
      <c r="I125" s="11">
        <v>2</v>
      </c>
      <c r="J125" s="11">
        <v>1</v>
      </c>
      <c r="K125" s="11">
        <v>0.5</v>
      </c>
      <c r="L125" s="11">
        <v>0</v>
      </c>
    </row>
    <row r="126" spans="1:12" x14ac:dyDescent="0.25">
      <c r="A126" s="11" t="s">
        <v>349</v>
      </c>
      <c r="B126" s="11">
        <v>0</v>
      </c>
      <c r="C126" s="11">
        <v>1</v>
      </c>
      <c r="D126" s="11">
        <v>0</v>
      </c>
      <c r="E126" s="11">
        <v>0</v>
      </c>
      <c r="F126" s="11">
        <v>4</v>
      </c>
      <c r="G126" s="11">
        <v>9</v>
      </c>
      <c r="H126" s="11"/>
      <c r="I126" s="11">
        <v>3</v>
      </c>
      <c r="J126" s="11">
        <v>1</v>
      </c>
      <c r="K126" s="11">
        <v>0.5</v>
      </c>
      <c r="L126" s="11">
        <v>0</v>
      </c>
    </row>
    <row r="127" spans="1:12" x14ac:dyDescent="0.25">
      <c r="A127" s="11" t="s">
        <v>106</v>
      </c>
      <c r="B127" s="11">
        <v>0</v>
      </c>
      <c r="C127" s="11">
        <v>1</v>
      </c>
      <c r="D127" s="11">
        <v>0</v>
      </c>
      <c r="E127" s="11">
        <v>0</v>
      </c>
      <c r="F127" s="11">
        <v>4</v>
      </c>
      <c r="G127" s="11">
        <v>11</v>
      </c>
      <c r="H127" s="11"/>
      <c r="I127" s="11">
        <v>5</v>
      </c>
      <c r="J127" s="11">
        <v>0.75</v>
      </c>
      <c r="K127" s="11">
        <v>0.5</v>
      </c>
      <c r="L127" s="11">
        <v>0</v>
      </c>
    </row>
    <row r="128" spans="1:12" x14ac:dyDescent="0.25">
      <c r="A128" s="11" t="s">
        <v>350</v>
      </c>
      <c r="B128" s="11">
        <v>0</v>
      </c>
      <c r="C128" s="11">
        <v>1</v>
      </c>
      <c r="D128" s="11">
        <v>0</v>
      </c>
      <c r="E128" s="11">
        <v>0</v>
      </c>
      <c r="F128" s="11">
        <v>3</v>
      </c>
      <c r="G128" s="11">
        <v>3</v>
      </c>
      <c r="H128" s="11"/>
      <c r="I128" s="11">
        <v>3</v>
      </c>
      <c r="J128" s="11">
        <v>1</v>
      </c>
      <c r="K128" s="11">
        <v>0.5</v>
      </c>
      <c r="L128" s="11">
        <v>0</v>
      </c>
    </row>
    <row r="129" spans="1:12" x14ac:dyDescent="0.25">
      <c r="A129" s="11" t="s">
        <v>632</v>
      </c>
      <c r="B129" s="11">
        <v>1</v>
      </c>
      <c r="C129" s="11">
        <v>0.25</v>
      </c>
      <c r="D129" s="11">
        <v>0</v>
      </c>
      <c r="E129" s="11">
        <v>0</v>
      </c>
      <c r="F129" s="11">
        <v>1</v>
      </c>
      <c r="G129" s="11">
        <v>1</v>
      </c>
      <c r="H129" s="11"/>
      <c r="I129" s="11"/>
      <c r="J129" s="11">
        <v>0.75</v>
      </c>
      <c r="K129" s="11">
        <v>1</v>
      </c>
      <c r="L129" s="11">
        <v>0</v>
      </c>
    </row>
    <row r="130" spans="1:12" x14ac:dyDescent="0.25">
      <c r="A130" s="11" t="s">
        <v>633</v>
      </c>
      <c r="B130" s="11">
        <v>1</v>
      </c>
      <c r="C130" s="11">
        <v>0.25</v>
      </c>
      <c r="D130" s="11">
        <v>0</v>
      </c>
      <c r="E130" s="11">
        <v>0</v>
      </c>
      <c r="F130" s="11">
        <v>1</v>
      </c>
      <c r="G130" s="11">
        <v>1</v>
      </c>
      <c r="H130" s="11"/>
      <c r="I130" s="11"/>
      <c r="J130" s="11">
        <v>0.75</v>
      </c>
      <c r="K130" s="11">
        <v>1</v>
      </c>
      <c r="L130" s="11">
        <v>0</v>
      </c>
    </row>
    <row r="131" spans="1:12" x14ac:dyDescent="0.25">
      <c r="A131" s="11" t="s">
        <v>634</v>
      </c>
      <c r="B131" s="11">
        <v>1</v>
      </c>
      <c r="C131" s="11">
        <v>0.25</v>
      </c>
      <c r="D131" s="11">
        <v>0</v>
      </c>
      <c r="E131" s="11">
        <v>0</v>
      </c>
      <c r="F131" s="11">
        <v>1</v>
      </c>
      <c r="G131" s="11">
        <v>1</v>
      </c>
      <c r="H131" s="11"/>
      <c r="I131" s="11"/>
      <c r="J131" s="11">
        <v>0.75</v>
      </c>
      <c r="K131" s="11">
        <v>1</v>
      </c>
      <c r="L131" s="11">
        <v>0</v>
      </c>
    </row>
    <row r="132" spans="1:12" x14ac:dyDescent="0.25">
      <c r="A132" s="11" t="s">
        <v>107</v>
      </c>
      <c r="B132" s="11">
        <v>1</v>
      </c>
      <c r="C132" s="11">
        <v>1</v>
      </c>
      <c r="D132" s="11">
        <v>0</v>
      </c>
      <c r="E132" s="11">
        <v>0</v>
      </c>
      <c r="F132" s="11">
        <v>1</v>
      </c>
      <c r="G132" s="11">
        <v>1</v>
      </c>
      <c r="H132" s="11"/>
      <c r="I132" s="11"/>
      <c r="J132" s="11">
        <v>1</v>
      </c>
      <c r="K132" s="11">
        <v>0.5</v>
      </c>
      <c r="L132" s="11">
        <v>0</v>
      </c>
    </row>
    <row r="133" spans="1:12" x14ac:dyDescent="0.25">
      <c r="A133" s="11" t="s">
        <v>108</v>
      </c>
      <c r="B133" s="11">
        <v>1</v>
      </c>
      <c r="C133" s="11">
        <v>1</v>
      </c>
      <c r="D133" s="11">
        <v>0</v>
      </c>
      <c r="E133" s="11">
        <v>0</v>
      </c>
      <c r="F133" s="11">
        <v>1</v>
      </c>
      <c r="G133" s="11">
        <v>0</v>
      </c>
      <c r="H133" s="11"/>
      <c r="I133" s="11"/>
      <c r="J133" s="11">
        <v>1</v>
      </c>
      <c r="K133" s="11">
        <v>1</v>
      </c>
      <c r="L133" s="11">
        <v>0</v>
      </c>
    </row>
    <row r="134" spans="1:12" x14ac:dyDescent="0.25">
      <c r="A134" s="11" t="s">
        <v>635</v>
      </c>
      <c r="B134" s="11">
        <v>1</v>
      </c>
      <c r="C134" s="11">
        <v>0.25</v>
      </c>
      <c r="D134" s="11">
        <v>0</v>
      </c>
      <c r="E134" s="11">
        <v>0</v>
      </c>
      <c r="F134" s="11">
        <v>0</v>
      </c>
      <c r="G134" s="11">
        <v>0</v>
      </c>
      <c r="H134" s="11"/>
      <c r="I134" s="11"/>
      <c r="J134" s="11">
        <v>1</v>
      </c>
      <c r="K134" s="11">
        <v>1</v>
      </c>
      <c r="L134" s="11">
        <v>0</v>
      </c>
    </row>
    <row r="135" spans="1:12" x14ac:dyDescent="0.25">
      <c r="A135" s="11" t="s">
        <v>351</v>
      </c>
      <c r="B135" s="11">
        <v>1</v>
      </c>
      <c r="C135" s="11">
        <v>1</v>
      </c>
      <c r="D135" s="11">
        <v>0</v>
      </c>
      <c r="E135" s="11">
        <v>0</v>
      </c>
      <c r="F135" s="11">
        <v>1</v>
      </c>
      <c r="G135" s="11">
        <v>1</v>
      </c>
      <c r="H135" s="11"/>
      <c r="I135" s="11"/>
      <c r="J135" s="11">
        <v>0.5</v>
      </c>
      <c r="K135" s="11">
        <v>1</v>
      </c>
      <c r="L135" s="11">
        <v>0</v>
      </c>
    </row>
    <row r="136" spans="1:12" x14ac:dyDescent="0.25">
      <c r="A136" s="11" t="s">
        <v>352</v>
      </c>
      <c r="B136" s="11">
        <v>0</v>
      </c>
      <c r="C136" s="11">
        <v>1</v>
      </c>
      <c r="D136" s="11">
        <v>1</v>
      </c>
      <c r="E136" s="11">
        <v>0</v>
      </c>
      <c r="F136" s="11">
        <v>1</v>
      </c>
      <c r="G136" s="11">
        <v>0</v>
      </c>
      <c r="H136" s="11"/>
      <c r="I136" s="11"/>
      <c r="J136" s="11">
        <v>0.75</v>
      </c>
      <c r="K136" s="11">
        <v>1</v>
      </c>
      <c r="L136" s="11">
        <v>0</v>
      </c>
    </row>
    <row r="137" spans="1:12" x14ac:dyDescent="0.25">
      <c r="A137" s="11" t="s">
        <v>353</v>
      </c>
      <c r="B137" s="11">
        <v>0</v>
      </c>
      <c r="C137" s="11">
        <v>1</v>
      </c>
      <c r="D137" s="11">
        <v>1</v>
      </c>
      <c r="E137" s="11">
        <v>0</v>
      </c>
      <c r="F137" s="11">
        <v>0</v>
      </c>
      <c r="G137" s="11">
        <v>0</v>
      </c>
      <c r="H137" s="11"/>
      <c r="I137" s="11">
        <v>3</v>
      </c>
      <c r="J137" s="11">
        <v>0.5</v>
      </c>
      <c r="K137" s="11">
        <v>1</v>
      </c>
      <c r="L137" s="11">
        <v>0</v>
      </c>
    </row>
    <row r="138" spans="1:12" x14ac:dyDescent="0.25">
      <c r="A138" s="11" t="s">
        <v>354</v>
      </c>
      <c r="B138" s="11">
        <v>0</v>
      </c>
      <c r="C138" s="11">
        <v>1</v>
      </c>
      <c r="D138" s="11">
        <v>0</v>
      </c>
      <c r="E138" s="11">
        <v>0</v>
      </c>
      <c r="F138" s="11">
        <v>6</v>
      </c>
      <c r="G138" s="11">
        <v>0</v>
      </c>
      <c r="H138" s="11"/>
      <c r="I138" s="11"/>
      <c r="J138" s="11">
        <v>0.5</v>
      </c>
      <c r="K138" s="11">
        <v>1</v>
      </c>
      <c r="L138" s="11">
        <v>0</v>
      </c>
    </row>
    <row r="139" spans="1:12" x14ac:dyDescent="0.25">
      <c r="A139" s="11" t="s">
        <v>355</v>
      </c>
      <c r="B139" s="11">
        <v>0</v>
      </c>
      <c r="C139" s="11">
        <v>1</v>
      </c>
      <c r="D139" s="11">
        <v>0</v>
      </c>
      <c r="E139" s="11">
        <v>0</v>
      </c>
      <c r="F139" s="11">
        <v>6</v>
      </c>
      <c r="G139" s="11">
        <v>0</v>
      </c>
      <c r="H139" s="11"/>
      <c r="I139" s="11"/>
      <c r="J139" s="11">
        <v>0.5</v>
      </c>
      <c r="K139" s="11">
        <v>0.5</v>
      </c>
      <c r="L139" s="11">
        <v>0</v>
      </c>
    </row>
    <row r="140" spans="1:12" x14ac:dyDescent="0.25">
      <c r="A140" s="11" t="s">
        <v>356</v>
      </c>
      <c r="B140" s="11">
        <v>0</v>
      </c>
      <c r="C140" s="11">
        <v>1</v>
      </c>
      <c r="D140" s="11">
        <v>0</v>
      </c>
      <c r="E140" s="11">
        <v>0</v>
      </c>
      <c r="F140" s="11">
        <v>0</v>
      </c>
      <c r="G140" s="11">
        <v>0</v>
      </c>
      <c r="H140" s="11"/>
      <c r="I140" s="11">
        <v>3</v>
      </c>
      <c r="J140" s="11">
        <v>0.5</v>
      </c>
      <c r="K140" s="11">
        <v>1</v>
      </c>
      <c r="L140" s="11">
        <v>0</v>
      </c>
    </row>
    <row r="141" spans="1:12" x14ac:dyDescent="0.25">
      <c r="A141" s="11" t="s">
        <v>9</v>
      </c>
      <c r="B141" s="11">
        <v>1</v>
      </c>
      <c r="C141" s="11">
        <v>0.25</v>
      </c>
      <c r="D141" s="11">
        <v>0</v>
      </c>
      <c r="E141" s="11">
        <v>0</v>
      </c>
      <c r="F141" s="11">
        <v>2</v>
      </c>
      <c r="G141" s="11">
        <v>7</v>
      </c>
      <c r="H141" s="11"/>
      <c r="I141" s="11"/>
      <c r="J141" s="11">
        <v>0.75</v>
      </c>
      <c r="K141" s="11">
        <v>1</v>
      </c>
      <c r="L141" s="11">
        <v>0</v>
      </c>
    </row>
    <row r="142" spans="1:12" x14ac:dyDescent="0.25">
      <c r="A142" s="11" t="s">
        <v>357</v>
      </c>
      <c r="B142" s="11">
        <v>1</v>
      </c>
      <c r="C142" s="11">
        <v>1</v>
      </c>
      <c r="D142" s="11">
        <v>0</v>
      </c>
      <c r="E142" s="11">
        <v>0</v>
      </c>
      <c r="F142" s="11">
        <v>0</v>
      </c>
      <c r="G142" s="11">
        <v>0</v>
      </c>
      <c r="H142" s="11"/>
      <c r="I142" s="11"/>
      <c r="J142" s="11">
        <v>0.5</v>
      </c>
      <c r="K142" s="11">
        <v>1</v>
      </c>
      <c r="L142" s="11">
        <v>0</v>
      </c>
    </row>
    <row r="143" spans="1:12" x14ac:dyDescent="0.25">
      <c r="A143" s="11" t="s">
        <v>358</v>
      </c>
      <c r="B143" s="11">
        <v>1</v>
      </c>
      <c r="C143" s="11">
        <v>1</v>
      </c>
      <c r="D143" s="11">
        <v>0</v>
      </c>
      <c r="E143" s="11">
        <v>0</v>
      </c>
      <c r="F143" s="11">
        <v>0</v>
      </c>
      <c r="G143" s="11">
        <v>0</v>
      </c>
      <c r="H143" s="11"/>
      <c r="I143" s="11"/>
      <c r="J143" s="11">
        <v>0.5</v>
      </c>
      <c r="K143" s="11">
        <v>1</v>
      </c>
      <c r="L143" s="11">
        <v>0</v>
      </c>
    </row>
    <row r="144" spans="1:12" x14ac:dyDescent="0.25">
      <c r="A144" s="11" t="s">
        <v>109</v>
      </c>
      <c r="B144" s="11">
        <v>1</v>
      </c>
      <c r="C144" s="11">
        <v>1</v>
      </c>
      <c r="D144" s="11">
        <v>0</v>
      </c>
      <c r="E144" s="11">
        <v>0</v>
      </c>
      <c r="F144" s="11">
        <v>0</v>
      </c>
      <c r="G144" s="11">
        <v>0</v>
      </c>
      <c r="H144" s="11"/>
      <c r="I144" s="11"/>
      <c r="J144" s="11">
        <v>1</v>
      </c>
      <c r="K144" s="11">
        <v>1</v>
      </c>
      <c r="L144" s="11">
        <v>0</v>
      </c>
    </row>
    <row r="145" spans="1:12" x14ac:dyDescent="0.25">
      <c r="A145" s="11" t="s">
        <v>359</v>
      </c>
      <c r="B145" s="11">
        <v>1</v>
      </c>
      <c r="C145" s="11">
        <v>1</v>
      </c>
      <c r="D145" s="11">
        <v>0</v>
      </c>
      <c r="E145" s="11">
        <v>0</v>
      </c>
      <c r="F145" s="11">
        <v>0</v>
      </c>
      <c r="G145" s="11">
        <v>0</v>
      </c>
      <c r="H145" s="11"/>
      <c r="I145" s="11"/>
      <c r="J145" s="11">
        <v>0.5</v>
      </c>
      <c r="K145" s="11">
        <v>1</v>
      </c>
      <c r="L145" s="11">
        <v>0</v>
      </c>
    </row>
    <row r="146" spans="1:12" x14ac:dyDescent="0.25">
      <c r="A146" s="11" t="s">
        <v>360</v>
      </c>
      <c r="B146" s="11">
        <v>1</v>
      </c>
      <c r="C146" s="11">
        <v>0.25</v>
      </c>
      <c r="D146" s="11">
        <v>0</v>
      </c>
      <c r="E146" s="11">
        <v>0</v>
      </c>
      <c r="F146" s="11">
        <v>2</v>
      </c>
      <c r="G146" s="11">
        <v>0</v>
      </c>
      <c r="H146" s="11"/>
      <c r="I146" s="11"/>
      <c r="J146" s="11">
        <v>0.5</v>
      </c>
      <c r="K146" s="11">
        <v>1</v>
      </c>
      <c r="L146" s="11">
        <v>0</v>
      </c>
    </row>
    <row r="147" spans="1:12" x14ac:dyDescent="0.25">
      <c r="A147" s="11" t="s">
        <v>27</v>
      </c>
      <c r="B147" s="11">
        <v>0</v>
      </c>
      <c r="C147" s="11">
        <v>1</v>
      </c>
      <c r="D147" s="11">
        <v>0</v>
      </c>
      <c r="E147" s="11">
        <v>0</v>
      </c>
      <c r="F147" s="11">
        <v>4</v>
      </c>
      <c r="G147" s="11">
        <v>7</v>
      </c>
      <c r="H147" s="11"/>
      <c r="I147" s="11"/>
      <c r="J147" s="11">
        <v>0.5</v>
      </c>
      <c r="K147" s="11">
        <v>0.5</v>
      </c>
      <c r="L147" s="11">
        <v>0</v>
      </c>
    </row>
    <row r="148" spans="1:12" x14ac:dyDescent="0.25">
      <c r="A148" s="11" t="s">
        <v>361</v>
      </c>
      <c r="B148" s="11">
        <v>0</v>
      </c>
      <c r="C148" s="11">
        <v>1</v>
      </c>
      <c r="D148" s="11">
        <v>0</v>
      </c>
      <c r="E148" s="11">
        <v>0</v>
      </c>
      <c r="F148" s="11">
        <v>4</v>
      </c>
      <c r="G148" s="11">
        <v>0</v>
      </c>
      <c r="H148" s="11"/>
      <c r="I148" s="11"/>
      <c r="J148" s="11">
        <v>0.5</v>
      </c>
      <c r="K148" s="11">
        <v>1</v>
      </c>
      <c r="L148" s="11">
        <v>0</v>
      </c>
    </row>
    <row r="149" spans="1:12" x14ac:dyDescent="0.25">
      <c r="A149" s="11" t="s">
        <v>362</v>
      </c>
      <c r="B149" s="11">
        <v>0</v>
      </c>
      <c r="C149" s="11">
        <v>1</v>
      </c>
      <c r="D149" s="11">
        <v>0</v>
      </c>
      <c r="E149" s="11">
        <v>0</v>
      </c>
      <c r="F149" s="11">
        <v>2</v>
      </c>
      <c r="G149" s="11">
        <v>0</v>
      </c>
      <c r="H149" s="11"/>
      <c r="I149" s="11"/>
      <c r="J149" s="11">
        <v>0.5</v>
      </c>
      <c r="K149" s="11">
        <v>1</v>
      </c>
      <c r="L149" s="11">
        <v>0</v>
      </c>
    </row>
    <row r="150" spans="1:12" x14ac:dyDescent="0.25">
      <c r="A150" s="11" t="s">
        <v>363</v>
      </c>
      <c r="B150" s="11">
        <v>0</v>
      </c>
      <c r="C150" s="11">
        <v>0.25</v>
      </c>
      <c r="D150" s="11">
        <v>0</v>
      </c>
      <c r="E150" s="11">
        <v>0</v>
      </c>
      <c r="F150" s="11">
        <v>1</v>
      </c>
      <c r="G150" s="11">
        <v>1</v>
      </c>
      <c r="H150" s="11"/>
      <c r="I150" s="11"/>
      <c r="J150" s="11">
        <v>1</v>
      </c>
      <c r="K150" s="11">
        <v>1</v>
      </c>
      <c r="L150" s="11">
        <v>0</v>
      </c>
    </row>
    <row r="151" spans="1:12" x14ac:dyDescent="0.25">
      <c r="A151" s="11" t="s">
        <v>364</v>
      </c>
      <c r="B151" s="11">
        <v>0</v>
      </c>
      <c r="C151" s="11">
        <v>1</v>
      </c>
      <c r="D151" s="11">
        <v>0</v>
      </c>
      <c r="E151" s="11">
        <v>0</v>
      </c>
      <c r="F151" s="11">
        <v>2</v>
      </c>
      <c r="G151" s="11">
        <v>1</v>
      </c>
      <c r="H151" s="11"/>
      <c r="I151" s="11">
        <v>1</v>
      </c>
      <c r="J151" s="11">
        <v>1</v>
      </c>
      <c r="K151" s="11">
        <v>1</v>
      </c>
      <c r="L151" s="11">
        <v>0</v>
      </c>
    </row>
    <row r="152" spans="1:12" x14ac:dyDescent="0.25">
      <c r="A152" s="11" t="s">
        <v>365</v>
      </c>
      <c r="B152" s="11">
        <v>0</v>
      </c>
      <c r="C152" s="11">
        <v>1</v>
      </c>
      <c r="D152" s="11">
        <v>1</v>
      </c>
      <c r="E152" s="11">
        <v>0</v>
      </c>
      <c r="F152" s="11">
        <v>2</v>
      </c>
      <c r="G152" s="11">
        <v>2</v>
      </c>
      <c r="H152" s="11"/>
      <c r="I152" s="11">
        <v>1</v>
      </c>
      <c r="J152" s="11">
        <v>1</v>
      </c>
      <c r="K152" s="11">
        <v>1</v>
      </c>
      <c r="L152" s="11">
        <v>0</v>
      </c>
    </row>
    <row r="153" spans="1:12" x14ac:dyDescent="0.25">
      <c r="A153" s="11" t="s">
        <v>366</v>
      </c>
      <c r="B153" s="11">
        <v>0</v>
      </c>
      <c r="C153" s="11">
        <v>1</v>
      </c>
      <c r="D153" s="11">
        <v>0</v>
      </c>
      <c r="E153" s="11">
        <v>0</v>
      </c>
      <c r="F153" s="11">
        <v>1</v>
      </c>
      <c r="G153" s="11">
        <v>1</v>
      </c>
      <c r="H153" s="11">
        <v>2</v>
      </c>
      <c r="I153" s="11">
        <v>2</v>
      </c>
      <c r="J153" s="11">
        <v>1</v>
      </c>
      <c r="K153" s="11">
        <v>1</v>
      </c>
      <c r="L153" s="11">
        <v>0</v>
      </c>
    </row>
    <row r="154" spans="1:12" x14ac:dyDescent="0.25">
      <c r="A154" s="11" t="s">
        <v>367</v>
      </c>
      <c r="B154" s="11">
        <v>0</v>
      </c>
      <c r="C154" s="11">
        <v>1</v>
      </c>
      <c r="D154" s="11">
        <v>0</v>
      </c>
      <c r="E154" s="11">
        <v>0</v>
      </c>
      <c r="F154" s="11">
        <v>3</v>
      </c>
      <c r="G154" s="11">
        <v>1</v>
      </c>
      <c r="H154" s="11"/>
      <c r="I154" s="11">
        <v>1</v>
      </c>
      <c r="J154" s="11">
        <v>1</v>
      </c>
      <c r="K154" s="11">
        <v>1</v>
      </c>
      <c r="L154" s="11">
        <v>0</v>
      </c>
    </row>
    <row r="155" spans="1:12" x14ac:dyDescent="0.25">
      <c r="A155" s="11" t="s">
        <v>368</v>
      </c>
      <c r="B155" s="11">
        <v>0</v>
      </c>
      <c r="C155" s="11">
        <v>1</v>
      </c>
      <c r="D155" s="11">
        <v>0</v>
      </c>
      <c r="E155" s="11">
        <v>0</v>
      </c>
      <c r="F155" s="11">
        <v>1</v>
      </c>
      <c r="G155" s="11">
        <v>1</v>
      </c>
      <c r="H155" s="11"/>
      <c r="I155" s="11">
        <v>4</v>
      </c>
      <c r="J155" s="11">
        <v>1</v>
      </c>
      <c r="K155" s="11">
        <v>0.5</v>
      </c>
      <c r="L155" s="11">
        <v>0</v>
      </c>
    </row>
    <row r="156" spans="1:12" x14ac:dyDescent="0.25">
      <c r="A156" s="11" t="s">
        <v>110</v>
      </c>
      <c r="B156" s="11">
        <v>0</v>
      </c>
      <c r="C156" s="11">
        <v>1</v>
      </c>
      <c r="D156" s="11">
        <v>0</v>
      </c>
      <c r="E156" s="11">
        <v>0</v>
      </c>
      <c r="F156" s="11">
        <v>5</v>
      </c>
      <c r="G156" s="11">
        <v>10</v>
      </c>
      <c r="H156" s="11"/>
      <c r="I156" s="11">
        <v>4</v>
      </c>
      <c r="J156" s="11">
        <v>1</v>
      </c>
      <c r="K156" s="11">
        <v>0.5</v>
      </c>
      <c r="L156" s="11">
        <v>0</v>
      </c>
    </row>
    <row r="157" spans="1:12" x14ac:dyDescent="0.25">
      <c r="A157" s="11" t="s">
        <v>111</v>
      </c>
      <c r="B157" s="11">
        <v>0</v>
      </c>
      <c r="C157" s="11">
        <v>0.25</v>
      </c>
      <c r="D157" s="11">
        <v>0</v>
      </c>
      <c r="E157" s="11">
        <v>0</v>
      </c>
      <c r="F157" s="11">
        <v>7</v>
      </c>
      <c r="G157" s="11">
        <v>18</v>
      </c>
      <c r="H157" s="11"/>
      <c r="I157" s="11">
        <v>3</v>
      </c>
      <c r="J157" s="11">
        <v>0.5</v>
      </c>
      <c r="K157" s="11">
        <v>0.5</v>
      </c>
      <c r="L157" s="11">
        <v>0</v>
      </c>
    </row>
    <row r="158" spans="1:12" x14ac:dyDescent="0.25">
      <c r="A158" s="11" t="s">
        <v>112</v>
      </c>
      <c r="B158" s="11">
        <v>0</v>
      </c>
      <c r="C158" s="11">
        <v>0.25</v>
      </c>
      <c r="D158" s="11">
        <v>0</v>
      </c>
      <c r="E158" s="11">
        <v>0</v>
      </c>
      <c r="F158" s="11">
        <v>2</v>
      </c>
      <c r="G158" s="11">
        <v>5</v>
      </c>
      <c r="H158" s="11"/>
      <c r="I158" s="11">
        <v>1</v>
      </c>
      <c r="J158" s="11">
        <v>0.5</v>
      </c>
      <c r="K158" s="11">
        <v>0.5</v>
      </c>
      <c r="L158" s="11">
        <v>0</v>
      </c>
    </row>
    <row r="159" spans="1:12" x14ac:dyDescent="0.25">
      <c r="A159" s="11" t="s">
        <v>14</v>
      </c>
      <c r="B159" s="11">
        <v>0</v>
      </c>
      <c r="C159" s="11">
        <v>1</v>
      </c>
      <c r="D159" s="11">
        <v>1</v>
      </c>
      <c r="E159" s="11">
        <v>0</v>
      </c>
      <c r="F159" s="11">
        <v>3</v>
      </c>
      <c r="G159" s="11">
        <v>3</v>
      </c>
      <c r="H159" s="11"/>
      <c r="I159" s="11"/>
      <c r="J159" s="11">
        <v>0.75</v>
      </c>
      <c r="K159" s="11">
        <v>1</v>
      </c>
      <c r="L159" s="11">
        <v>0</v>
      </c>
    </row>
    <row r="160" spans="1:12" x14ac:dyDescent="0.25">
      <c r="A160" s="11" t="s">
        <v>113</v>
      </c>
      <c r="B160" s="11">
        <v>0</v>
      </c>
      <c r="C160" s="11">
        <v>1</v>
      </c>
      <c r="D160" s="11">
        <v>0</v>
      </c>
      <c r="E160" s="11">
        <v>0</v>
      </c>
      <c r="F160" s="11">
        <v>1</v>
      </c>
      <c r="G160" s="11">
        <v>1</v>
      </c>
      <c r="H160" s="11"/>
      <c r="I160" s="11"/>
      <c r="J160" s="11">
        <v>0.5</v>
      </c>
      <c r="K160" s="11">
        <v>1</v>
      </c>
      <c r="L160" s="11">
        <v>0</v>
      </c>
    </row>
    <row r="161" spans="1:12" x14ac:dyDescent="0.25">
      <c r="A161" s="11" t="s">
        <v>369</v>
      </c>
      <c r="B161" s="11">
        <v>0</v>
      </c>
      <c r="C161" s="11">
        <v>0.25</v>
      </c>
      <c r="D161" s="11">
        <v>0</v>
      </c>
      <c r="E161" s="11">
        <v>0</v>
      </c>
      <c r="F161" s="11">
        <v>1</v>
      </c>
      <c r="G161" s="11">
        <v>1</v>
      </c>
      <c r="H161" s="11"/>
      <c r="I161" s="11"/>
      <c r="J161" s="11">
        <v>0.5</v>
      </c>
      <c r="K161" s="11">
        <v>1</v>
      </c>
      <c r="L161" s="11">
        <v>0</v>
      </c>
    </row>
    <row r="162" spans="1:12" x14ac:dyDescent="0.25">
      <c r="A162" s="11" t="s">
        <v>370</v>
      </c>
      <c r="B162" s="11">
        <v>0</v>
      </c>
      <c r="C162" s="11">
        <v>1</v>
      </c>
      <c r="D162" s="11">
        <v>0</v>
      </c>
      <c r="E162" s="11">
        <v>0</v>
      </c>
      <c r="F162" s="11">
        <v>0</v>
      </c>
      <c r="G162" s="11">
        <v>0</v>
      </c>
      <c r="H162" s="11"/>
      <c r="I162" s="11"/>
      <c r="J162" s="11">
        <v>0.5</v>
      </c>
      <c r="K162" s="11">
        <v>1</v>
      </c>
      <c r="L162" s="11">
        <v>0</v>
      </c>
    </row>
    <row r="163" spans="1:12" x14ac:dyDescent="0.25">
      <c r="A163" s="11" t="s">
        <v>371</v>
      </c>
      <c r="B163" s="11">
        <v>0</v>
      </c>
      <c r="C163" s="11">
        <v>1</v>
      </c>
      <c r="D163" s="11">
        <v>0</v>
      </c>
      <c r="E163" s="11">
        <v>0</v>
      </c>
      <c r="F163" s="11">
        <v>0</v>
      </c>
      <c r="G163" s="11">
        <v>0</v>
      </c>
      <c r="H163" s="11"/>
      <c r="I163" s="11"/>
      <c r="J163" s="11">
        <v>0.5</v>
      </c>
      <c r="K163" s="11">
        <v>1</v>
      </c>
      <c r="L163" s="11">
        <v>0</v>
      </c>
    </row>
    <row r="164" spans="1:12" x14ac:dyDescent="0.25">
      <c r="A164" s="11" t="s">
        <v>114</v>
      </c>
      <c r="B164" s="11">
        <v>0</v>
      </c>
      <c r="C164" s="11">
        <v>1</v>
      </c>
      <c r="D164" s="11">
        <v>0</v>
      </c>
      <c r="E164" s="11">
        <v>0</v>
      </c>
      <c r="F164" s="11">
        <v>6</v>
      </c>
      <c r="G164" s="11">
        <v>14</v>
      </c>
      <c r="H164" s="11"/>
      <c r="I164" s="11">
        <v>4</v>
      </c>
      <c r="J164" s="11">
        <v>0.5</v>
      </c>
      <c r="K164" s="11">
        <v>0.5</v>
      </c>
      <c r="L164" s="11">
        <v>0</v>
      </c>
    </row>
    <row r="165" spans="1:12" x14ac:dyDescent="0.25">
      <c r="A165" s="11" t="s">
        <v>115</v>
      </c>
      <c r="B165" s="11">
        <v>0</v>
      </c>
      <c r="C165" s="11">
        <v>0.25</v>
      </c>
      <c r="D165" s="11">
        <v>0</v>
      </c>
      <c r="E165" s="11">
        <v>0</v>
      </c>
      <c r="F165" s="11">
        <v>2</v>
      </c>
      <c r="G165" s="11">
        <v>1</v>
      </c>
      <c r="H165" s="11"/>
      <c r="I165" s="11">
        <v>2</v>
      </c>
      <c r="J165" s="11">
        <v>0.5</v>
      </c>
      <c r="K165" s="11">
        <v>0.5</v>
      </c>
      <c r="L165" s="11">
        <v>0</v>
      </c>
    </row>
    <row r="166" spans="1:12" x14ac:dyDescent="0.25">
      <c r="A166" s="11" t="s">
        <v>116</v>
      </c>
      <c r="B166" s="11">
        <v>0</v>
      </c>
      <c r="C166" s="11">
        <v>1</v>
      </c>
      <c r="D166" s="11">
        <v>0</v>
      </c>
      <c r="E166" s="11">
        <v>0</v>
      </c>
      <c r="F166" s="11">
        <v>2</v>
      </c>
      <c r="G166" s="11">
        <v>1</v>
      </c>
      <c r="H166" s="11"/>
      <c r="I166" s="11">
        <v>2</v>
      </c>
      <c r="J166" s="11">
        <v>0.5</v>
      </c>
      <c r="K166" s="11">
        <v>0.5</v>
      </c>
      <c r="L166" s="11">
        <v>0</v>
      </c>
    </row>
    <row r="167" spans="1:12" x14ac:dyDescent="0.25">
      <c r="A167" s="11" t="s">
        <v>372</v>
      </c>
      <c r="B167" s="11">
        <v>0</v>
      </c>
      <c r="C167" s="11">
        <v>1</v>
      </c>
      <c r="D167" s="11">
        <v>0</v>
      </c>
      <c r="E167" s="11">
        <v>0</v>
      </c>
      <c r="F167" s="11">
        <v>4</v>
      </c>
      <c r="G167" s="11">
        <v>0</v>
      </c>
      <c r="H167" s="11"/>
      <c r="I167" s="11"/>
      <c r="J167" s="11">
        <v>0.5</v>
      </c>
      <c r="K167" s="11">
        <v>0.5</v>
      </c>
      <c r="L167" s="11">
        <v>0</v>
      </c>
    </row>
    <row r="168" spans="1:12" x14ac:dyDescent="0.25">
      <c r="A168" s="11" t="s">
        <v>373</v>
      </c>
      <c r="B168" s="11">
        <v>0</v>
      </c>
      <c r="C168" s="11">
        <v>1</v>
      </c>
      <c r="D168" s="11">
        <v>1</v>
      </c>
      <c r="E168" s="11">
        <v>0</v>
      </c>
      <c r="F168" s="11">
        <v>8</v>
      </c>
      <c r="G168" s="11">
        <v>0</v>
      </c>
      <c r="H168" s="11"/>
      <c r="I168" s="11">
        <v>2</v>
      </c>
      <c r="J168" s="11">
        <v>0.5</v>
      </c>
      <c r="K168" s="11">
        <v>0.5</v>
      </c>
      <c r="L168" s="11">
        <v>0</v>
      </c>
    </row>
    <row r="169" spans="1:12" x14ac:dyDescent="0.25">
      <c r="A169" s="11" t="s">
        <v>374</v>
      </c>
      <c r="B169" s="11">
        <v>0</v>
      </c>
      <c r="C169" s="11">
        <v>1</v>
      </c>
      <c r="D169" s="11">
        <v>1</v>
      </c>
      <c r="E169" s="11">
        <v>0</v>
      </c>
      <c r="F169" s="11">
        <v>5</v>
      </c>
      <c r="G169" s="11">
        <v>8</v>
      </c>
      <c r="H169" s="11"/>
      <c r="I169" s="11">
        <v>3</v>
      </c>
      <c r="J169" s="11">
        <v>0.5</v>
      </c>
      <c r="K169" s="11">
        <v>0.5</v>
      </c>
      <c r="L169" s="11">
        <v>0</v>
      </c>
    </row>
    <row r="170" spans="1:12" x14ac:dyDescent="0.25">
      <c r="A170" s="11" t="s">
        <v>375</v>
      </c>
      <c r="B170" s="11">
        <v>0</v>
      </c>
      <c r="C170" s="11">
        <v>1</v>
      </c>
      <c r="D170" s="11">
        <v>0</v>
      </c>
      <c r="E170" s="11">
        <v>0</v>
      </c>
      <c r="F170" s="11">
        <v>6</v>
      </c>
      <c r="G170" s="11">
        <v>0</v>
      </c>
      <c r="H170" s="11"/>
      <c r="I170" s="11"/>
      <c r="J170" s="11">
        <v>0.5</v>
      </c>
      <c r="K170" s="11">
        <v>0.5</v>
      </c>
      <c r="L170" s="11">
        <v>0</v>
      </c>
    </row>
    <row r="171" spans="1:12" x14ac:dyDescent="0.25">
      <c r="A171" s="11" t="s">
        <v>376</v>
      </c>
      <c r="B171" s="11">
        <v>0</v>
      </c>
      <c r="C171" s="11">
        <v>1</v>
      </c>
      <c r="D171" s="11">
        <v>0</v>
      </c>
      <c r="E171" s="11">
        <v>0</v>
      </c>
      <c r="F171" s="11">
        <v>4</v>
      </c>
      <c r="G171" s="11">
        <v>0</v>
      </c>
      <c r="H171" s="11"/>
      <c r="I171" s="11"/>
      <c r="J171" s="11">
        <v>0.5</v>
      </c>
      <c r="K171" s="11">
        <v>0.5</v>
      </c>
      <c r="L171" s="11">
        <v>0</v>
      </c>
    </row>
    <row r="172" spans="1:12" x14ac:dyDescent="0.25">
      <c r="A172" s="11" t="s">
        <v>377</v>
      </c>
      <c r="B172" s="11">
        <v>0</v>
      </c>
      <c r="C172" s="11">
        <v>1</v>
      </c>
      <c r="D172" s="11">
        <v>0</v>
      </c>
      <c r="E172" s="11">
        <v>0</v>
      </c>
      <c r="F172" s="11">
        <v>4</v>
      </c>
      <c r="G172" s="11">
        <v>0</v>
      </c>
      <c r="H172" s="11"/>
      <c r="I172" s="11"/>
      <c r="J172" s="11">
        <v>0.5</v>
      </c>
      <c r="K172" s="11">
        <v>0.5</v>
      </c>
      <c r="L172" s="11">
        <v>0</v>
      </c>
    </row>
    <row r="173" spans="1:12" x14ac:dyDescent="0.25">
      <c r="A173" s="11" t="s">
        <v>378</v>
      </c>
      <c r="B173" s="11">
        <v>0</v>
      </c>
      <c r="C173" s="11">
        <v>1</v>
      </c>
      <c r="D173" s="11">
        <v>0</v>
      </c>
      <c r="E173" s="11">
        <v>0</v>
      </c>
      <c r="F173" s="11">
        <v>5</v>
      </c>
      <c r="G173" s="11">
        <v>0</v>
      </c>
      <c r="H173" s="11"/>
      <c r="I173" s="11"/>
      <c r="J173" s="11">
        <v>0.5</v>
      </c>
      <c r="K173" s="11">
        <v>0.5</v>
      </c>
      <c r="L173" s="11">
        <v>0</v>
      </c>
    </row>
    <row r="174" spans="1:12" x14ac:dyDescent="0.25">
      <c r="A174" s="11" t="s">
        <v>379</v>
      </c>
      <c r="B174" s="11">
        <v>0</v>
      </c>
      <c r="C174" s="11">
        <v>1</v>
      </c>
      <c r="D174" s="11">
        <v>0</v>
      </c>
      <c r="E174" s="11">
        <v>0</v>
      </c>
      <c r="F174" s="11">
        <v>5</v>
      </c>
      <c r="G174" s="11">
        <v>0</v>
      </c>
      <c r="H174" s="11"/>
      <c r="I174" s="11"/>
      <c r="J174" s="11">
        <v>0.5</v>
      </c>
      <c r="K174" s="11">
        <v>0.5</v>
      </c>
      <c r="L174" s="11">
        <v>0</v>
      </c>
    </row>
    <row r="175" spans="1:12" x14ac:dyDescent="0.25">
      <c r="A175" s="11" t="s">
        <v>380</v>
      </c>
      <c r="B175" s="11">
        <v>0</v>
      </c>
      <c r="C175" s="11">
        <v>1</v>
      </c>
      <c r="D175" s="11">
        <v>0</v>
      </c>
      <c r="E175" s="11">
        <v>0</v>
      </c>
      <c r="F175" s="11">
        <v>7</v>
      </c>
      <c r="G175" s="11">
        <v>9</v>
      </c>
      <c r="H175" s="11">
        <v>1</v>
      </c>
      <c r="I175" s="11">
        <v>4</v>
      </c>
      <c r="J175" s="11">
        <v>0.5</v>
      </c>
      <c r="K175" s="11">
        <v>0.5</v>
      </c>
      <c r="L175" s="11">
        <v>0</v>
      </c>
    </row>
    <row r="176" spans="1:12" x14ac:dyDescent="0.25">
      <c r="A176" s="11" t="s">
        <v>117</v>
      </c>
      <c r="B176" s="11">
        <v>0</v>
      </c>
      <c r="C176" s="11">
        <v>1</v>
      </c>
      <c r="D176" s="11">
        <v>0</v>
      </c>
      <c r="E176" s="11">
        <v>0</v>
      </c>
      <c r="F176" s="11">
        <v>6</v>
      </c>
      <c r="G176" s="11">
        <v>15</v>
      </c>
      <c r="H176" s="11"/>
      <c r="I176" s="11">
        <v>1</v>
      </c>
      <c r="J176" s="11">
        <v>0.5</v>
      </c>
      <c r="K176" s="11">
        <v>0.5</v>
      </c>
      <c r="L176" s="11">
        <v>0</v>
      </c>
    </row>
    <row r="177" spans="1:12" x14ac:dyDescent="0.25">
      <c r="A177" s="11" t="s">
        <v>381</v>
      </c>
      <c r="B177" s="11">
        <v>0</v>
      </c>
      <c r="C177" s="11">
        <v>1</v>
      </c>
      <c r="D177" s="11">
        <v>0</v>
      </c>
      <c r="E177" s="11">
        <v>0</v>
      </c>
      <c r="F177" s="11">
        <v>0</v>
      </c>
      <c r="G177" s="11">
        <v>0</v>
      </c>
      <c r="H177" s="11"/>
      <c r="I177" s="11"/>
      <c r="J177" s="11">
        <v>0.5</v>
      </c>
      <c r="K177" s="11">
        <v>0.5</v>
      </c>
      <c r="L177" s="11">
        <v>0</v>
      </c>
    </row>
    <row r="178" spans="1:12" x14ac:dyDescent="0.25">
      <c r="A178" s="11" t="s">
        <v>382</v>
      </c>
      <c r="B178" s="11">
        <v>0</v>
      </c>
      <c r="C178" s="11">
        <v>1</v>
      </c>
      <c r="D178" s="11">
        <v>0</v>
      </c>
      <c r="E178" s="11">
        <v>0</v>
      </c>
      <c r="F178" s="11">
        <v>0</v>
      </c>
      <c r="G178" s="11">
        <v>0</v>
      </c>
      <c r="H178" s="11"/>
      <c r="I178" s="11"/>
      <c r="J178" s="11">
        <v>0.5</v>
      </c>
      <c r="K178" s="11">
        <v>0.5</v>
      </c>
      <c r="L178" s="11">
        <v>0</v>
      </c>
    </row>
    <row r="179" spans="1:12" x14ac:dyDescent="0.25">
      <c r="A179" s="11" t="s">
        <v>383</v>
      </c>
      <c r="B179" s="11">
        <v>0</v>
      </c>
      <c r="C179" s="11">
        <v>1</v>
      </c>
      <c r="D179" s="11">
        <v>0</v>
      </c>
      <c r="E179" s="11">
        <v>0</v>
      </c>
      <c r="F179" s="11">
        <v>2</v>
      </c>
      <c r="G179" s="11">
        <v>0</v>
      </c>
      <c r="H179" s="11"/>
      <c r="I179" s="11"/>
      <c r="J179" s="11">
        <v>0.5</v>
      </c>
      <c r="K179" s="11">
        <v>0.5</v>
      </c>
      <c r="L179" s="11">
        <v>0</v>
      </c>
    </row>
    <row r="180" spans="1:12" x14ac:dyDescent="0.25">
      <c r="A180" s="11" t="s">
        <v>118</v>
      </c>
      <c r="B180" s="11">
        <v>0</v>
      </c>
      <c r="C180" s="11">
        <v>1</v>
      </c>
      <c r="D180" s="11">
        <v>1</v>
      </c>
      <c r="E180" s="11">
        <v>1</v>
      </c>
      <c r="F180" s="11">
        <v>5</v>
      </c>
      <c r="G180" s="11">
        <v>8</v>
      </c>
      <c r="H180" s="11">
        <v>2</v>
      </c>
      <c r="I180" s="11">
        <v>3</v>
      </c>
      <c r="J180" s="11">
        <v>0.5</v>
      </c>
      <c r="K180" s="11">
        <v>0.5</v>
      </c>
      <c r="L180" s="11">
        <v>1</v>
      </c>
    </row>
    <row r="181" spans="1:12" x14ac:dyDescent="0.25">
      <c r="A181" s="11" t="s">
        <v>384</v>
      </c>
      <c r="B181" s="11">
        <v>0</v>
      </c>
      <c r="C181" s="11">
        <v>1</v>
      </c>
      <c r="D181" s="11">
        <v>1</v>
      </c>
      <c r="E181" s="11">
        <v>0</v>
      </c>
      <c r="F181" s="11">
        <v>0</v>
      </c>
      <c r="G181" s="11">
        <v>0</v>
      </c>
      <c r="H181" s="11"/>
      <c r="I181" s="11">
        <v>1</v>
      </c>
      <c r="J181" s="11">
        <v>0.5</v>
      </c>
      <c r="K181" s="11">
        <v>1</v>
      </c>
      <c r="L181" s="11">
        <v>0</v>
      </c>
    </row>
    <row r="182" spans="1:12" x14ac:dyDescent="0.25">
      <c r="A182" s="11" t="s">
        <v>385</v>
      </c>
      <c r="B182" s="11">
        <v>0</v>
      </c>
      <c r="C182" s="11">
        <v>1</v>
      </c>
      <c r="D182" s="11">
        <v>1</v>
      </c>
      <c r="E182" s="11">
        <v>0</v>
      </c>
      <c r="F182" s="11">
        <v>0</v>
      </c>
      <c r="G182" s="11">
        <v>0</v>
      </c>
      <c r="H182" s="11"/>
      <c r="I182" s="11"/>
      <c r="J182" s="11">
        <v>0.5</v>
      </c>
      <c r="K182" s="11">
        <v>0.5</v>
      </c>
      <c r="L182" s="11">
        <v>0</v>
      </c>
    </row>
    <row r="183" spans="1:12" x14ac:dyDescent="0.25">
      <c r="A183" s="11" t="s">
        <v>119</v>
      </c>
      <c r="B183" s="11">
        <v>0</v>
      </c>
      <c r="C183" s="11">
        <v>1</v>
      </c>
      <c r="D183" s="11">
        <v>0</v>
      </c>
      <c r="E183" s="11">
        <v>0</v>
      </c>
      <c r="F183" s="11">
        <v>4</v>
      </c>
      <c r="G183" s="11">
        <v>13</v>
      </c>
      <c r="H183" s="11"/>
      <c r="I183" s="11">
        <v>1</v>
      </c>
      <c r="J183" s="11">
        <v>0.5</v>
      </c>
      <c r="K183" s="11">
        <v>0.5</v>
      </c>
      <c r="L183" s="11">
        <v>0</v>
      </c>
    </row>
    <row r="184" spans="1:12" x14ac:dyDescent="0.25">
      <c r="A184" s="11" t="s">
        <v>386</v>
      </c>
      <c r="B184" s="11">
        <v>0</v>
      </c>
      <c r="C184" s="11">
        <v>1</v>
      </c>
      <c r="D184" s="11">
        <v>1</v>
      </c>
      <c r="E184" s="11">
        <v>0</v>
      </c>
      <c r="F184" s="11">
        <v>6</v>
      </c>
      <c r="G184" s="11">
        <v>8</v>
      </c>
      <c r="H184" s="11"/>
      <c r="I184" s="11">
        <v>3</v>
      </c>
      <c r="J184" s="11">
        <v>0.5</v>
      </c>
      <c r="K184" s="11">
        <v>0.5</v>
      </c>
      <c r="L184" s="11">
        <v>0</v>
      </c>
    </row>
    <row r="185" spans="1:12" x14ac:dyDescent="0.25">
      <c r="A185" s="11" t="s">
        <v>387</v>
      </c>
      <c r="B185" s="11">
        <v>0</v>
      </c>
      <c r="C185" s="11">
        <v>1</v>
      </c>
      <c r="D185" s="11">
        <v>1</v>
      </c>
      <c r="E185" s="11">
        <v>0</v>
      </c>
      <c r="F185" s="11">
        <v>1</v>
      </c>
      <c r="G185" s="11">
        <v>0</v>
      </c>
      <c r="H185" s="11"/>
      <c r="I185" s="11"/>
      <c r="J185" s="11">
        <v>0.5</v>
      </c>
      <c r="K185" s="11">
        <v>0.5</v>
      </c>
      <c r="L185" s="11">
        <v>0</v>
      </c>
    </row>
    <row r="186" spans="1:12" x14ac:dyDescent="0.25">
      <c r="A186" s="11" t="s">
        <v>388</v>
      </c>
      <c r="B186" s="11">
        <v>0</v>
      </c>
      <c r="C186" s="11">
        <v>1</v>
      </c>
      <c r="D186" s="11">
        <v>0</v>
      </c>
      <c r="E186" s="11">
        <v>0</v>
      </c>
      <c r="F186" s="11">
        <v>4</v>
      </c>
      <c r="G186" s="11">
        <v>0</v>
      </c>
      <c r="H186" s="11"/>
      <c r="I186" s="11"/>
      <c r="J186" s="11">
        <v>0.5</v>
      </c>
      <c r="K186" s="11">
        <v>0.5</v>
      </c>
      <c r="L186" s="11">
        <v>0</v>
      </c>
    </row>
    <row r="187" spans="1:12" x14ac:dyDescent="0.25">
      <c r="A187" s="11" t="s">
        <v>389</v>
      </c>
      <c r="B187" s="11">
        <v>0</v>
      </c>
      <c r="C187" s="11">
        <v>1</v>
      </c>
      <c r="D187" s="11">
        <v>0</v>
      </c>
      <c r="E187" s="11">
        <v>0</v>
      </c>
      <c r="F187" s="11">
        <v>0</v>
      </c>
      <c r="G187" s="11">
        <v>0</v>
      </c>
      <c r="H187" s="11"/>
      <c r="I187" s="11"/>
      <c r="J187" s="11">
        <v>0.5</v>
      </c>
      <c r="K187" s="11">
        <v>1</v>
      </c>
      <c r="L187" s="11">
        <v>0</v>
      </c>
    </row>
    <row r="188" spans="1:12" x14ac:dyDescent="0.25">
      <c r="A188" s="11" t="s">
        <v>120</v>
      </c>
      <c r="B188" s="11">
        <v>0</v>
      </c>
      <c r="C188" s="11">
        <v>1</v>
      </c>
      <c r="D188" s="11">
        <v>1</v>
      </c>
      <c r="E188" s="11">
        <v>0</v>
      </c>
      <c r="F188" s="11">
        <v>4</v>
      </c>
      <c r="G188" s="11">
        <v>10</v>
      </c>
      <c r="H188" s="11"/>
      <c r="I188" s="11">
        <v>1</v>
      </c>
      <c r="J188" s="11">
        <v>0.5</v>
      </c>
      <c r="K188" s="11">
        <v>0.5</v>
      </c>
      <c r="L188" s="11">
        <v>1</v>
      </c>
    </row>
    <row r="189" spans="1:12" x14ac:dyDescent="0.25">
      <c r="A189" s="11" t="s">
        <v>390</v>
      </c>
      <c r="B189" s="11">
        <v>0</v>
      </c>
      <c r="C189" s="11">
        <v>1</v>
      </c>
      <c r="D189" s="11">
        <v>0</v>
      </c>
      <c r="E189" s="11">
        <v>0</v>
      </c>
      <c r="F189" s="11">
        <v>6</v>
      </c>
      <c r="G189" s="11">
        <v>11</v>
      </c>
      <c r="H189" s="11"/>
      <c r="I189" s="11">
        <v>1</v>
      </c>
      <c r="J189" s="11">
        <v>0.5</v>
      </c>
      <c r="K189" s="11">
        <v>0.5</v>
      </c>
      <c r="L189" s="11">
        <v>0</v>
      </c>
    </row>
    <row r="190" spans="1:12" x14ac:dyDescent="0.25">
      <c r="A190" s="11" t="s">
        <v>121</v>
      </c>
      <c r="B190" s="11">
        <v>0</v>
      </c>
      <c r="C190" s="11">
        <v>1</v>
      </c>
      <c r="D190" s="11">
        <v>0</v>
      </c>
      <c r="E190" s="11">
        <v>0</v>
      </c>
      <c r="F190" s="11">
        <v>4</v>
      </c>
      <c r="G190" s="11">
        <v>9</v>
      </c>
      <c r="H190" s="11"/>
      <c r="I190" s="11">
        <v>1</v>
      </c>
      <c r="J190" s="11">
        <v>0.5</v>
      </c>
      <c r="K190" s="11">
        <v>0.5</v>
      </c>
      <c r="L190" s="11">
        <v>0</v>
      </c>
    </row>
    <row r="191" spans="1:12" x14ac:dyDescent="0.25">
      <c r="A191" s="11" t="s">
        <v>122</v>
      </c>
      <c r="B191" s="11">
        <v>0</v>
      </c>
      <c r="C191" s="11">
        <v>1</v>
      </c>
      <c r="D191" s="11">
        <v>0</v>
      </c>
      <c r="E191" s="11">
        <v>0</v>
      </c>
      <c r="F191" s="11">
        <v>4</v>
      </c>
      <c r="G191" s="11">
        <v>12</v>
      </c>
      <c r="H191" s="11"/>
      <c r="I191" s="11">
        <v>1</v>
      </c>
      <c r="J191" s="11">
        <v>0.5</v>
      </c>
      <c r="K191" s="11">
        <v>0.5</v>
      </c>
      <c r="L191" s="11">
        <v>0</v>
      </c>
    </row>
    <row r="192" spans="1:12" x14ac:dyDescent="0.25">
      <c r="A192" s="11" t="s">
        <v>391</v>
      </c>
      <c r="B192" s="11">
        <v>0</v>
      </c>
      <c r="C192" s="11">
        <v>1</v>
      </c>
      <c r="D192" s="11">
        <v>0</v>
      </c>
      <c r="E192" s="11">
        <v>0</v>
      </c>
      <c r="F192" s="11">
        <v>1</v>
      </c>
      <c r="G192" s="11">
        <v>0</v>
      </c>
      <c r="H192" s="11"/>
      <c r="I192" s="11"/>
      <c r="J192" s="11">
        <v>0.5</v>
      </c>
      <c r="K192" s="11">
        <v>0.5</v>
      </c>
      <c r="L192" s="11">
        <v>0</v>
      </c>
    </row>
    <row r="193" spans="1:12" x14ac:dyDescent="0.25">
      <c r="A193" s="11" t="s">
        <v>392</v>
      </c>
      <c r="B193" s="11">
        <v>0</v>
      </c>
      <c r="C193" s="11">
        <v>1</v>
      </c>
      <c r="D193" s="11">
        <v>0</v>
      </c>
      <c r="E193" s="11">
        <v>0</v>
      </c>
      <c r="F193" s="11">
        <v>0</v>
      </c>
      <c r="G193" s="11">
        <v>0</v>
      </c>
      <c r="H193" s="11"/>
      <c r="I193" s="11"/>
      <c r="J193" s="11">
        <v>0.5</v>
      </c>
      <c r="K193" s="11">
        <v>1</v>
      </c>
      <c r="L193" s="11">
        <v>0</v>
      </c>
    </row>
    <row r="194" spans="1:12" x14ac:dyDescent="0.25">
      <c r="A194" s="11" t="s">
        <v>123</v>
      </c>
      <c r="B194" s="11">
        <v>0</v>
      </c>
      <c r="C194" s="11">
        <v>1</v>
      </c>
      <c r="D194" s="11">
        <v>0</v>
      </c>
      <c r="E194" s="11">
        <v>1</v>
      </c>
      <c r="F194" s="11">
        <v>10</v>
      </c>
      <c r="G194" s="11">
        <v>15</v>
      </c>
      <c r="H194" s="11"/>
      <c r="I194" s="11">
        <v>3</v>
      </c>
      <c r="J194" s="11">
        <v>0.5</v>
      </c>
      <c r="K194" s="11">
        <v>0.5</v>
      </c>
      <c r="L194" s="11">
        <v>0</v>
      </c>
    </row>
    <row r="195" spans="1:12" x14ac:dyDescent="0.25">
      <c r="A195" s="11" t="s">
        <v>393</v>
      </c>
      <c r="B195" s="11">
        <v>0</v>
      </c>
      <c r="C195" s="11">
        <v>0.25</v>
      </c>
      <c r="D195" s="11">
        <v>0</v>
      </c>
      <c r="E195" s="11">
        <v>0</v>
      </c>
      <c r="F195" s="11">
        <v>1</v>
      </c>
      <c r="G195" s="11">
        <v>1</v>
      </c>
      <c r="H195" s="11"/>
      <c r="I195" s="11"/>
      <c r="J195" s="11">
        <v>0.5</v>
      </c>
      <c r="K195" s="11">
        <v>0.5</v>
      </c>
      <c r="L195" s="11">
        <v>0</v>
      </c>
    </row>
    <row r="196" spans="1:12" x14ac:dyDescent="0.25">
      <c r="A196" s="11" t="s">
        <v>124</v>
      </c>
      <c r="B196" s="11">
        <v>0</v>
      </c>
      <c r="C196" s="11">
        <v>0.25</v>
      </c>
      <c r="D196" s="11">
        <v>0</v>
      </c>
      <c r="E196" s="11">
        <v>0</v>
      </c>
      <c r="F196" s="11">
        <v>4</v>
      </c>
      <c r="G196" s="11">
        <v>13</v>
      </c>
      <c r="H196" s="11"/>
      <c r="I196" s="11">
        <v>1</v>
      </c>
      <c r="J196" s="11">
        <v>0.5</v>
      </c>
      <c r="K196" s="11">
        <v>0.5</v>
      </c>
      <c r="L196" s="11">
        <v>0</v>
      </c>
    </row>
    <row r="197" spans="1:12" x14ac:dyDescent="0.25">
      <c r="A197" s="11" t="s">
        <v>394</v>
      </c>
      <c r="B197" s="11">
        <v>0</v>
      </c>
      <c r="C197" s="11">
        <v>1</v>
      </c>
      <c r="D197" s="11">
        <v>0</v>
      </c>
      <c r="E197" s="11">
        <v>0</v>
      </c>
      <c r="F197" s="11">
        <v>2</v>
      </c>
      <c r="G197" s="11">
        <v>0</v>
      </c>
      <c r="H197" s="11"/>
      <c r="I197" s="11"/>
      <c r="J197" s="11">
        <v>0.5</v>
      </c>
      <c r="K197" s="11">
        <v>0.5</v>
      </c>
      <c r="L197" s="11">
        <v>0</v>
      </c>
    </row>
    <row r="198" spans="1:12" x14ac:dyDescent="0.25">
      <c r="A198" s="11" t="s">
        <v>125</v>
      </c>
      <c r="B198" s="11">
        <v>0</v>
      </c>
      <c r="C198" s="11">
        <v>1</v>
      </c>
      <c r="D198" s="11">
        <v>1</v>
      </c>
      <c r="E198" s="11">
        <v>1</v>
      </c>
      <c r="F198" s="11">
        <v>6</v>
      </c>
      <c r="G198" s="11">
        <v>15</v>
      </c>
      <c r="H198" s="11"/>
      <c r="I198" s="11">
        <v>4</v>
      </c>
      <c r="J198" s="11">
        <v>0.5</v>
      </c>
      <c r="K198" s="11">
        <v>0.5</v>
      </c>
      <c r="L198" s="11">
        <v>0</v>
      </c>
    </row>
    <row r="199" spans="1:12" x14ac:dyDescent="0.25">
      <c r="A199" s="11" t="s">
        <v>395</v>
      </c>
      <c r="B199" s="11">
        <v>0</v>
      </c>
      <c r="C199" s="11">
        <v>1</v>
      </c>
      <c r="D199" s="11">
        <v>0</v>
      </c>
      <c r="E199" s="11">
        <v>0</v>
      </c>
      <c r="F199" s="11">
        <v>2</v>
      </c>
      <c r="G199" s="11">
        <v>0</v>
      </c>
      <c r="H199" s="11"/>
      <c r="I199" s="11"/>
      <c r="J199" s="11">
        <v>0.5</v>
      </c>
      <c r="K199" s="11">
        <v>0.5</v>
      </c>
      <c r="L199" s="11">
        <v>0</v>
      </c>
    </row>
    <row r="200" spans="1:12" x14ac:dyDescent="0.25">
      <c r="A200" s="11" t="s">
        <v>396</v>
      </c>
      <c r="B200" s="11">
        <v>0</v>
      </c>
      <c r="C200" s="11">
        <v>0.25</v>
      </c>
      <c r="D200" s="11">
        <v>0</v>
      </c>
      <c r="E200" s="11">
        <v>0</v>
      </c>
      <c r="F200" s="11">
        <v>6</v>
      </c>
      <c r="G200" s="11">
        <v>10</v>
      </c>
      <c r="H200" s="11"/>
      <c r="I200" s="11">
        <v>3</v>
      </c>
      <c r="J200" s="11">
        <v>0.5</v>
      </c>
      <c r="K200" s="11">
        <v>0.5</v>
      </c>
      <c r="L200" s="11">
        <v>0</v>
      </c>
    </row>
    <row r="201" spans="1:12" x14ac:dyDescent="0.25">
      <c r="A201" s="11" t="s">
        <v>397</v>
      </c>
      <c r="B201" s="11">
        <v>0</v>
      </c>
      <c r="C201" s="11">
        <v>1</v>
      </c>
      <c r="D201" s="11">
        <v>0</v>
      </c>
      <c r="E201" s="11">
        <v>0</v>
      </c>
      <c r="F201" s="11">
        <v>4</v>
      </c>
      <c r="G201" s="11">
        <v>6</v>
      </c>
      <c r="H201" s="11"/>
      <c r="I201" s="11">
        <v>4</v>
      </c>
      <c r="J201" s="11">
        <v>1</v>
      </c>
      <c r="K201" s="11">
        <v>0.5</v>
      </c>
      <c r="L201" s="11">
        <v>0</v>
      </c>
    </row>
    <row r="202" spans="1:12" x14ac:dyDescent="0.25">
      <c r="A202" s="11" t="s">
        <v>398</v>
      </c>
      <c r="B202" s="11">
        <v>0</v>
      </c>
      <c r="C202" s="11">
        <v>1</v>
      </c>
      <c r="D202" s="11">
        <v>0</v>
      </c>
      <c r="E202" s="11">
        <v>0</v>
      </c>
      <c r="F202" s="11">
        <v>3</v>
      </c>
      <c r="G202" s="11">
        <v>5</v>
      </c>
      <c r="H202" s="11"/>
      <c r="I202" s="11">
        <v>3</v>
      </c>
      <c r="J202" s="11">
        <v>1</v>
      </c>
      <c r="K202" s="11">
        <v>0.5</v>
      </c>
      <c r="L202" s="11">
        <v>0</v>
      </c>
    </row>
    <row r="203" spans="1:12" x14ac:dyDescent="0.25">
      <c r="A203" s="11" t="s">
        <v>126</v>
      </c>
      <c r="B203" s="11">
        <v>0</v>
      </c>
      <c r="C203" s="11">
        <v>1</v>
      </c>
      <c r="D203" s="11">
        <v>0</v>
      </c>
      <c r="E203" s="11">
        <v>0</v>
      </c>
      <c r="F203" s="11">
        <v>4</v>
      </c>
      <c r="G203" s="11">
        <v>9</v>
      </c>
      <c r="H203" s="11"/>
      <c r="I203" s="11">
        <v>5</v>
      </c>
      <c r="J203" s="11">
        <v>0.75</v>
      </c>
      <c r="K203" s="11">
        <v>0.5</v>
      </c>
      <c r="L203" s="11">
        <v>0</v>
      </c>
    </row>
    <row r="204" spans="1:12" x14ac:dyDescent="0.25">
      <c r="A204" s="11" t="s">
        <v>127</v>
      </c>
      <c r="B204" s="11">
        <v>0</v>
      </c>
      <c r="C204" s="11">
        <v>1</v>
      </c>
      <c r="D204" s="11">
        <v>1</v>
      </c>
      <c r="E204" s="11">
        <v>0</v>
      </c>
      <c r="F204" s="11">
        <v>4</v>
      </c>
      <c r="G204" s="11">
        <v>10</v>
      </c>
      <c r="H204" s="11"/>
      <c r="I204" s="11">
        <v>5</v>
      </c>
      <c r="J204" s="11">
        <v>0.75</v>
      </c>
      <c r="K204" s="11">
        <v>0.5</v>
      </c>
      <c r="L204" s="11">
        <v>0</v>
      </c>
    </row>
    <row r="205" spans="1:12" x14ac:dyDescent="0.25">
      <c r="A205" s="11" t="s">
        <v>128</v>
      </c>
      <c r="B205" s="11">
        <v>0</v>
      </c>
      <c r="C205" s="11">
        <v>1</v>
      </c>
      <c r="D205" s="11">
        <v>0</v>
      </c>
      <c r="E205" s="11">
        <v>0</v>
      </c>
      <c r="F205" s="11">
        <v>4</v>
      </c>
      <c r="G205" s="11">
        <v>7</v>
      </c>
      <c r="H205" s="11"/>
      <c r="I205" s="11">
        <v>3</v>
      </c>
      <c r="J205" s="11">
        <v>1</v>
      </c>
      <c r="K205" s="11">
        <v>0.5</v>
      </c>
      <c r="L205" s="11">
        <v>0</v>
      </c>
    </row>
    <row r="206" spans="1:12" x14ac:dyDescent="0.25">
      <c r="A206" s="11" t="s">
        <v>129</v>
      </c>
      <c r="B206" s="11">
        <v>0</v>
      </c>
      <c r="C206" s="11">
        <v>1</v>
      </c>
      <c r="D206" s="11">
        <v>0</v>
      </c>
      <c r="E206" s="11">
        <v>0</v>
      </c>
      <c r="F206" s="11">
        <v>4</v>
      </c>
      <c r="G206" s="11">
        <v>10</v>
      </c>
      <c r="H206" s="11"/>
      <c r="I206" s="11">
        <v>5</v>
      </c>
      <c r="J206" s="11">
        <v>0.5</v>
      </c>
      <c r="K206" s="11">
        <v>0.5</v>
      </c>
      <c r="L206" s="11">
        <v>0</v>
      </c>
    </row>
    <row r="207" spans="1:12" x14ac:dyDescent="0.25">
      <c r="A207" s="11" t="s">
        <v>399</v>
      </c>
      <c r="B207" s="11">
        <v>0</v>
      </c>
      <c r="C207" s="11">
        <v>1</v>
      </c>
      <c r="D207" s="11">
        <v>1</v>
      </c>
      <c r="E207" s="11">
        <v>0</v>
      </c>
      <c r="F207" s="11">
        <v>0</v>
      </c>
      <c r="G207" s="11">
        <v>0</v>
      </c>
      <c r="H207" s="11"/>
      <c r="I207" s="11">
        <v>2</v>
      </c>
      <c r="J207" s="11">
        <v>0.5</v>
      </c>
      <c r="K207" s="11">
        <v>0.5</v>
      </c>
      <c r="L207" s="11">
        <v>0</v>
      </c>
    </row>
    <row r="208" spans="1:12" x14ac:dyDescent="0.25">
      <c r="A208" s="11" t="s">
        <v>400</v>
      </c>
      <c r="B208" s="11">
        <v>0</v>
      </c>
      <c r="C208" s="11">
        <v>1</v>
      </c>
      <c r="D208" s="11">
        <v>0</v>
      </c>
      <c r="E208" s="11">
        <v>0</v>
      </c>
      <c r="F208" s="11">
        <v>0</v>
      </c>
      <c r="G208" s="11">
        <v>0</v>
      </c>
      <c r="H208" s="11"/>
      <c r="I208" s="11">
        <v>3</v>
      </c>
      <c r="J208" s="11">
        <v>0.5</v>
      </c>
      <c r="K208" s="11">
        <v>0.5</v>
      </c>
      <c r="L208" s="11">
        <v>0</v>
      </c>
    </row>
    <row r="209" spans="1:12" x14ac:dyDescent="0.25">
      <c r="A209" s="11" t="s">
        <v>130</v>
      </c>
      <c r="B209" s="11">
        <v>0</v>
      </c>
      <c r="C209" s="11">
        <v>1</v>
      </c>
      <c r="D209" s="11">
        <v>1</v>
      </c>
      <c r="E209" s="11">
        <v>0</v>
      </c>
      <c r="F209" s="11">
        <v>5</v>
      </c>
      <c r="G209" s="11">
        <v>9</v>
      </c>
      <c r="H209" s="11"/>
      <c r="I209" s="11">
        <v>6</v>
      </c>
      <c r="J209" s="11">
        <v>0.5</v>
      </c>
      <c r="K209" s="11">
        <v>0.5</v>
      </c>
      <c r="L209" s="11">
        <v>0</v>
      </c>
    </row>
    <row r="210" spans="1:12" x14ac:dyDescent="0.25">
      <c r="A210" s="11" t="s">
        <v>131</v>
      </c>
      <c r="B210" s="11">
        <v>0</v>
      </c>
      <c r="C210" s="11">
        <v>1</v>
      </c>
      <c r="D210" s="11">
        <v>0</v>
      </c>
      <c r="E210" s="11">
        <v>0</v>
      </c>
      <c r="F210" s="11">
        <v>8</v>
      </c>
      <c r="G210" s="11">
        <v>13</v>
      </c>
      <c r="H210" s="11"/>
      <c r="I210" s="11">
        <v>4</v>
      </c>
      <c r="J210" s="11">
        <v>0.5</v>
      </c>
      <c r="K210" s="11">
        <v>0.5</v>
      </c>
      <c r="L210" s="11">
        <v>0</v>
      </c>
    </row>
    <row r="211" spans="1:12" x14ac:dyDescent="0.25">
      <c r="A211" s="11" t="s">
        <v>132</v>
      </c>
      <c r="B211" s="11">
        <v>0</v>
      </c>
      <c r="C211" s="11">
        <v>1</v>
      </c>
      <c r="D211" s="11">
        <v>0</v>
      </c>
      <c r="E211" s="11">
        <v>0</v>
      </c>
      <c r="F211" s="11">
        <v>6</v>
      </c>
      <c r="G211" s="11">
        <v>12</v>
      </c>
      <c r="H211" s="11"/>
      <c r="I211" s="11">
        <v>5</v>
      </c>
      <c r="J211" s="11">
        <v>0.75</v>
      </c>
      <c r="K211" s="11">
        <v>0.5</v>
      </c>
      <c r="L211" s="11">
        <v>0</v>
      </c>
    </row>
    <row r="212" spans="1:12" x14ac:dyDescent="0.25">
      <c r="A212" s="11" t="s">
        <v>133</v>
      </c>
      <c r="B212" s="11">
        <v>0</v>
      </c>
      <c r="C212" s="11">
        <v>1</v>
      </c>
      <c r="D212" s="11">
        <v>1</v>
      </c>
      <c r="E212" s="11">
        <v>0</v>
      </c>
      <c r="F212" s="11">
        <v>7</v>
      </c>
      <c r="G212" s="11">
        <v>12</v>
      </c>
      <c r="H212" s="11">
        <v>1</v>
      </c>
      <c r="I212" s="11">
        <v>6</v>
      </c>
      <c r="J212" s="11">
        <v>0.5</v>
      </c>
      <c r="K212" s="11">
        <v>0.5</v>
      </c>
      <c r="L212" s="11">
        <v>1</v>
      </c>
    </row>
    <row r="213" spans="1:12" x14ac:dyDescent="0.25">
      <c r="A213" s="11" t="s">
        <v>401</v>
      </c>
      <c r="B213" s="11">
        <v>0</v>
      </c>
      <c r="C213" s="11">
        <v>1</v>
      </c>
      <c r="D213" s="11">
        <v>0</v>
      </c>
      <c r="E213" s="11">
        <v>0</v>
      </c>
      <c r="F213" s="11">
        <v>3</v>
      </c>
      <c r="G213" s="11">
        <v>7</v>
      </c>
      <c r="H213" s="11"/>
      <c r="I213" s="11">
        <v>3</v>
      </c>
      <c r="J213" s="11">
        <v>0.75</v>
      </c>
      <c r="K213" s="11">
        <v>0.5</v>
      </c>
      <c r="L213" s="11">
        <v>0</v>
      </c>
    </row>
    <row r="214" spans="1:12" x14ac:dyDescent="0.25">
      <c r="A214" s="11" t="s">
        <v>402</v>
      </c>
      <c r="B214" s="11">
        <v>0</v>
      </c>
      <c r="C214" s="11">
        <v>1</v>
      </c>
      <c r="D214" s="11">
        <v>0</v>
      </c>
      <c r="E214" s="11">
        <v>0</v>
      </c>
      <c r="F214" s="11">
        <v>0</v>
      </c>
      <c r="G214" s="11">
        <v>0</v>
      </c>
      <c r="H214" s="11"/>
      <c r="I214" s="11">
        <v>3</v>
      </c>
      <c r="J214" s="11">
        <v>0.5</v>
      </c>
      <c r="K214" s="11">
        <v>0.5</v>
      </c>
      <c r="L214" s="11">
        <v>0</v>
      </c>
    </row>
    <row r="215" spans="1:12" x14ac:dyDescent="0.25">
      <c r="A215" s="11" t="s">
        <v>403</v>
      </c>
      <c r="B215" s="11">
        <v>0</v>
      </c>
      <c r="C215" s="11">
        <v>1</v>
      </c>
      <c r="D215" s="11">
        <v>1</v>
      </c>
      <c r="E215" s="11">
        <v>0</v>
      </c>
      <c r="F215" s="11">
        <v>5</v>
      </c>
      <c r="G215" s="11">
        <v>12</v>
      </c>
      <c r="H215" s="11"/>
      <c r="I215" s="11">
        <v>4</v>
      </c>
      <c r="J215" s="11">
        <v>0.75</v>
      </c>
      <c r="K215" s="11">
        <v>0.5</v>
      </c>
      <c r="L215" s="11">
        <v>0</v>
      </c>
    </row>
    <row r="216" spans="1:12" x14ac:dyDescent="0.25">
      <c r="A216" s="11" t="s">
        <v>134</v>
      </c>
      <c r="B216" s="11">
        <v>0</v>
      </c>
      <c r="C216" s="11">
        <v>1</v>
      </c>
      <c r="D216" s="11">
        <v>0</v>
      </c>
      <c r="E216" s="11">
        <v>0</v>
      </c>
      <c r="F216" s="11">
        <v>4</v>
      </c>
      <c r="G216" s="11">
        <v>9</v>
      </c>
      <c r="H216" s="11"/>
      <c r="I216" s="11">
        <v>5</v>
      </c>
      <c r="J216" s="11">
        <v>0.75</v>
      </c>
      <c r="K216" s="11">
        <v>0.5</v>
      </c>
      <c r="L216" s="11">
        <v>0</v>
      </c>
    </row>
    <row r="217" spans="1:12" x14ac:dyDescent="0.25">
      <c r="A217" s="11" t="s">
        <v>135</v>
      </c>
      <c r="B217" s="11">
        <v>0</v>
      </c>
      <c r="C217" s="11">
        <v>0.25</v>
      </c>
      <c r="D217" s="11">
        <v>0</v>
      </c>
      <c r="E217" s="11">
        <v>0</v>
      </c>
      <c r="F217" s="11">
        <v>2</v>
      </c>
      <c r="G217" s="11">
        <v>2</v>
      </c>
      <c r="H217" s="11"/>
      <c r="I217" s="11">
        <v>2</v>
      </c>
      <c r="J217" s="11">
        <v>1</v>
      </c>
      <c r="K217" s="11">
        <v>0.5</v>
      </c>
      <c r="L217" s="11">
        <v>0</v>
      </c>
    </row>
    <row r="218" spans="1:12" x14ac:dyDescent="0.25">
      <c r="A218" s="11" t="s">
        <v>135</v>
      </c>
      <c r="B218" s="11">
        <v>0</v>
      </c>
      <c r="C218" s="11">
        <v>0.25</v>
      </c>
      <c r="D218" s="11">
        <v>0</v>
      </c>
      <c r="E218" s="11">
        <v>0</v>
      </c>
      <c r="F218" s="11">
        <v>2</v>
      </c>
      <c r="G218" s="11">
        <v>2</v>
      </c>
      <c r="H218" s="11"/>
      <c r="I218" s="11">
        <v>2</v>
      </c>
      <c r="J218" s="11">
        <v>1</v>
      </c>
      <c r="K218" s="11">
        <v>0.5</v>
      </c>
      <c r="L218" s="11">
        <v>0</v>
      </c>
    </row>
    <row r="219" spans="1:12" x14ac:dyDescent="0.25">
      <c r="A219" s="11" t="s">
        <v>404</v>
      </c>
      <c r="B219" s="11">
        <v>0</v>
      </c>
      <c r="C219" s="11">
        <v>1</v>
      </c>
      <c r="D219" s="11">
        <v>0</v>
      </c>
      <c r="E219" s="11">
        <v>0</v>
      </c>
      <c r="F219" s="11">
        <v>0</v>
      </c>
      <c r="G219" s="11">
        <v>0</v>
      </c>
      <c r="H219" s="11"/>
      <c r="I219" s="11">
        <v>3</v>
      </c>
      <c r="J219" s="11">
        <v>0.75</v>
      </c>
      <c r="K219" s="11">
        <v>0.5</v>
      </c>
      <c r="L219" s="11">
        <v>0</v>
      </c>
    </row>
    <row r="220" spans="1:12" x14ac:dyDescent="0.25">
      <c r="A220" s="11" t="s">
        <v>136</v>
      </c>
      <c r="B220" s="11">
        <v>0</v>
      </c>
      <c r="C220" s="11">
        <v>1</v>
      </c>
      <c r="D220" s="11">
        <v>0</v>
      </c>
      <c r="E220" s="11">
        <v>0</v>
      </c>
      <c r="F220" s="11">
        <v>4</v>
      </c>
      <c r="G220" s="11">
        <v>10</v>
      </c>
      <c r="H220" s="11"/>
      <c r="I220" s="11">
        <v>4</v>
      </c>
      <c r="J220" s="11">
        <v>1</v>
      </c>
      <c r="K220" s="11">
        <v>0.5</v>
      </c>
      <c r="L220" s="11">
        <v>0</v>
      </c>
    </row>
    <row r="221" spans="1:12" x14ac:dyDescent="0.25">
      <c r="A221" s="11" t="s">
        <v>137</v>
      </c>
      <c r="B221" s="11">
        <v>0</v>
      </c>
      <c r="C221" s="11">
        <v>1</v>
      </c>
      <c r="D221" s="11">
        <v>0</v>
      </c>
      <c r="E221" s="11">
        <v>0</v>
      </c>
      <c r="F221" s="11">
        <v>1</v>
      </c>
      <c r="G221" s="11">
        <v>1</v>
      </c>
      <c r="H221" s="11"/>
      <c r="I221" s="11">
        <v>4</v>
      </c>
      <c r="J221" s="11">
        <v>0.75</v>
      </c>
      <c r="K221" s="11">
        <v>0.5</v>
      </c>
      <c r="L221" s="11">
        <v>0</v>
      </c>
    </row>
    <row r="222" spans="1:12" x14ac:dyDescent="0.25">
      <c r="A222" s="11" t="s">
        <v>405</v>
      </c>
      <c r="B222" s="11">
        <v>0</v>
      </c>
      <c r="C222" s="11">
        <v>1</v>
      </c>
      <c r="D222" s="11">
        <v>0</v>
      </c>
      <c r="E222" s="11">
        <v>0</v>
      </c>
      <c r="F222" s="11">
        <v>2</v>
      </c>
      <c r="G222" s="11">
        <v>4</v>
      </c>
      <c r="H222" s="11"/>
      <c r="I222" s="11">
        <v>4</v>
      </c>
      <c r="J222" s="11">
        <v>0.75</v>
      </c>
      <c r="K222" s="11">
        <v>0.5</v>
      </c>
      <c r="L222" s="11">
        <v>0</v>
      </c>
    </row>
    <row r="223" spans="1:12" x14ac:dyDescent="0.25">
      <c r="A223" s="11" t="s">
        <v>406</v>
      </c>
      <c r="B223" s="11">
        <v>0</v>
      </c>
      <c r="C223" s="11">
        <v>1</v>
      </c>
      <c r="D223" s="11">
        <v>0</v>
      </c>
      <c r="E223" s="11">
        <v>0</v>
      </c>
      <c r="F223" s="11">
        <v>5</v>
      </c>
      <c r="G223" s="11">
        <v>12</v>
      </c>
      <c r="H223" s="11"/>
      <c r="I223" s="11">
        <v>4</v>
      </c>
      <c r="J223" s="11">
        <v>0.75</v>
      </c>
      <c r="K223" s="11">
        <v>0.5</v>
      </c>
      <c r="L223" s="11">
        <v>0</v>
      </c>
    </row>
    <row r="224" spans="1:12" x14ac:dyDescent="0.25">
      <c r="A224" s="11" t="s">
        <v>407</v>
      </c>
      <c r="B224" s="11">
        <v>0</v>
      </c>
      <c r="C224" s="11">
        <v>1</v>
      </c>
      <c r="D224" s="11">
        <v>0</v>
      </c>
      <c r="E224" s="11">
        <v>0</v>
      </c>
      <c r="F224" s="11">
        <v>0</v>
      </c>
      <c r="G224" s="11">
        <v>0</v>
      </c>
      <c r="H224" s="11"/>
      <c r="I224" s="11"/>
      <c r="J224" s="11">
        <v>0.5</v>
      </c>
      <c r="K224" s="11">
        <v>0.5</v>
      </c>
      <c r="L224" s="11">
        <v>0</v>
      </c>
    </row>
    <row r="225" spans="1:12" x14ac:dyDescent="0.25">
      <c r="A225" s="11" t="s">
        <v>138</v>
      </c>
      <c r="B225" s="11">
        <v>0</v>
      </c>
      <c r="C225" s="11">
        <v>0.25</v>
      </c>
      <c r="D225" s="11">
        <v>0</v>
      </c>
      <c r="E225" s="11">
        <v>0</v>
      </c>
      <c r="F225" s="11">
        <v>1</v>
      </c>
      <c r="G225" s="11">
        <v>1</v>
      </c>
      <c r="H225" s="11"/>
      <c r="I225" s="11">
        <v>2</v>
      </c>
      <c r="J225" s="11">
        <v>1</v>
      </c>
      <c r="K225" s="11">
        <v>0.5</v>
      </c>
      <c r="L225" s="11">
        <v>0</v>
      </c>
    </row>
    <row r="226" spans="1:12" x14ac:dyDescent="0.25">
      <c r="A226" s="11" t="s">
        <v>139</v>
      </c>
      <c r="B226" s="11">
        <v>0</v>
      </c>
      <c r="C226" s="11">
        <v>1</v>
      </c>
      <c r="D226" s="11">
        <v>1</v>
      </c>
      <c r="E226" s="11">
        <v>1</v>
      </c>
      <c r="F226" s="11">
        <v>9</v>
      </c>
      <c r="G226" s="11">
        <v>15</v>
      </c>
      <c r="H226" s="11"/>
      <c r="I226" s="11">
        <v>4</v>
      </c>
      <c r="J226" s="11">
        <v>0.5</v>
      </c>
      <c r="K226" s="11">
        <v>0.5</v>
      </c>
      <c r="L226" s="11">
        <v>0</v>
      </c>
    </row>
    <row r="227" spans="1:12" x14ac:dyDescent="0.25">
      <c r="A227" s="11" t="s">
        <v>408</v>
      </c>
      <c r="B227" s="11">
        <v>0</v>
      </c>
      <c r="C227" s="11">
        <v>1</v>
      </c>
      <c r="D227" s="11">
        <v>0</v>
      </c>
      <c r="E227" s="11">
        <v>0</v>
      </c>
      <c r="F227" s="11">
        <v>1</v>
      </c>
      <c r="G227" s="11">
        <v>1</v>
      </c>
      <c r="H227" s="11"/>
      <c r="I227" s="11">
        <v>3</v>
      </c>
      <c r="J227" s="11">
        <v>1</v>
      </c>
      <c r="K227" s="11">
        <v>1</v>
      </c>
      <c r="L227" s="11">
        <v>0</v>
      </c>
    </row>
    <row r="228" spans="1:12" x14ac:dyDescent="0.25">
      <c r="A228" s="11" t="s">
        <v>140</v>
      </c>
      <c r="B228" s="11">
        <v>0</v>
      </c>
      <c r="C228" s="11">
        <v>1</v>
      </c>
      <c r="D228" s="11">
        <v>0</v>
      </c>
      <c r="E228" s="11">
        <v>0</v>
      </c>
      <c r="F228" s="11">
        <v>5</v>
      </c>
      <c r="G228" s="11">
        <v>11</v>
      </c>
      <c r="H228" s="11"/>
      <c r="I228" s="11">
        <v>4</v>
      </c>
      <c r="J228" s="11">
        <v>1</v>
      </c>
      <c r="K228" s="11">
        <v>0.5</v>
      </c>
      <c r="L228" s="11">
        <v>0</v>
      </c>
    </row>
    <row r="229" spans="1:12" x14ac:dyDescent="0.25">
      <c r="A229" s="11" t="s">
        <v>141</v>
      </c>
      <c r="B229" s="11">
        <v>0</v>
      </c>
      <c r="C229" s="11">
        <v>0.25</v>
      </c>
      <c r="D229" s="11">
        <v>0</v>
      </c>
      <c r="E229" s="11">
        <v>0</v>
      </c>
      <c r="F229" s="11">
        <v>5</v>
      </c>
      <c r="G229" s="11">
        <v>10</v>
      </c>
      <c r="H229" s="11"/>
      <c r="I229" s="11">
        <v>4</v>
      </c>
      <c r="J229" s="11">
        <v>1</v>
      </c>
      <c r="K229" s="11">
        <v>0.5</v>
      </c>
      <c r="L229" s="11">
        <v>0</v>
      </c>
    </row>
    <row r="230" spans="1:12" x14ac:dyDescent="0.25">
      <c r="A230" s="11" t="s">
        <v>409</v>
      </c>
      <c r="B230" s="11">
        <v>0</v>
      </c>
      <c r="C230" s="11">
        <v>0.25</v>
      </c>
      <c r="D230" s="11">
        <v>0</v>
      </c>
      <c r="E230" s="11">
        <v>0</v>
      </c>
      <c r="F230" s="11">
        <v>4</v>
      </c>
      <c r="G230" s="11">
        <v>9</v>
      </c>
      <c r="H230" s="11"/>
      <c r="I230" s="11">
        <v>4</v>
      </c>
      <c r="J230" s="11">
        <v>1</v>
      </c>
      <c r="K230" s="11">
        <v>0.5</v>
      </c>
      <c r="L230" s="11">
        <v>0</v>
      </c>
    </row>
    <row r="231" spans="1:12" x14ac:dyDescent="0.25">
      <c r="A231" s="11" t="s">
        <v>410</v>
      </c>
      <c r="B231" s="11">
        <v>0</v>
      </c>
      <c r="C231" s="11">
        <v>1</v>
      </c>
      <c r="D231" s="11">
        <v>1</v>
      </c>
      <c r="E231" s="11">
        <v>0</v>
      </c>
      <c r="F231" s="11">
        <v>0</v>
      </c>
      <c r="G231" s="11">
        <v>0</v>
      </c>
      <c r="H231" s="11"/>
      <c r="I231" s="11">
        <v>3</v>
      </c>
      <c r="J231" s="11">
        <v>0.5</v>
      </c>
      <c r="K231" s="11">
        <v>0.5</v>
      </c>
      <c r="L231" s="11">
        <v>0</v>
      </c>
    </row>
    <row r="232" spans="1:12" x14ac:dyDescent="0.25">
      <c r="A232" s="11" t="s">
        <v>37</v>
      </c>
      <c r="B232" s="11">
        <v>0</v>
      </c>
      <c r="C232" s="11">
        <v>1</v>
      </c>
      <c r="D232" s="11">
        <v>1</v>
      </c>
      <c r="E232" s="11">
        <v>0</v>
      </c>
      <c r="F232" s="11">
        <v>5</v>
      </c>
      <c r="G232" s="11">
        <v>9</v>
      </c>
      <c r="H232" s="11"/>
      <c r="I232" s="11">
        <v>6</v>
      </c>
      <c r="J232" s="11">
        <v>0.5</v>
      </c>
      <c r="K232" s="11">
        <v>0.5</v>
      </c>
      <c r="L232" s="11">
        <v>0</v>
      </c>
    </row>
    <row r="233" spans="1:12" x14ac:dyDescent="0.25">
      <c r="A233" s="11" t="s">
        <v>411</v>
      </c>
      <c r="B233" s="11">
        <v>0</v>
      </c>
      <c r="C233" s="11">
        <v>1</v>
      </c>
      <c r="D233" s="11">
        <v>0</v>
      </c>
      <c r="E233" s="11">
        <v>0</v>
      </c>
      <c r="F233" s="11">
        <v>5</v>
      </c>
      <c r="G233" s="11">
        <v>12</v>
      </c>
      <c r="H233" s="11"/>
      <c r="I233" s="11">
        <v>2</v>
      </c>
      <c r="J233" s="11">
        <v>0.5</v>
      </c>
      <c r="K233" s="11">
        <v>0.5</v>
      </c>
      <c r="L233" s="11">
        <v>0</v>
      </c>
    </row>
    <row r="234" spans="1:12" x14ac:dyDescent="0.25">
      <c r="A234" s="11" t="s">
        <v>412</v>
      </c>
      <c r="B234" s="11">
        <v>0</v>
      </c>
      <c r="C234" s="11">
        <v>1</v>
      </c>
      <c r="D234" s="11">
        <v>1</v>
      </c>
      <c r="E234" s="11">
        <v>0</v>
      </c>
      <c r="F234" s="11">
        <v>3</v>
      </c>
      <c r="G234" s="11">
        <v>2</v>
      </c>
      <c r="H234" s="11"/>
      <c r="I234" s="11">
        <v>2</v>
      </c>
      <c r="J234" s="11">
        <v>0.75</v>
      </c>
      <c r="K234" s="11">
        <v>1</v>
      </c>
      <c r="L234" s="11">
        <v>0</v>
      </c>
    </row>
    <row r="235" spans="1:12" x14ac:dyDescent="0.25">
      <c r="A235" s="11" t="s">
        <v>11</v>
      </c>
      <c r="B235" s="11">
        <v>0</v>
      </c>
      <c r="C235" s="11">
        <v>1</v>
      </c>
      <c r="D235" s="11">
        <v>0</v>
      </c>
      <c r="E235" s="11">
        <v>0</v>
      </c>
      <c r="F235" s="11">
        <v>3</v>
      </c>
      <c r="G235" s="11">
        <v>6</v>
      </c>
      <c r="H235" s="11">
        <v>8</v>
      </c>
      <c r="I235" s="11">
        <v>3</v>
      </c>
      <c r="J235" s="11">
        <v>0.75</v>
      </c>
      <c r="K235" s="11">
        <v>1</v>
      </c>
      <c r="L235" s="11">
        <v>0</v>
      </c>
    </row>
    <row r="236" spans="1:12" x14ac:dyDescent="0.25">
      <c r="A236" s="11" t="s">
        <v>413</v>
      </c>
      <c r="B236" s="11">
        <v>0</v>
      </c>
      <c r="C236" s="11">
        <v>1</v>
      </c>
      <c r="D236" s="11">
        <v>0</v>
      </c>
      <c r="E236" s="11">
        <v>0</v>
      </c>
      <c r="F236" s="11">
        <v>0</v>
      </c>
      <c r="G236" s="11">
        <v>0</v>
      </c>
      <c r="H236" s="11"/>
      <c r="I236" s="11"/>
      <c r="J236" s="11">
        <v>0.5</v>
      </c>
      <c r="K236" s="11">
        <v>1</v>
      </c>
      <c r="L236" s="11">
        <v>0</v>
      </c>
    </row>
    <row r="237" spans="1:12" x14ac:dyDescent="0.25">
      <c r="A237" s="11" t="s">
        <v>414</v>
      </c>
      <c r="B237" s="11">
        <v>0</v>
      </c>
      <c r="C237" s="11">
        <v>1</v>
      </c>
      <c r="D237" s="11">
        <v>0</v>
      </c>
      <c r="E237" s="11">
        <v>0</v>
      </c>
      <c r="F237" s="11">
        <v>5</v>
      </c>
      <c r="G237" s="11">
        <v>0</v>
      </c>
      <c r="H237" s="11"/>
      <c r="I237" s="11"/>
      <c r="J237" s="11">
        <v>0.5</v>
      </c>
      <c r="K237" s="11">
        <v>1</v>
      </c>
      <c r="L237" s="11">
        <v>0</v>
      </c>
    </row>
    <row r="238" spans="1:12" x14ac:dyDescent="0.25">
      <c r="A238" s="11" t="s">
        <v>415</v>
      </c>
      <c r="B238" s="11">
        <v>0</v>
      </c>
      <c r="C238" s="11">
        <v>1</v>
      </c>
      <c r="D238" s="11">
        <v>1</v>
      </c>
      <c r="E238" s="11">
        <v>0</v>
      </c>
      <c r="F238" s="11">
        <v>2</v>
      </c>
      <c r="G238" s="11">
        <v>3</v>
      </c>
      <c r="H238" s="11">
        <v>3</v>
      </c>
      <c r="I238" s="11">
        <v>2</v>
      </c>
      <c r="J238" s="11">
        <v>0.75</v>
      </c>
      <c r="K238" s="11">
        <v>1</v>
      </c>
      <c r="L238" s="11">
        <v>0</v>
      </c>
    </row>
    <row r="239" spans="1:12" x14ac:dyDescent="0.25">
      <c r="A239" s="11" t="s">
        <v>416</v>
      </c>
      <c r="B239" s="11">
        <v>0</v>
      </c>
      <c r="C239" s="11">
        <v>1</v>
      </c>
      <c r="D239" s="11">
        <v>1</v>
      </c>
      <c r="E239" s="11">
        <v>0</v>
      </c>
      <c r="F239" s="11">
        <v>2</v>
      </c>
      <c r="G239" s="11">
        <v>2</v>
      </c>
      <c r="H239" s="11"/>
      <c r="I239" s="11"/>
      <c r="J239" s="11">
        <v>0.75</v>
      </c>
      <c r="K239" s="11">
        <v>1</v>
      </c>
      <c r="L239" s="11">
        <v>0</v>
      </c>
    </row>
    <row r="240" spans="1:12" x14ac:dyDescent="0.25">
      <c r="A240" s="11" t="s">
        <v>142</v>
      </c>
      <c r="B240" s="11">
        <v>0</v>
      </c>
      <c r="C240" s="11">
        <v>0.25</v>
      </c>
      <c r="D240" s="11">
        <v>0</v>
      </c>
      <c r="E240" s="11">
        <v>0</v>
      </c>
      <c r="F240" s="11">
        <v>1</v>
      </c>
      <c r="G240" s="11">
        <v>2</v>
      </c>
      <c r="H240" s="11"/>
      <c r="I240" s="11"/>
      <c r="J240" s="11">
        <v>0.75</v>
      </c>
      <c r="K240" s="11">
        <v>1</v>
      </c>
      <c r="L240" s="11">
        <v>0</v>
      </c>
    </row>
    <row r="241" spans="1:12" x14ac:dyDescent="0.25">
      <c r="A241" s="11" t="s">
        <v>417</v>
      </c>
      <c r="B241" s="11">
        <v>1</v>
      </c>
      <c r="C241" s="11">
        <v>1</v>
      </c>
      <c r="D241" s="11">
        <v>0</v>
      </c>
      <c r="E241" s="11">
        <v>0</v>
      </c>
      <c r="F241" s="11">
        <v>4</v>
      </c>
      <c r="G241" s="11">
        <v>0</v>
      </c>
      <c r="H241" s="11"/>
      <c r="I241" s="11"/>
      <c r="J241" s="11">
        <v>0.5</v>
      </c>
      <c r="K241" s="11">
        <v>1</v>
      </c>
      <c r="L241" s="11">
        <v>0</v>
      </c>
    </row>
    <row r="242" spans="1:12" x14ac:dyDescent="0.25">
      <c r="A242" s="11" t="s">
        <v>7</v>
      </c>
      <c r="B242" s="11">
        <v>1</v>
      </c>
      <c r="C242" s="11">
        <v>1</v>
      </c>
      <c r="D242" s="11">
        <v>0</v>
      </c>
      <c r="E242" s="11">
        <v>0</v>
      </c>
      <c r="F242" s="11">
        <v>3</v>
      </c>
      <c r="G242" s="11">
        <v>2</v>
      </c>
      <c r="H242" s="11"/>
      <c r="I242" s="11"/>
      <c r="J242" s="11">
        <v>0.75</v>
      </c>
      <c r="K242" s="11">
        <v>1</v>
      </c>
      <c r="L242" s="11">
        <v>0</v>
      </c>
    </row>
    <row r="243" spans="1:12" x14ac:dyDescent="0.25">
      <c r="A243" s="11" t="s">
        <v>143</v>
      </c>
      <c r="B243" s="11">
        <v>1</v>
      </c>
      <c r="C243" s="11">
        <v>0.25</v>
      </c>
      <c r="D243" s="11">
        <v>0</v>
      </c>
      <c r="E243" s="11">
        <v>0</v>
      </c>
      <c r="F243" s="11">
        <v>5</v>
      </c>
      <c r="G243" s="11">
        <v>2</v>
      </c>
      <c r="H243" s="11"/>
      <c r="I243" s="11"/>
      <c r="J243" s="11">
        <v>1</v>
      </c>
      <c r="K243" s="11">
        <v>1</v>
      </c>
      <c r="L243" s="11">
        <v>0</v>
      </c>
    </row>
    <row r="244" spans="1:12" x14ac:dyDescent="0.25">
      <c r="A244" s="11" t="s">
        <v>418</v>
      </c>
      <c r="B244" s="11">
        <v>0</v>
      </c>
      <c r="C244" s="11">
        <v>1</v>
      </c>
      <c r="D244" s="11">
        <v>1</v>
      </c>
      <c r="E244" s="11">
        <v>0</v>
      </c>
      <c r="F244" s="11">
        <v>0</v>
      </c>
      <c r="G244" s="11">
        <v>0</v>
      </c>
      <c r="H244" s="11"/>
      <c r="I244" s="11">
        <v>2</v>
      </c>
      <c r="J244" s="11">
        <v>0.5</v>
      </c>
      <c r="K244" s="11">
        <v>1</v>
      </c>
      <c r="L244" s="11">
        <v>0</v>
      </c>
    </row>
    <row r="245" spans="1:12" x14ac:dyDescent="0.25">
      <c r="A245" s="11" t="s">
        <v>419</v>
      </c>
      <c r="B245" s="11">
        <v>0</v>
      </c>
      <c r="C245" s="11">
        <v>1</v>
      </c>
      <c r="D245" s="11">
        <v>1</v>
      </c>
      <c r="E245" s="11">
        <v>0</v>
      </c>
      <c r="F245" s="11">
        <v>8</v>
      </c>
      <c r="G245" s="11">
        <v>0</v>
      </c>
      <c r="H245" s="11"/>
      <c r="I245" s="11">
        <v>1</v>
      </c>
      <c r="J245" s="11">
        <v>0.5</v>
      </c>
      <c r="K245" s="11">
        <v>1</v>
      </c>
      <c r="L245" s="11">
        <v>0</v>
      </c>
    </row>
    <row r="246" spans="1:12" x14ac:dyDescent="0.25">
      <c r="A246" s="11" t="s">
        <v>420</v>
      </c>
      <c r="B246" s="11">
        <v>0</v>
      </c>
      <c r="C246" s="11">
        <v>1</v>
      </c>
      <c r="D246" s="11">
        <v>1</v>
      </c>
      <c r="E246" s="11">
        <v>0</v>
      </c>
      <c r="F246" s="11">
        <v>1</v>
      </c>
      <c r="G246" s="11">
        <v>2</v>
      </c>
      <c r="H246" s="11">
        <v>2</v>
      </c>
      <c r="I246" s="11">
        <v>1</v>
      </c>
      <c r="J246" s="11">
        <v>0.75</v>
      </c>
      <c r="K246" s="11">
        <v>1</v>
      </c>
      <c r="L246" s="11">
        <v>0</v>
      </c>
    </row>
    <row r="247" spans="1:12" x14ac:dyDescent="0.25">
      <c r="A247" s="11" t="s">
        <v>421</v>
      </c>
      <c r="B247" s="11">
        <v>0</v>
      </c>
      <c r="C247" s="11">
        <v>0.25</v>
      </c>
      <c r="D247" s="11">
        <v>0</v>
      </c>
      <c r="E247" s="11">
        <v>0</v>
      </c>
      <c r="F247" s="11">
        <v>3</v>
      </c>
      <c r="G247" s="11">
        <v>0</v>
      </c>
      <c r="H247" s="11"/>
      <c r="I247" s="11"/>
      <c r="J247" s="11">
        <v>0.5</v>
      </c>
      <c r="K247" s="11">
        <v>1</v>
      </c>
      <c r="L247" s="11">
        <v>0</v>
      </c>
    </row>
    <row r="248" spans="1:12" x14ac:dyDescent="0.25">
      <c r="A248" s="11" t="s">
        <v>422</v>
      </c>
      <c r="B248" s="11">
        <v>0</v>
      </c>
      <c r="C248" s="11">
        <v>1</v>
      </c>
      <c r="D248" s="11">
        <v>0</v>
      </c>
      <c r="E248" s="11">
        <v>0</v>
      </c>
      <c r="F248" s="11">
        <v>0</v>
      </c>
      <c r="G248" s="11">
        <v>0</v>
      </c>
      <c r="H248" s="11"/>
      <c r="I248" s="11"/>
      <c r="J248" s="11">
        <v>0.5</v>
      </c>
      <c r="K248" s="11">
        <v>1</v>
      </c>
      <c r="L248" s="11">
        <v>0</v>
      </c>
    </row>
    <row r="249" spans="1:12" x14ac:dyDescent="0.25">
      <c r="A249" s="11" t="s">
        <v>423</v>
      </c>
      <c r="B249" s="11">
        <v>0</v>
      </c>
      <c r="C249" s="11">
        <v>0.25</v>
      </c>
      <c r="D249" s="11">
        <v>0</v>
      </c>
      <c r="E249" s="11">
        <v>0</v>
      </c>
      <c r="F249" s="11">
        <v>4</v>
      </c>
      <c r="G249" s="11">
        <v>7</v>
      </c>
      <c r="H249" s="11"/>
      <c r="I249" s="11">
        <v>5</v>
      </c>
      <c r="J249" s="11">
        <v>1</v>
      </c>
      <c r="K249" s="11">
        <v>0.5</v>
      </c>
      <c r="L249" s="11">
        <v>0</v>
      </c>
    </row>
    <row r="250" spans="1:12" x14ac:dyDescent="0.25">
      <c r="A250" s="11" t="s">
        <v>424</v>
      </c>
      <c r="B250" s="11">
        <v>0</v>
      </c>
      <c r="C250" s="11">
        <v>1</v>
      </c>
      <c r="D250" s="11">
        <v>0</v>
      </c>
      <c r="E250" s="11">
        <v>0</v>
      </c>
      <c r="F250" s="11">
        <v>0</v>
      </c>
      <c r="G250" s="11">
        <v>0</v>
      </c>
      <c r="H250" s="11"/>
      <c r="I250" s="11"/>
      <c r="J250" s="11">
        <v>1</v>
      </c>
      <c r="K250" s="11">
        <v>0.5</v>
      </c>
      <c r="L250" s="11">
        <v>0</v>
      </c>
    </row>
    <row r="251" spans="1:12" x14ac:dyDescent="0.25">
      <c r="A251" s="11" t="s">
        <v>425</v>
      </c>
      <c r="B251" s="11">
        <v>0</v>
      </c>
      <c r="C251" s="11">
        <v>1</v>
      </c>
      <c r="D251" s="11">
        <v>0</v>
      </c>
      <c r="E251" s="11">
        <v>0</v>
      </c>
      <c r="F251" s="11">
        <v>0</v>
      </c>
      <c r="G251" s="11">
        <v>0</v>
      </c>
      <c r="H251" s="11"/>
      <c r="I251" s="11"/>
      <c r="J251" s="11">
        <v>1</v>
      </c>
      <c r="K251" s="11">
        <v>0.5</v>
      </c>
      <c r="L251" s="11">
        <v>0</v>
      </c>
    </row>
    <row r="252" spans="1:12" x14ac:dyDescent="0.25">
      <c r="A252" s="11" t="s">
        <v>426</v>
      </c>
      <c r="B252" s="11">
        <v>0</v>
      </c>
      <c r="C252" s="11">
        <v>1</v>
      </c>
      <c r="D252" s="11">
        <v>0</v>
      </c>
      <c r="E252" s="11">
        <v>0</v>
      </c>
      <c r="F252" s="11">
        <v>4</v>
      </c>
      <c r="G252" s="11">
        <v>4</v>
      </c>
      <c r="H252" s="11"/>
      <c r="I252" s="11">
        <v>3</v>
      </c>
      <c r="J252" s="11">
        <v>1</v>
      </c>
      <c r="K252" s="11">
        <v>0.5</v>
      </c>
      <c r="L252" s="11">
        <v>0</v>
      </c>
    </row>
    <row r="253" spans="1:12" x14ac:dyDescent="0.25">
      <c r="A253" s="11" t="s">
        <v>427</v>
      </c>
      <c r="B253" s="11">
        <v>0</v>
      </c>
      <c r="C253" s="11">
        <v>1</v>
      </c>
      <c r="D253" s="11">
        <v>1</v>
      </c>
      <c r="E253" s="11">
        <v>0</v>
      </c>
      <c r="F253" s="11">
        <v>2</v>
      </c>
      <c r="G253" s="11">
        <v>2</v>
      </c>
      <c r="H253" s="11"/>
      <c r="I253" s="11">
        <v>4</v>
      </c>
      <c r="J253" s="11">
        <v>0.75</v>
      </c>
      <c r="K253" s="11">
        <v>0.5</v>
      </c>
      <c r="L253" s="11">
        <v>0</v>
      </c>
    </row>
    <row r="254" spans="1:12" x14ac:dyDescent="0.25">
      <c r="A254" s="11" t="s">
        <v>428</v>
      </c>
      <c r="B254" s="11">
        <v>0</v>
      </c>
      <c r="C254" s="11">
        <v>1</v>
      </c>
      <c r="D254" s="11">
        <v>1</v>
      </c>
      <c r="E254" s="11">
        <v>0</v>
      </c>
      <c r="F254" s="11">
        <v>2</v>
      </c>
      <c r="G254" s="11">
        <v>2</v>
      </c>
      <c r="H254" s="11"/>
      <c r="I254" s="11">
        <v>3</v>
      </c>
      <c r="J254" s="11">
        <v>0.75</v>
      </c>
      <c r="K254" s="11">
        <v>0.5</v>
      </c>
      <c r="L254" s="11">
        <v>0</v>
      </c>
    </row>
    <row r="255" spans="1:12" x14ac:dyDescent="0.25">
      <c r="A255" s="11" t="s">
        <v>429</v>
      </c>
      <c r="B255" s="11">
        <v>0</v>
      </c>
      <c r="C255" s="11">
        <v>1</v>
      </c>
      <c r="D255" s="11">
        <v>0</v>
      </c>
      <c r="E255" s="11">
        <v>0</v>
      </c>
      <c r="F255" s="11">
        <v>0</v>
      </c>
      <c r="G255" s="11">
        <v>0</v>
      </c>
      <c r="H255" s="11"/>
      <c r="I255" s="11"/>
      <c r="J255" s="11">
        <v>1</v>
      </c>
      <c r="K255" s="11">
        <v>0.5</v>
      </c>
      <c r="L255" s="11">
        <v>0</v>
      </c>
    </row>
    <row r="256" spans="1:12" x14ac:dyDescent="0.25">
      <c r="A256" s="11" t="s">
        <v>144</v>
      </c>
      <c r="B256" s="11">
        <v>0</v>
      </c>
      <c r="C256" s="11">
        <v>0.25</v>
      </c>
      <c r="D256" s="11">
        <v>0</v>
      </c>
      <c r="E256" s="11">
        <v>0</v>
      </c>
      <c r="F256" s="11">
        <v>0</v>
      </c>
      <c r="G256" s="11">
        <v>0</v>
      </c>
      <c r="H256" s="11"/>
      <c r="I256" s="11"/>
      <c r="J256" s="11">
        <v>1</v>
      </c>
      <c r="K256" s="11">
        <v>0.5</v>
      </c>
      <c r="L256" s="11">
        <v>0</v>
      </c>
    </row>
    <row r="257" spans="1:12" x14ac:dyDescent="0.25">
      <c r="A257" s="11" t="s">
        <v>145</v>
      </c>
      <c r="B257" s="11">
        <v>0</v>
      </c>
      <c r="C257" s="11">
        <v>0.25</v>
      </c>
      <c r="D257" s="11">
        <v>0</v>
      </c>
      <c r="E257" s="11">
        <v>0</v>
      </c>
      <c r="F257" s="11">
        <v>4</v>
      </c>
      <c r="G257" s="11">
        <v>6</v>
      </c>
      <c r="H257" s="11"/>
      <c r="I257" s="11">
        <v>5</v>
      </c>
      <c r="J257" s="11">
        <v>1</v>
      </c>
      <c r="K257" s="11">
        <v>0.5</v>
      </c>
      <c r="L257" s="11">
        <v>0</v>
      </c>
    </row>
    <row r="258" spans="1:12" x14ac:dyDescent="0.25">
      <c r="A258" s="11" t="s">
        <v>146</v>
      </c>
      <c r="B258" s="11">
        <v>0</v>
      </c>
      <c r="C258" s="11">
        <v>0.25</v>
      </c>
      <c r="D258" s="11">
        <v>0</v>
      </c>
      <c r="E258" s="11">
        <v>0</v>
      </c>
      <c r="F258" s="11">
        <v>5</v>
      </c>
      <c r="G258" s="11">
        <v>8</v>
      </c>
      <c r="H258" s="11"/>
      <c r="I258" s="11">
        <v>4</v>
      </c>
      <c r="J258" s="11">
        <v>1</v>
      </c>
      <c r="K258" s="11">
        <v>0.5</v>
      </c>
      <c r="L258" s="11">
        <v>1</v>
      </c>
    </row>
    <row r="259" spans="1:12" x14ac:dyDescent="0.25">
      <c r="A259" s="11" t="s">
        <v>430</v>
      </c>
      <c r="B259" s="11">
        <v>0</v>
      </c>
      <c r="C259" s="11">
        <v>1</v>
      </c>
      <c r="D259" s="11">
        <v>0</v>
      </c>
      <c r="E259" s="11">
        <v>0</v>
      </c>
      <c r="F259" s="11">
        <v>0</v>
      </c>
      <c r="G259" s="11">
        <v>0</v>
      </c>
      <c r="H259" s="11"/>
      <c r="I259" s="11"/>
      <c r="J259" s="11">
        <v>1</v>
      </c>
      <c r="K259" s="11">
        <v>0.5</v>
      </c>
      <c r="L259" s="11">
        <v>0</v>
      </c>
    </row>
    <row r="260" spans="1:12" x14ac:dyDescent="0.25">
      <c r="A260" s="11" t="s">
        <v>147</v>
      </c>
      <c r="B260" s="11">
        <v>0</v>
      </c>
      <c r="C260" s="11">
        <v>1</v>
      </c>
      <c r="D260" s="11">
        <v>0</v>
      </c>
      <c r="E260" s="11">
        <v>0</v>
      </c>
      <c r="F260" s="11">
        <v>5</v>
      </c>
      <c r="G260" s="11">
        <v>3</v>
      </c>
      <c r="H260" s="11"/>
      <c r="I260" s="11">
        <v>5</v>
      </c>
      <c r="J260" s="11">
        <v>0.75</v>
      </c>
      <c r="K260" s="11">
        <v>0.5</v>
      </c>
      <c r="L260" s="11">
        <v>0</v>
      </c>
    </row>
    <row r="261" spans="1:12" x14ac:dyDescent="0.25">
      <c r="A261" s="11" t="s">
        <v>431</v>
      </c>
      <c r="B261" s="11">
        <v>0</v>
      </c>
      <c r="C261" s="11">
        <v>0.25</v>
      </c>
      <c r="D261" s="11">
        <v>0</v>
      </c>
      <c r="E261" s="11">
        <v>0</v>
      </c>
      <c r="F261" s="11">
        <v>3</v>
      </c>
      <c r="G261" s="11">
        <v>4</v>
      </c>
      <c r="H261" s="11"/>
      <c r="I261" s="11">
        <v>3</v>
      </c>
      <c r="J261" s="11">
        <v>0.75</v>
      </c>
      <c r="K261" s="11">
        <v>0.5</v>
      </c>
      <c r="L261" s="11">
        <v>0</v>
      </c>
    </row>
    <row r="262" spans="1:12" x14ac:dyDescent="0.25">
      <c r="A262" s="11" t="s">
        <v>432</v>
      </c>
      <c r="B262" s="11">
        <v>0</v>
      </c>
      <c r="C262" s="11">
        <v>1</v>
      </c>
      <c r="D262" s="11">
        <v>1</v>
      </c>
      <c r="E262" s="11">
        <v>0</v>
      </c>
      <c r="F262" s="11">
        <v>0</v>
      </c>
      <c r="G262" s="11">
        <v>0</v>
      </c>
      <c r="H262" s="11"/>
      <c r="I262" s="11">
        <v>3</v>
      </c>
      <c r="J262" s="11">
        <v>0.75</v>
      </c>
      <c r="K262" s="11">
        <v>0.5</v>
      </c>
      <c r="L262" s="11">
        <v>0</v>
      </c>
    </row>
    <row r="263" spans="1:12" x14ac:dyDescent="0.25">
      <c r="A263" s="11" t="s">
        <v>433</v>
      </c>
      <c r="B263" s="11">
        <v>0</v>
      </c>
      <c r="C263" s="11">
        <v>1</v>
      </c>
      <c r="D263" s="11">
        <v>0</v>
      </c>
      <c r="E263" s="11">
        <v>0</v>
      </c>
      <c r="F263" s="11">
        <v>6</v>
      </c>
      <c r="G263" s="11">
        <v>0</v>
      </c>
      <c r="H263" s="11"/>
      <c r="I263" s="11">
        <v>2</v>
      </c>
      <c r="J263" s="11">
        <v>0.5</v>
      </c>
      <c r="K263" s="11">
        <v>0.5</v>
      </c>
      <c r="L263" s="11">
        <v>0</v>
      </c>
    </row>
    <row r="264" spans="1:12" x14ac:dyDescent="0.25">
      <c r="A264" s="11" t="s">
        <v>434</v>
      </c>
      <c r="B264" s="11">
        <v>0</v>
      </c>
      <c r="C264" s="11">
        <v>1</v>
      </c>
      <c r="D264" s="11">
        <v>0</v>
      </c>
      <c r="E264" s="11">
        <v>0</v>
      </c>
      <c r="F264" s="11">
        <v>0</v>
      </c>
      <c r="G264" s="11">
        <v>0</v>
      </c>
      <c r="H264" s="11"/>
      <c r="I264" s="11"/>
      <c r="J264" s="11">
        <v>1</v>
      </c>
      <c r="K264" s="11">
        <v>0.5</v>
      </c>
      <c r="L264" s="11">
        <v>0</v>
      </c>
    </row>
    <row r="265" spans="1:12" x14ac:dyDescent="0.25">
      <c r="A265" s="11" t="s">
        <v>148</v>
      </c>
      <c r="B265" s="11">
        <v>0</v>
      </c>
      <c r="C265" s="11">
        <v>1</v>
      </c>
      <c r="D265" s="11">
        <v>0</v>
      </c>
      <c r="E265" s="11">
        <v>0</v>
      </c>
      <c r="F265" s="11">
        <v>2</v>
      </c>
      <c r="G265" s="11">
        <v>3</v>
      </c>
      <c r="H265" s="11"/>
      <c r="I265" s="11">
        <v>5</v>
      </c>
      <c r="J265" s="11">
        <v>1</v>
      </c>
      <c r="K265" s="11">
        <v>0.5</v>
      </c>
      <c r="L265" s="11">
        <v>0</v>
      </c>
    </row>
    <row r="266" spans="1:12" x14ac:dyDescent="0.25">
      <c r="A266" s="11" t="s">
        <v>38</v>
      </c>
      <c r="B266" s="11">
        <v>0</v>
      </c>
      <c r="C266" s="11">
        <v>0.25</v>
      </c>
      <c r="D266" s="11">
        <v>0</v>
      </c>
      <c r="E266" s="11">
        <v>0</v>
      </c>
      <c r="F266" s="11">
        <v>3</v>
      </c>
      <c r="G266" s="11">
        <v>10</v>
      </c>
      <c r="H266" s="11"/>
      <c r="I266" s="11">
        <v>4</v>
      </c>
      <c r="J266" s="11">
        <v>0.5</v>
      </c>
      <c r="K266" s="11">
        <v>0.5</v>
      </c>
      <c r="L266" s="11">
        <v>0</v>
      </c>
    </row>
    <row r="267" spans="1:12" x14ac:dyDescent="0.25">
      <c r="A267" s="11" t="s">
        <v>149</v>
      </c>
      <c r="B267" s="11">
        <v>0</v>
      </c>
      <c r="C267" s="11">
        <v>1</v>
      </c>
      <c r="D267" s="11">
        <v>0</v>
      </c>
      <c r="E267" s="11">
        <v>0</v>
      </c>
      <c r="F267" s="11">
        <v>2</v>
      </c>
      <c r="G267" s="11">
        <v>2</v>
      </c>
      <c r="H267" s="11"/>
      <c r="I267" s="11">
        <v>5</v>
      </c>
      <c r="J267" s="11">
        <v>1</v>
      </c>
      <c r="K267" s="11">
        <v>0.5</v>
      </c>
      <c r="L267" s="11">
        <v>0</v>
      </c>
    </row>
    <row r="268" spans="1:12" x14ac:dyDescent="0.25">
      <c r="A268" s="11" t="s">
        <v>435</v>
      </c>
      <c r="B268" s="11">
        <v>0</v>
      </c>
      <c r="C268" s="11">
        <v>1</v>
      </c>
      <c r="D268" s="11">
        <v>0</v>
      </c>
      <c r="E268" s="11">
        <v>0</v>
      </c>
      <c r="F268" s="11">
        <v>0</v>
      </c>
      <c r="G268" s="11">
        <v>0</v>
      </c>
      <c r="H268" s="11"/>
      <c r="I268" s="11"/>
      <c r="J268" s="11">
        <v>1</v>
      </c>
      <c r="K268" s="11">
        <v>0.5</v>
      </c>
      <c r="L268" s="11">
        <v>0</v>
      </c>
    </row>
    <row r="269" spans="1:12" x14ac:dyDescent="0.25">
      <c r="A269" s="11" t="s">
        <v>150</v>
      </c>
      <c r="B269" s="11">
        <v>0</v>
      </c>
      <c r="C269" s="11">
        <v>1</v>
      </c>
      <c r="D269" s="11">
        <v>0</v>
      </c>
      <c r="E269" s="11">
        <v>0</v>
      </c>
      <c r="F269" s="11">
        <v>3</v>
      </c>
      <c r="G269" s="11">
        <v>3</v>
      </c>
      <c r="H269" s="11"/>
      <c r="I269" s="11">
        <v>4</v>
      </c>
      <c r="J269" s="11">
        <v>1</v>
      </c>
      <c r="K269" s="11">
        <v>0.5</v>
      </c>
      <c r="L269" s="11">
        <v>0</v>
      </c>
    </row>
    <row r="270" spans="1:12" x14ac:dyDescent="0.25">
      <c r="A270" s="11" t="s">
        <v>436</v>
      </c>
      <c r="B270" s="11">
        <v>0</v>
      </c>
      <c r="C270" s="11">
        <v>1</v>
      </c>
      <c r="D270" s="11">
        <v>0</v>
      </c>
      <c r="E270" s="11">
        <v>0</v>
      </c>
      <c r="F270" s="11">
        <v>6</v>
      </c>
      <c r="G270" s="11">
        <v>0</v>
      </c>
      <c r="H270" s="11"/>
      <c r="I270" s="11">
        <v>2</v>
      </c>
      <c r="J270" s="11">
        <v>0.5</v>
      </c>
      <c r="K270" s="11">
        <v>0.5</v>
      </c>
      <c r="L270" s="11">
        <v>0</v>
      </c>
    </row>
    <row r="271" spans="1:12" x14ac:dyDescent="0.25">
      <c r="A271" s="11" t="s">
        <v>151</v>
      </c>
      <c r="B271" s="11">
        <v>0</v>
      </c>
      <c r="C271" s="11">
        <v>1</v>
      </c>
      <c r="D271" s="11">
        <v>0</v>
      </c>
      <c r="E271" s="11">
        <v>0</v>
      </c>
      <c r="F271" s="11">
        <v>3</v>
      </c>
      <c r="G271" s="11">
        <v>4</v>
      </c>
      <c r="H271" s="11"/>
      <c r="I271" s="11">
        <v>5</v>
      </c>
      <c r="J271" s="11">
        <v>0.5</v>
      </c>
      <c r="K271" s="11">
        <v>0.5</v>
      </c>
      <c r="L271" s="11">
        <v>0</v>
      </c>
    </row>
    <row r="272" spans="1:12" x14ac:dyDescent="0.25">
      <c r="A272" s="11" t="s">
        <v>437</v>
      </c>
      <c r="B272" s="11">
        <v>0</v>
      </c>
      <c r="C272" s="11">
        <v>1</v>
      </c>
      <c r="D272" s="11">
        <v>0</v>
      </c>
      <c r="E272" s="11">
        <v>0</v>
      </c>
      <c r="F272" s="11">
        <v>5</v>
      </c>
      <c r="G272" s="11">
        <v>10</v>
      </c>
      <c r="H272" s="11"/>
      <c r="I272" s="11">
        <v>3</v>
      </c>
      <c r="J272" s="11">
        <v>0.5</v>
      </c>
      <c r="K272" s="11">
        <v>0.5</v>
      </c>
      <c r="L272" s="11">
        <v>0</v>
      </c>
    </row>
    <row r="273" spans="1:12" x14ac:dyDescent="0.25">
      <c r="A273" s="11" t="s">
        <v>438</v>
      </c>
      <c r="B273" s="11">
        <v>0</v>
      </c>
      <c r="C273" s="11">
        <v>1</v>
      </c>
      <c r="D273" s="11">
        <v>0</v>
      </c>
      <c r="E273" s="11">
        <v>0</v>
      </c>
      <c r="F273" s="11">
        <v>3</v>
      </c>
      <c r="G273" s="11">
        <v>3</v>
      </c>
      <c r="H273" s="11"/>
      <c r="I273" s="11">
        <v>3</v>
      </c>
      <c r="J273" s="11">
        <v>0.75</v>
      </c>
      <c r="K273" s="11">
        <v>0.5</v>
      </c>
      <c r="L273" s="11">
        <v>0</v>
      </c>
    </row>
    <row r="274" spans="1:12" x14ac:dyDescent="0.25">
      <c r="A274" s="11" t="s">
        <v>152</v>
      </c>
      <c r="B274" s="11">
        <v>0</v>
      </c>
      <c r="C274" s="11">
        <v>1</v>
      </c>
      <c r="D274" s="11">
        <v>0</v>
      </c>
      <c r="E274" s="11">
        <v>0</v>
      </c>
      <c r="F274" s="11">
        <v>3</v>
      </c>
      <c r="G274" s="11">
        <v>4</v>
      </c>
      <c r="H274" s="11"/>
      <c r="I274" s="11">
        <v>5</v>
      </c>
      <c r="J274" s="11">
        <v>0.5</v>
      </c>
      <c r="K274" s="11">
        <v>0.5</v>
      </c>
      <c r="L274" s="11">
        <v>0</v>
      </c>
    </row>
    <row r="275" spans="1:12" x14ac:dyDescent="0.25">
      <c r="A275" s="11" t="s">
        <v>439</v>
      </c>
      <c r="B275" s="11">
        <v>0</v>
      </c>
      <c r="C275" s="11">
        <v>1</v>
      </c>
      <c r="D275" s="11">
        <v>0</v>
      </c>
      <c r="E275" s="11">
        <v>0</v>
      </c>
      <c r="F275" s="11">
        <v>0</v>
      </c>
      <c r="G275" s="11">
        <v>0</v>
      </c>
      <c r="H275" s="11"/>
      <c r="I275" s="11">
        <v>3</v>
      </c>
      <c r="J275" s="11">
        <v>0.5</v>
      </c>
      <c r="K275" s="11">
        <v>0.5</v>
      </c>
      <c r="L275" s="11">
        <v>0</v>
      </c>
    </row>
    <row r="276" spans="1:12" x14ac:dyDescent="0.25">
      <c r="A276" s="11" t="s">
        <v>440</v>
      </c>
      <c r="B276" s="11">
        <v>0</v>
      </c>
      <c r="C276" s="11">
        <v>1</v>
      </c>
      <c r="D276" s="11">
        <v>1</v>
      </c>
      <c r="E276" s="11">
        <v>0</v>
      </c>
      <c r="F276" s="11">
        <v>6</v>
      </c>
      <c r="G276" s="11">
        <v>13</v>
      </c>
      <c r="H276" s="11"/>
      <c r="I276" s="11">
        <v>4</v>
      </c>
      <c r="J276" s="11">
        <v>0.75</v>
      </c>
      <c r="K276" s="11">
        <v>0.5</v>
      </c>
      <c r="L276" s="11">
        <v>0</v>
      </c>
    </row>
    <row r="277" spans="1:12" x14ac:dyDescent="0.25">
      <c r="A277" s="11" t="s">
        <v>153</v>
      </c>
      <c r="B277" s="11">
        <v>0</v>
      </c>
      <c r="C277" s="11">
        <v>1</v>
      </c>
      <c r="D277" s="11">
        <v>0</v>
      </c>
      <c r="E277" s="11">
        <v>0</v>
      </c>
      <c r="F277" s="11">
        <v>3</v>
      </c>
      <c r="G277" s="11">
        <v>7</v>
      </c>
      <c r="H277" s="11">
        <v>2</v>
      </c>
      <c r="I277" s="11">
        <v>4</v>
      </c>
      <c r="J277" s="11">
        <v>0.5</v>
      </c>
      <c r="K277" s="11">
        <v>0.5</v>
      </c>
      <c r="L277" s="11">
        <v>0</v>
      </c>
    </row>
    <row r="278" spans="1:12" x14ac:dyDescent="0.25">
      <c r="A278" s="11" t="s">
        <v>441</v>
      </c>
      <c r="B278" s="11">
        <v>0</v>
      </c>
      <c r="C278" s="11">
        <v>1</v>
      </c>
      <c r="D278" s="11">
        <v>1</v>
      </c>
      <c r="E278" s="11">
        <v>0</v>
      </c>
      <c r="F278" s="11">
        <v>3</v>
      </c>
      <c r="G278" s="11">
        <v>2</v>
      </c>
      <c r="H278" s="11">
        <v>1</v>
      </c>
      <c r="I278" s="11">
        <v>3</v>
      </c>
      <c r="J278" s="11">
        <v>0.75</v>
      </c>
      <c r="K278" s="11">
        <v>1</v>
      </c>
      <c r="L278" s="11">
        <v>0</v>
      </c>
    </row>
    <row r="279" spans="1:12" x14ac:dyDescent="0.25">
      <c r="A279" s="11" t="s">
        <v>442</v>
      </c>
      <c r="B279" s="11">
        <v>0</v>
      </c>
      <c r="C279" s="11">
        <v>1</v>
      </c>
      <c r="D279" s="11">
        <v>1</v>
      </c>
      <c r="E279" s="11">
        <v>0</v>
      </c>
      <c r="F279" s="11">
        <v>2</v>
      </c>
      <c r="G279" s="11">
        <v>0</v>
      </c>
      <c r="H279" s="11"/>
      <c r="I279" s="11">
        <v>3</v>
      </c>
      <c r="J279" s="11">
        <v>0.75</v>
      </c>
      <c r="K279" s="11">
        <v>1</v>
      </c>
      <c r="L279" s="11">
        <v>0</v>
      </c>
    </row>
    <row r="280" spans="1:12" x14ac:dyDescent="0.25">
      <c r="A280" s="11" t="s">
        <v>154</v>
      </c>
      <c r="B280" s="11">
        <v>0</v>
      </c>
      <c r="C280" s="11">
        <v>1</v>
      </c>
      <c r="D280" s="11">
        <v>1</v>
      </c>
      <c r="E280" s="11">
        <v>0</v>
      </c>
      <c r="F280" s="11">
        <v>2</v>
      </c>
      <c r="G280" s="11">
        <v>2</v>
      </c>
      <c r="H280" s="11"/>
      <c r="I280" s="11">
        <v>2</v>
      </c>
      <c r="J280" s="11">
        <v>0.75</v>
      </c>
      <c r="K280" s="11">
        <v>1</v>
      </c>
      <c r="L280" s="11">
        <v>0</v>
      </c>
    </row>
    <row r="281" spans="1:12" x14ac:dyDescent="0.25">
      <c r="A281" s="11" t="s">
        <v>15</v>
      </c>
      <c r="B281" s="11">
        <v>0</v>
      </c>
      <c r="C281" s="11">
        <v>1</v>
      </c>
      <c r="D281" s="11">
        <v>1</v>
      </c>
      <c r="E281" s="11">
        <v>0</v>
      </c>
      <c r="F281" s="11">
        <v>1</v>
      </c>
      <c r="G281" s="11">
        <v>1</v>
      </c>
      <c r="H281" s="11"/>
      <c r="I281" s="11"/>
      <c r="J281" s="11">
        <v>0.75</v>
      </c>
      <c r="K281" s="11">
        <v>1</v>
      </c>
      <c r="L281" s="11">
        <v>0</v>
      </c>
    </row>
    <row r="282" spans="1:12" x14ac:dyDescent="0.25">
      <c r="A282" s="11" t="s">
        <v>443</v>
      </c>
      <c r="B282" s="11">
        <v>0</v>
      </c>
      <c r="C282" s="11">
        <v>1</v>
      </c>
      <c r="D282" s="11">
        <v>0</v>
      </c>
      <c r="E282" s="11">
        <v>0</v>
      </c>
      <c r="F282" s="11">
        <v>1</v>
      </c>
      <c r="G282" s="11">
        <v>0</v>
      </c>
      <c r="H282" s="11"/>
      <c r="I282" s="11"/>
      <c r="J282" s="11">
        <v>1</v>
      </c>
      <c r="K282" s="11">
        <v>0.5</v>
      </c>
      <c r="L282" s="11">
        <v>0</v>
      </c>
    </row>
    <row r="283" spans="1:12" x14ac:dyDescent="0.25">
      <c r="A283" s="11" t="s">
        <v>444</v>
      </c>
      <c r="B283" s="11">
        <v>1</v>
      </c>
      <c r="C283" s="11">
        <v>1</v>
      </c>
      <c r="D283" s="11">
        <v>0</v>
      </c>
      <c r="E283" s="11">
        <v>0</v>
      </c>
      <c r="F283" s="11">
        <v>2</v>
      </c>
      <c r="G283" s="11">
        <v>2</v>
      </c>
      <c r="H283" s="11"/>
      <c r="I283" s="11"/>
      <c r="J283" s="11">
        <v>0.75</v>
      </c>
      <c r="K283" s="11">
        <v>0.5</v>
      </c>
      <c r="L283" s="11">
        <v>0</v>
      </c>
    </row>
    <row r="284" spans="1:12" x14ac:dyDescent="0.25">
      <c r="A284" s="11" t="s">
        <v>636</v>
      </c>
      <c r="B284" s="11">
        <v>1</v>
      </c>
      <c r="C284" s="11">
        <v>0.25</v>
      </c>
      <c r="D284" s="11">
        <v>0</v>
      </c>
      <c r="E284" s="11">
        <v>0</v>
      </c>
      <c r="F284" s="11">
        <v>1</v>
      </c>
      <c r="G284" s="11">
        <v>1</v>
      </c>
      <c r="H284" s="11"/>
      <c r="I284" s="11"/>
      <c r="J284" s="11">
        <v>0.75</v>
      </c>
      <c r="K284" s="11">
        <v>0.5</v>
      </c>
      <c r="L284" s="11">
        <v>0</v>
      </c>
    </row>
    <row r="285" spans="1:12" x14ac:dyDescent="0.25">
      <c r="A285" s="11" t="s">
        <v>637</v>
      </c>
      <c r="B285" s="11">
        <v>1</v>
      </c>
      <c r="C285" s="11">
        <v>0.25</v>
      </c>
      <c r="D285" s="11">
        <v>0</v>
      </c>
      <c r="E285" s="11">
        <v>0</v>
      </c>
      <c r="F285" s="11">
        <v>1</v>
      </c>
      <c r="G285" s="11">
        <v>1</v>
      </c>
      <c r="H285" s="11"/>
      <c r="I285" s="11"/>
      <c r="J285" s="11">
        <v>0.75</v>
      </c>
      <c r="K285" s="11">
        <v>1</v>
      </c>
      <c r="L285" s="11">
        <v>0</v>
      </c>
    </row>
    <row r="286" spans="1:12" x14ac:dyDescent="0.25">
      <c r="A286" s="11" t="s">
        <v>445</v>
      </c>
      <c r="B286" s="11">
        <v>1</v>
      </c>
      <c r="C286" s="11">
        <v>1</v>
      </c>
      <c r="D286" s="11">
        <v>0</v>
      </c>
      <c r="E286" s="11">
        <v>0</v>
      </c>
      <c r="F286" s="11">
        <v>4</v>
      </c>
      <c r="G286" s="11">
        <v>6</v>
      </c>
      <c r="H286" s="11">
        <v>1</v>
      </c>
      <c r="I286" s="11"/>
      <c r="J286" s="11">
        <v>0.75</v>
      </c>
      <c r="K286" s="11">
        <v>1</v>
      </c>
      <c r="L286" s="11">
        <v>0</v>
      </c>
    </row>
    <row r="287" spans="1:12" x14ac:dyDescent="0.25">
      <c r="A287" s="11" t="s">
        <v>155</v>
      </c>
      <c r="B287" s="11">
        <v>1</v>
      </c>
      <c r="C287" s="11">
        <v>1</v>
      </c>
      <c r="D287" s="11">
        <v>0</v>
      </c>
      <c r="E287" s="11">
        <v>0</v>
      </c>
      <c r="F287" s="11">
        <v>4</v>
      </c>
      <c r="G287" s="11">
        <v>0</v>
      </c>
      <c r="H287" s="11">
        <v>1</v>
      </c>
      <c r="I287" s="11"/>
      <c r="J287" s="11">
        <v>0.5</v>
      </c>
      <c r="K287" s="11">
        <v>0.5</v>
      </c>
      <c r="L287" s="11">
        <v>0</v>
      </c>
    </row>
    <row r="288" spans="1:12" x14ac:dyDescent="0.25">
      <c r="A288" s="11" t="s">
        <v>156</v>
      </c>
      <c r="B288" s="11">
        <v>1</v>
      </c>
      <c r="C288" s="11">
        <v>1</v>
      </c>
      <c r="D288" s="11">
        <v>0</v>
      </c>
      <c r="E288" s="11">
        <v>0</v>
      </c>
      <c r="F288" s="11">
        <v>1</v>
      </c>
      <c r="G288" s="11">
        <v>1</v>
      </c>
      <c r="H288" s="11"/>
      <c r="I288" s="11"/>
      <c r="J288" s="11">
        <v>1</v>
      </c>
      <c r="K288" s="11">
        <v>1</v>
      </c>
      <c r="L288" s="11">
        <v>0</v>
      </c>
    </row>
    <row r="289" spans="1:12" x14ac:dyDescent="0.25">
      <c r="A289" s="11" t="s">
        <v>157</v>
      </c>
      <c r="B289" s="11">
        <v>1</v>
      </c>
      <c r="C289" s="11">
        <v>0.25</v>
      </c>
      <c r="D289" s="11">
        <v>0</v>
      </c>
      <c r="E289" s="11">
        <v>0</v>
      </c>
      <c r="F289" s="11">
        <v>1</v>
      </c>
      <c r="G289" s="11">
        <v>1</v>
      </c>
      <c r="H289" s="11"/>
      <c r="I289" s="11"/>
      <c r="J289" s="11">
        <v>0.5</v>
      </c>
      <c r="K289" s="11">
        <v>1</v>
      </c>
      <c r="L289" s="11">
        <v>0</v>
      </c>
    </row>
    <row r="290" spans="1:12" x14ac:dyDescent="0.25">
      <c r="A290" s="11" t="s">
        <v>446</v>
      </c>
      <c r="B290" s="11">
        <v>1</v>
      </c>
      <c r="C290" s="11">
        <v>1</v>
      </c>
      <c r="D290" s="11">
        <v>1</v>
      </c>
      <c r="E290" s="11">
        <v>0</v>
      </c>
      <c r="F290" s="11">
        <v>4</v>
      </c>
      <c r="G290" s="11">
        <v>4</v>
      </c>
      <c r="H290" s="11"/>
      <c r="I290" s="11">
        <v>4</v>
      </c>
      <c r="J290" s="11">
        <v>0.75</v>
      </c>
      <c r="K290" s="11">
        <v>1</v>
      </c>
      <c r="L290" s="11">
        <v>0</v>
      </c>
    </row>
    <row r="291" spans="1:12" x14ac:dyDescent="0.25">
      <c r="A291" s="11" t="s">
        <v>447</v>
      </c>
      <c r="B291" s="11">
        <v>1</v>
      </c>
      <c r="C291" s="11">
        <v>1</v>
      </c>
      <c r="D291" s="11">
        <v>1</v>
      </c>
      <c r="E291" s="11">
        <v>0</v>
      </c>
      <c r="F291" s="11">
        <v>1</v>
      </c>
      <c r="G291" s="11">
        <v>1</v>
      </c>
      <c r="H291" s="11"/>
      <c r="I291" s="11"/>
      <c r="J291" s="11">
        <v>0.75</v>
      </c>
      <c r="K291" s="11">
        <v>1</v>
      </c>
      <c r="L291" s="11">
        <v>0</v>
      </c>
    </row>
    <row r="292" spans="1:12" x14ac:dyDescent="0.25">
      <c r="A292" s="11" t="s">
        <v>12</v>
      </c>
      <c r="B292" s="11">
        <v>0</v>
      </c>
      <c r="C292" s="11">
        <v>1</v>
      </c>
      <c r="D292" s="11">
        <v>0</v>
      </c>
      <c r="E292" s="11">
        <v>0</v>
      </c>
      <c r="F292" s="11">
        <v>3</v>
      </c>
      <c r="G292" s="11">
        <v>5</v>
      </c>
      <c r="H292" s="11"/>
      <c r="I292" s="11"/>
      <c r="J292" s="11">
        <v>0.75</v>
      </c>
      <c r="K292" s="11">
        <v>1</v>
      </c>
      <c r="L292" s="11">
        <v>0</v>
      </c>
    </row>
    <row r="293" spans="1:12" x14ac:dyDescent="0.25">
      <c r="A293" s="11" t="s">
        <v>158</v>
      </c>
      <c r="B293" s="11">
        <v>0</v>
      </c>
      <c r="C293" s="11">
        <v>1</v>
      </c>
      <c r="D293" s="11">
        <v>0</v>
      </c>
      <c r="E293" s="11">
        <v>0</v>
      </c>
      <c r="F293" s="11">
        <v>2</v>
      </c>
      <c r="G293" s="11">
        <v>2</v>
      </c>
      <c r="H293" s="11"/>
      <c r="I293" s="11">
        <v>2</v>
      </c>
      <c r="J293" s="11">
        <v>1</v>
      </c>
      <c r="K293" s="11">
        <v>0.5</v>
      </c>
      <c r="L293" s="11">
        <v>0</v>
      </c>
    </row>
    <row r="294" spans="1:12" x14ac:dyDescent="0.25">
      <c r="A294" s="11" t="s">
        <v>448</v>
      </c>
      <c r="B294" s="11">
        <v>0</v>
      </c>
      <c r="C294" s="11">
        <v>1</v>
      </c>
      <c r="D294" s="11">
        <v>1</v>
      </c>
      <c r="E294" s="11">
        <v>0</v>
      </c>
      <c r="F294" s="11">
        <v>8</v>
      </c>
      <c r="G294" s="11">
        <v>0</v>
      </c>
      <c r="H294" s="11"/>
      <c r="I294" s="11">
        <v>2</v>
      </c>
      <c r="J294" s="11">
        <v>0.5</v>
      </c>
      <c r="K294" s="11">
        <v>1</v>
      </c>
      <c r="L294" s="11">
        <v>0</v>
      </c>
    </row>
    <row r="295" spans="1:12" x14ac:dyDescent="0.25">
      <c r="A295" s="11" t="s">
        <v>449</v>
      </c>
      <c r="B295" s="11">
        <v>0</v>
      </c>
      <c r="C295" s="11">
        <v>1</v>
      </c>
      <c r="D295" s="11">
        <v>1</v>
      </c>
      <c r="E295" s="11">
        <v>0</v>
      </c>
      <c r="F295" s="11">
        <v>8</v>
      </c>
      <c r="G295" s="11">
        <v>0</v>
      </c>
      <c r="H295" s="11"/>
      <c r="I295" s="11">
        <v>2</v>
      </c>
      <c r="J295" s="11">
        <v>0.5</v>
      </c>
      <c r="K295" s="11">
        <v>1</v>
      </c>
      <c r="L295" s="11">
        <v>0</v>
      </c>
    </row>
    <row r="296" spans="1:12" x14ac:dyDescent="0.25">
      <c r="A296" s="11" t="s">
        <v>638</v>
      </c>
      <c r="B296" s="11">
        <v>1</v>
      </c>
      <c r="C296" s="11">
        <v>0.25</v>
      </c>
      <c r="D296" s="11">
        <v>0</v>
      </c>
      <c r="E296" s="11">
        <v>0</v>
      </c>
      <c r="F296" s="11">
        <v>1</v>
      </c>
      <c r="G296" s="11">
        <v>1</v>
      </c>
      <c r="H296" s="11"/>
      <c r="I296" s="11"/>
      <c r="J296" s="11">
        <v>0.75</v>
      </c>
      <c r="K296" s="11">
        <v>1</v>
      </c>
      <c r="L296" s="11">
        <v>0</v>
      </c>
    </row>
    <row r="297" spans="1:12" x14ac:dyDescent="0.25">
      <c r="A297" s="11" t="s">
        <v>159</v>
      </c>
      <c r="B297" s="11">
        <v>1</v>
      </c>
      <c r="C297" s="11">
        <v>0.25</v>
      </c>
      <c r="D297" s="11">
        <v>0</v>
      </c>
      <c r="E297" s="11">
        <v>0</v>
      </c>
      <c r="F297" s="11">
        <v>1</v>
      </c>
      <c r="G297" s="11">
        <v>1</v>
      </c>
      <c r="H297" s="11"/>
      <c r="I297" s="11"/>
      <c r="J297" s="11">
        <v>0.5</v>
      </c>
      <c r="K297" s="11">
        <v>1</v>
      </c>
      <c r="L297" s="11">
        <v>0</v>
      </c>
    </row>
    <row r="298" spans="1:12" x14ac:dyDescent="0.25">
      <c r="A298" s="11" t="s">
        <v>160</v>
      </c>
      <c r="B298" s="11">
        <v>0</v>
      </c>
      <c r="C298" s="11">
        <v>1</v>
      </c>
      <c r="D298" s="11">
        <v>0</v>
      </c>
      <c r="E298" s="11">
        <v>0</v>
      </c>
      <c r="F298" s="11">
        <v>1</v>
      </c>
      <c r="G298" s="11">
        <v>0</v>
      </c>
      <c r="H298" s="11"/>
      <c r="I298" s="11"/>
      <c r="J298" s="11">
        <v>1</v>
      </c>
      <c r="K298" s="11">
        <v>1</v>
      </c>
      <c r="L298" s="11">
        <v>0</v>
      </c>
    </row>
    <row r="299" spans="1:12" x14ac:dyDescent="0.25">
      <c r="A299" s="11" t="s">
        <v>450</v>
      </c>
      <c r="B299" s="11">
        <v>1</v>
      </c>
      <c r="C299" s="11">
        <v>1</v>
      </c>
      <c r="D299" s="11">
        <v>0</v>
      </c>
      <c r="E299" s="11">
        <v>0</v>
      </c>
      <c r="F299" s="11">
        <v>0</v>
      </c>
      <c r="G299" s="11">
        <v>0</v>
      </c>
      <c r="H299" s="11"/>
      <c r="I299" s="11">
        <v>2</v>
      </c>
      <c r="J299" s="11">
        <v>1</v>
      </c>
      <c r="K299" s="11">
        <v>1</v>
      </c>
      <c r="L299" s="11">
        <v>0</v>
      </c>
    </row>
    <row r="300" spans="1:12" x14ac:dyDescent="0.25">
      <c r="A300" s="11" t="s">
        <v>451</v>
      </c>
      <c r="B300" s="11">
        <v>1</v>
      </c>
      <c r="C300" s="11">
        <v>1</v>
      </c>
      <c r="D300" s="11">
        <v>0</v>
      </c>
      <c r="E300" s="11">
        <v>0</v>
      </c>
      <c r="F300" s="11">
        <v>0</v>
      </c>
      <c r="G300" s="11">
        <v>0</v>
      </c>
      <c r="H300" s="11"/>
      <c r="I300" s="11">
        <v>3</v>
      </c>
      <c r="J300" s="11">
        <v>1</v>
      </c>
      <c r="K300" s="11">
        <v>1</v>
      </c>
      <c r="L300" s="11">
        <v>0</v>
      </c>
    </row>
    <row r="301" spans="1:12" x14ac:dyDescent="0.25">
      <c r="A301" s="11" t="s">
        <v>161</v>
      </c>
      <c r="B301" s="11">
        <v>1</v>
      </c>
      <c r="C301" s="11">
        <v>1</v>
      </c>
      <c r="D301" s="11">
        <v>0</v>
      </c>
      <c r="E301" s="11">
        <v>0</v>
      </c>
      <c r="F301" s="11">
        <v>1</v>
      </c>
      <c r="G301" s="11">
        <v>0</v>
      </c>
      <c r="H301" s="11"/>
      <c r="I301" s="11"/>
      <c r="J301" s="11">
        <v>1</v>
      </c>
      <c r="K301" s="11">
        <v>1</v>
      </c>
      <c r="L301" s="11">
        <v>0</v>
      </c>
    </row>
    <row r="302" spans="1:12" x14ac:dyDescent="0.25">
      <c r="A302" s="11" t="s">
        <v>5</v>
      </c>
      <c r="B302" s="11">
        <v>1</v>
      </c>
      <c r="C302" s="11">
        <v>1</v>
      </c>
      <c r="D302" s="11">
        <v>0</v>
      </c>
      <c r="E302" s="11">
        <v>0</v>
      </c>
      <c r="F302" s="11">
        <v>1</v>
      </c>
      <c r="G302" s="11">
        <v>1</v>
      </c>
      <c r="H302" s="11"/>
      <c r="I302" s="11"/>
      <c r="J302" s="11">
        <v>0.75</v>
      </c>
      <c r="K302" s="11">
        <v>1</v>
      </c>
      <c r="L302" s="11">
        <v>0</v>
      </c>
    </row>
    <row r="303" spans="1:12" x14ac:dyDescent="0.25">
      <c r="A303" s="11" t="s">
        <v>452</v>
      </c>
      <c r="B303" s="11">
        <v>0</v>
      </c>
      <c r="C303" s="11">
        <v>1</v>
      </c>
      <c r="D303" s="11">
        <v>1</v>
      </c>
      <c r="E303" s="11">
        <v>0</v>
      </c>
      <c r="F303" s="11">
        <v>3</v>
      </c>
      <c r="G303" s="11">
        <v>5</v>
      </c>
      <c r="H303" s="11"/>
      <c r="I303" s="11">
        <v>1</v>
      </c>
      <c r="J303" s="11">
        <v>0.75</v>
      </c>
      <c r="K303" s="11">
        <v>1</v>
      </c>
      <c r="L303" s="11">
        <v>0</v>
      </c>
    </row>
    <row r="304" spans="1:12" x14ac:dyDescent="0.25">
      <c r="A304" s="11" t="s">
        <v>162</v>
      </c>
      <c r="B304" s="11">
        <v>0</v>
      </c>
      <c r="C304" s="11">
        <v>1</v>
      </c>
      <c r="D304" s="11">
        <v>0</v>
      </c>
      <c r="E304" s="11">
        <v>0</v>
      </c>
      <c r="F304" s="11">
        <v>1</v>
      </c>
      <c r="G304" s="11">
        <v>0</v>
      </c>
      <c r="H304" s="11"/>
      <c r="I304" s="11"/>
      <c r="J304" s="11">
        <v>0.5</v>
      </c>
      <c r="K304" s="11">
        <v>1</v>
      </c>
      <c r="L304" s="11">
        <v>0</v>
      </c>
    </row>
    <row r="305" spans="1:12" x14ac:dyDescent="0.25">
      <c r="A305" s="11" t="s">
        <v>163</v>
      </c>
      <c r="B305" s="11">
        <v>0</v>
      </c>
      <c r="C305" s="11">
        <v>1</v>
      </c>
      <c r="D305" s="11">
        <v>0</v>
      </c>
      <c r="E305" s="11">
        <v>0</v>
      </c>
      <c r="F305" s="11">
        <v>1</v>
      </c>
      <c r="G305" s="11">
        <v>0</v>
      </c>
      <c r="H305" s="11"/>
      <c r="I305" s="11"/>
      <c r="J305" s="11">
        <v>0.5</v>
      </c>
      <c r="K305" s="11">
        <v>1</v>
      </c>
      <c r="L305" s="11">
        <v>0</v>
      </c>
    </row>
    <row r="306" spans="1:12" x14ac:dyDescent="0.25">
      <c r="A306" s="11" t="s">
        <v>164</v>
      </c>
      <c r="B306" s="11">
        <v>0</v>
      </c>
      <c r="C306" s="11">
        <v>1</v>
      </c>
      <c r="D306" s="11">
        <v>0</v>
      </c>
      <c r="E306" s="11">
        <v>0</v>
      </c>
      <c r="F306" s="11">
        <v>1</v>
      </c>
      <c r="G306" s="11">
        <v>1</v>
      </c>
      <c r="H306" s="11"/>
      <c r="I306" s="11"/>
      <c r="J306" s="11">
        <v>0.5</v>
      </c>
      <c r="K306" s="11">
        <v>1</v>
      </c>
      <c r="L306" s="11">
        <v>0</v>
      </c>
    </row>
    <row r="307" spans="1:12" x14ac:dyDescent="0.25">
      <c r="A307" s="11" t="s">
        <v>165</v>
      </c>
      <c r="B307" s="11">
        <v>0</v>
      </c>
      <c r="C307" s="11">
        <v>1</v>
      </c>
      <c r="D307" s="11">
        <v>0</v>
      </c>
      <c r="E307" s="11">
        <v>0</v>
      </c>
      <c r="F307" s="11">
        <v>1</v>
      </c>
      <c r="G307" s="11">
        <v>0</v>
      </c>
      <c r="H307" s="11"/>
      <c r="I307" s="11"/>
      <c r="J307" s="11">
        <v>0.5</v>
      </c>
      <c r="K307" s="11">
        <v>1</v>
      </c>
      <c r="L307" s="11">
        <v>0</v>
      </c>
    </row>
    <row r="308" spans="1:12" x14ac:dyDescent="0.25">
      <c r="A308" s="11" t="s">
        <v>166</v>
      </c>
      <c r="B308" s="11">
        <v>0</v>
      </c>
      <c r="C308" s="11">
        <v>1</v>
      </c>
      <c r="D308" s="11">
        <v>0</v>
      </c>
      <c r="E308" s="11">
        <v>0</v>
      </c>
      <c r="F308" s="11">
        <v>1</v>
      </c>
      <c r="G308" s="11">
        <v>1</v>
      </c>
      <c r="H308" s="11"/>
      <c r="I308" s="11"/>
      <c r="J308" s="11">
        <v>0.5</v>
      </c>
      <c r="K308" s="11">
        <v>1</v>
      </c>
      <c r="L308" s="11">
        <v>0</v>
      </c>
    </row>
    <row r="309" spans="1:12" x14ac:dyDescent="0.25">
      <c r="A309" s="11" t="s">
        <v>167</v>
      </c>
      <c r="B309" s="11">
        <v>0</v>
      </c>
      <c r="C309" s="11">
        <v>0.25</v>
      </c>
      <c r="D309" s="11">
        <v>0</v>
      </c>
      <c r="E309" s="11">
        <v>0</v>
      </c>
      <c r="F309" s="11">
        <v>1</v>
      </c>
      <c r="G309" s="11">
        <v>0</v>
      </c>
      <c r="H309" s="11"/>
      <c r="I309" s="11"/>
      <c r="J309" s="11">
        <v>0.5</v>
      </c>
      <c r="K309" s="11">
        <v>1</v>
      </c>
      <c r="L309" s="11">
        <v>0</v>
      </c>
    </row>
    <row r="310" spans="1:12" x14ac:dyDescent="0.25">
      <c r="A310" s="11" t="s">
        <v>453</v>
      </c>
      <c r="B310" s="11">
        <v>0</v>
      </c>
      <c r="C310" s="11">
        <v>1</v>
      </c>
      <c r="D310" s="11">
        <v>0</v>
      </c>
      <c r="E310" s="11">
        <v>0</v>
      </c>
      <c r="F310" s="11">
        <v>0</v>
      </c>
      <c r="G310" s="11">
        <v>0</v>
      </c>
      <c r="H310" s="11"/>
      <c r="I310" s="11"/>
      <c r="J310" s="11">
        <v>0.5</v>
      </c>
      <c r="K310" s="11">
        <v>1</v>
      </c>
      <c r="L310" s="11">
        <v>0</v>
      </c>
    </row>
    <row r="311" spans="1:12" x14ac:dyDescent="0.25">
      <c r="A311" s="11" t="s">
        <v>454</v>
      </c>
      <c r="B311" s="11">
        <v>0</v>
      </c>
      <c r="C311" s="11">
        <v>1</v>
      </c>
      <c r="D311" s="11">
        <v>1</v>
      </c>
      <c r="E311" s="11">
        <v>0</v>
      </c>
      <c r="F311" s="11">
        <v>2</v>
      </c>
      <c r="G311" s="11">
        <v>3</v>
      </c>
      <c r="H311" s="11"/>
      <c r="I311" s="11">
        <v>3</v>
      </c>
      <c r="J311" s="11">
        <v>0.75</v>
      </c>
      <c r="K311" s="11">
        <v>1</v>
      </c>
      <c r="L311" s="11">
        <v>0</v>
      </c>
    </row>
    <row r="312" spans="1:12" x14ac:dyDescent="0.25">
      <c r="A312" s="11" t="s">
        <v>24</v>
      </c>
      <c r="B312" s="11">
        <v>0</v>
      </c>
      <c r="C312" s="11">
        <v>1</v>
      </c>
      <c r="D312" s="11">
        <v>1</v>
      </c>
      <c r="E312" s="11">
        <v>0</v>
      </c>
      <c r="F312" s="11">
        <v>2</v>
      </c>
      <c r="G312" s="11">
        <v>4</v>
      </c>
      <c r="H312" s="11">
        <v>4</v>
      </c>
      <c r="I312" s="11"/>
      <c r="J312" s="11">
        <v>0.75</v>
      </c>
      <c r="K312" s="11">
        <v>1</v>
      </c>
      <c r="L312" s="11">
        <v>0</v>
      </c>
    </row>
    <row r="313" spans="1:12" x14ac:dyDescent="0.25">
      <c r="A313" s="11" t="s">
        <v>455</v>
      </c>
      <c r="B313" s="11">
        <v>0</v>
      </c>
      <c r="C313" s="11">
        <v>1</v>
      </c>
      <c r="D313" s="11">
        <v>1</v>
      </c>
      <c r="E313" s="11">
        <v>0</v>
      </c>
      <c r="F313" s="11">
        <v>2</v>
      </c>
      <c r="G313" s="11">
        <v>3</v>
      </c>
      <c r="H313" s="11"/>
      <c r="I313" s="11">
        <v>3</v>
      </c>
      <c r="J313" s="11">
        <v>0.75</v>
      </c>
      <c r="K313" s="11">
        <v>1</v>
      </c>
      <c r="L313" s="11">
        <v>0</v>
      </c>
    </row>
    <row r="314" spans="1:12" x14ac:dyDescent="0.25">
      <c r="A314" s="11" t="s">
        <v>456</v>
      </c>
      <c r="B314" s="11">
        <v>0</v>
      </c>
      <c r="C314" s="11">
        <v>1</v>
      </c>
      <c r="D314" s="11">
        <v>1</v>
      </c>
      <c r="E314" s="11">
        <v>0</v>
      </c>
      <c r="F314" s="11">
        <v>2</v>
      </c>
      <c r="G314" s="11">
        <v>4</v>
      </c>
      <c r="H314" s="11"/>
      <c r="I314" s="11">
        <v>3</v>
      </c>
      <c r="J314" s="11">
        <v>0.75</v>
      </c>
      <c r="K314" s="11">
        <v>1</v>
      </c>
      <c r="L314" s="11">
        <v>0</v>
      </c>
    </row>
    <row r="315" spans="1:12" x14ac:dyDescent="0.25">
      <c r="A315" s="11" t="s">
        <v>457</v>
      </c>
      <c r="B315" s="11">
        <v>0</v>
      </c>
      <c r="C315" s="11">
        <v>1</v>
      </c>
      <c r="D315" s="11">
        <v>1</v>
      </c>
      <c r="E315" s="11">
        <v>0</v>
      </c>
      <c r="F315" s="11">
        <v>3</v>
      </c>
      <c r="G315" s="11">
        <v>5</v>
      </c>
      <c r="H315" s="11"/>
      <c r="I315" s="11">
        <v>2</v>
      </c>
      <c r="J315" s="11">
        <v>0.75</v>
      </c>
      <c r="K315" s="11">
        <v>1</v>
      </c>
      <c r="L315" s="11">
        <v>0</v>
      </c>
    </row>
    <row r="316" spans="1:12" x14ac:dyDescent="0.25">
      <c r="A316" s="11" t="s">
        <v>13</v>
      </c>
      <c r="B316" s="11">
        <v>0</v>
      </c>
      <c r="C316" s="11">
        <v>1</v>
      </c>
      <c r="D316" s="11">
        <v>1</v>
      </c>
      <c r="E316" s="11">
        <v>0</v>
      </c>
      <c r="F316" s="11">
        <v>2</v>
      </c>
      <c r="G316" s="11">
        <v>5</v>
      </c>
      <c r="H316" s="11">
        <v>7</v>
      </c>
      <c r="I316" s="11"/>
      <c r="J316" s="11">
        <v>0.75</v>
      </c>
      <c r="K316" s="11">
        <v>1</v>
      </c>
      <c r="L316" s="11">
        <v>0</v>
      </c>
    </row>
    <row r="317" spans="1:12" x14ac:dyDescent="0.25">
      <c r="A317" s="11" t="s">
        <v>168</v>
      </c>
      <c r="B317" s="11">
        <v>0</v>
      </c>
      <c r="C317" s="11">
        <v>1</v>
      </c>
      <c r="D317" s="11">
        <v>0</v>
      </c>
      <c r="E317" s="11">
        <v>0</v>
      </c>
      <c r="F317" s="11">
        <v>1</v>
      </c>
      <c r="G317" s="11">
        <v>1</v>
      </c>
      <c r="H317" s="11"/>
      <c r="I317" s="11"/>
      <c r="J317" s="11">
        <v>0.75</v>
      </c>
      <c r="K317" s="11">
        <v>1</v>
      </c>
      <c r="L317" s="11">
        <v>0</v>
      </c>
    </row>
    <row r="318" spans="1:12" x14ac:dyDescent="0.25">
      <c r="A318" s="11" t="s">
        <v>458</v>
      </c>
      <c r="B318" s="11">
        <v>0</v>
      </c>
      <c r="C318" s="11">
        <v>0.25</v>
      </c>
      <c r="D318" s="11">
        <v>0</v>
      </c>
      <c r="E318" s="11">
        <v>0</v>
      </c>
      <c r="F318" s="11">
        <v>1</v>
      </c>
      <c r="G318" s="11">
        <v>1</v>
      </c>
      <c r="H318" s="11"/>
      <c r="I318" s="11"/>
      <c r="J318" s="11">
        <v>1</v>
      </c>
      <c r="K318" s="11">
        <v>1</v>
      </c>
      <c r="L318" s="11">
        <v>0</v>
      </c>
    </row>
    <row r="319" spans="1:12" x14ac:dyDescent="0.25">
      <c r="A319" s="11" t="s">
        <v>459</v>
      </c>
      <c r="B319" s="11">
        <v>0</v>
      </c>
      <c r="C319" s="11">
        <v>1</v>
      </c>
      <c r="D319" s="11">
        <v>1</v>
      </c>
      <c r="E319" s="11">
        <v>0</v>
      </c>
      <c r="F319" s="11">
        <v>2</v>
      </c>
      <c r="G319" s="11">
        <v>2</v>
      </c>
      <c r="H319" s="11"/>
      <c r="I319" s="11">
        <v>3</v>
      </c>
      <c r="J319" s="11">
        <v>0.5</v>
      </c>
      <c r="K319" s="11">
        <v>1</v>
      </c>
      <c r="L319" s="11">
        <v>0</v>
      </c>
    </row>
    <row r="320" spans="1:12" x14ac:dyDescent="0.25">
      <c r="A320" s="11" t="s">
        <v>460</v>
      </c>
      <c r="B320" s="11">
        <v>0</v>
      </c>
      <c r="C320" s="11">
        <v>0.25</v>
      </c>
      <c r="D320" s="11">
        <v>0</v>
      </c>
      <c r="E320" s="11">
        <v>0</v>
      </c>
      <c r="F320" s="11">
        <v>1</v>
      </c>
      <c r="G320" s="11">
        <v>1</v>
      </c>
      <c r="H320" s="11"/>
      <c r="I320" s="11"/>
      <c r="J320" s="11">
        <v>0.5</v>
      </c>
      <c r="K320" s="11">
        <v>1</v>
      </c>
      <c r="L320" s="11">
        <v>0</v>
      </c>
    </row>
    <row r="321" spans="1:12" x14ac:dyDescent="0.25">
      <c r="A321" s="11" t="s">
        <v>461</v>
      </c>
      <c r="B321" s="11">
        <v>0</v>
      </c>
      <c r="C321" s="11">
        <v>1</v>
      </c>
      <c r="D321" s="11">
        <v>0</v>
      </c>
      <c r="E321" s="11">
        <v>0</v>
      </c>
      <c r="F321" s="11">
        <v>0</v>
      </c>
      <c r="G321" s="11">
        <v>0</v>
      </c>
      <c r="H321" s="11"/>
      <c r="I321" s="11">
        <v>3</v>
      </c>
      <c r="J321" s="11">
        <v>0.5</v>
      </c>
      <c r="K321" s="11">
        <v>1</v>
      </c>
      <c r="L321" s="11">
        <v>0</v>
      </c>
    </row>
    <row r="322" spans="1:12" x14ac:dyDescent="0.25">
      <c r="A322" s="11" t="s">
        <v>462</v>
      </c>
      <c r="B322" s="11">
        <v>0</v>
      </c>
      <c r="C322" s="11">
        <v>0.25</v>
      </c>
      <c r="D322" s="11">
        <v>0</v>
      </c>
      <c r="E322" s="11">
        <v>0</v>
      </c>
      <c r="F322" s="11">
        <v>1</v>
      </c>
      <c r="G322" s="11">
        <v>1</v>
      </c>
      <c r="H322" s="11"/>
      <c r="I322" s="11">
        <v>3</v>
      </c>
      <c r="J322" s="11">
        <v>1</v>
      </c>
      <c r="K322" s="11">
        <v>0.5</v>
      </c>
      <c r="L322" s="11">
        <v>0</v>
      </c>
    </row>
    <row r="323" spans="1:12" x14ac:dyDescent="0.25">
      <c r="A323" s="11" t="s">
        <v>463</v>
      </c>
      <c r="B323" s="11">
        <v>0</v>
      </c>
      <c r="C323" s="11">
        <v>1</v>
      </c>
      <c r="D323" s="11">
        <v>0</v>
      </c>
      <c r="E323" s="11">
        <v>0</v>
      </c>
      <c r="F323" s="11">
        <v>5</v>
      </c>
      <c r="G323" s="11">
        <v>11</v>
      </c>
      <c r="H323" s="11"/>
      <c r="I323" s="11"/>
      <c r="J323" s="11">
        <v>0.75</v>
      </c>
      <c r="K323" s="11">
        <v>0.5</v>
      </c>
      <c r="L323" s="11">
        <v>0</v>
      </c>
    </row>
    <row r="324" spans="1:12" x14ac:dyDescent="0.25">
      <c r="A324" s="11" t="s">
        <v>464</v>
      </c>
      <c r="B324" s="11">
        <v>0</v>
      </c>
      <c r="C324" s="11">
        <v>1</v>
      </c>
      <c r="D324" s="11">
        <v>0</v>
      </c>
      <c r="E324" s="11">
        <v>0</v>
      </c>
      <c r="F324" s="11">
        <v>4</v>
      </c>
      <c r="G324" s="11">
        <v>10</v>
      </c>
      <c r="H324" s="11"/>
      <c r="I324" s="11">
        <v>4</v>
      </c>
      <c r="J324" s="11">
        <v>1</v>
      </c>
      <c r="K324" s="11">
        <v>0.5</v>
      </c>
      <c r="L324" s="11">
        <v>0</v>
      </c>
    </row>
    <row r="325" spans="1:12" x14ac:dyDescent="0.25">
      <c r="A325" s="11" t="s">
        <v>465</v>
      </c>
      <c r="B325" s="11">
        <v>0</v>
      </c>
      <c r="C325" s="11">
        <v>1</v>
      </c>
      <c r="D325" s="11">
        <v>0</v>
      </c>
      <c r="E325" s="11">
        <v>0</v>
      </c>
      <c r="F325" s="11">
        <v>6</v>
      </c>
      <c r="G325" s="11">
        <v>12</v>
      </c>
      <c r="H325" s="11"/>
      <c r="I325" s="11">
        <v>3</v>
      </c>
      <c r="J325" s="11">
        <v>0.75</v>
      </c>
      <c r="K325" s="11">
        <v>0.5</v>
      </c>
      <c r="L325" s="11">
        <v>0</v>
      </c>
    </row>
    <row r="326" spans="1:12" x14ac:dyDescent="0.25">
      <c r="A326" s="11" t="s">
        <v>466</v>
      </c>
      <c r="B326" s="11">
        <v>0</v>
      </c>
      <c r="C326" s="11">
        <v>1</v>
      </c>
      <c r="D326" s="11">
        <v>0</v>
      </c>
      <c r="E326" s="11">
        <v>0</v>
      </c>
      <c r="F326" s="11">
        <v>6</v>
      </c>
      <c r="G326" s="11">
        <v>13</v>
      </c>
      <c r="H326" s="11"/>
      <c r="I326" s="11">
        <v>5</v>
      </c>
      <c r="J326" s="11">
        <v>1</v>
      </c>
      <c r="K326" s="11">
        <v>0.5</v>
      </c>
      <c r="L326" s="11">
        <v>0</v>
      </c>
    </row>
    <row r="327" spans="1:12" x14ac:dyDescent="0.25">
      <c r="A327" s="11" t="s">
        <v>169</v>
      </c>
      <c r="B327" s="11">
        <v>0</v>
      </c>
      <c r="C327" s="11">
        <v>0.25</v>
      </c>
      <c r="D327" s="11">
        <v>0</v>
      </c>
      <c r="E327" s="11">
        <v>0</v>
      </c>
      <c r="F327" s="11">
        <v>4</v>
      </c>
      <c r="G327" s="11">
        <v>11</v>
      </c>
      <c r="H327" s="11"/>
      <c r="I327" s="11">
        <v>1</v>
      </c>
      <c r="J327" s="11">
        <v>0.5</v>
      </c>
      <c r="K327" s="11">
        <v>0.5</v>
      </c>
      <c r="L327" s="11">
        <v>0</v>
      </c>
    </row>
    <row r="328" spans="1:12" x14ac:dyDescent="0.25">
      <c r="A328" s="11" t="s">
        <v>170</v>
      </c>
      <c r="B328" s="11">
        <v>0</v>
      </c>
      <c r="C328" s="11">
        <v>1</v>
      </c>
      <c r="D328" s="11">
        <v>0</v>
      </c>
      <c r="E328" s="11">
        <v>0</v>
      </c>
      <c r="F328" s="11">
        <v>4</v>
      </c>
      <c r="G328" s="11">
        <v>11</v>
      </c>
      <c r="H328" s="11"/>
      <c r="I328" s="11">
        <v>4</v>
      </c>
      <c r="J328" s="11">
        <v>1</v>
      </c>
      <c r="K328" s="11">
        <v>0.5</v>
      </c>
      <c r="L328" s="11">
        <v>0</v>
      </c>
    </row>
    <row r="329" spans="1:12" x14ac:dyDescent="0.25">
      <c r="A329" s="11" t="s">
        <v>467</v>
      </c>
      <c r="B329" s="11">
        <v>0</v>
      </c>
      <c r="C329" s="11">
        <v>1</v>
      </c>
      <c r="D329" s="11">
        <v>0</v>
      </c>
      <c r="E329" s="11">
        <v>0</v>
      </c>
      <c r="F329" s="11">
        <v>1</v>
      </c>
      <c r="G329" s="11">
        <v>1</v>
      </c>
      <c r="H329" s="11"/>
      <c r="I329" s="11">
        <v>3</v>
      </c>
      <c r="J329" s="11">
        <v>1</v>
      </c>
      <c r="K329" s="11">
        <v>0.5</v>
      </c>
      <c r="L329" s="11">
        <v>0</v>
      </c>
    </row>
    <row r="330" spans="1:12" x14ac:dyDescent="0.25">
      <c r="A330" s="11" t="s">
        <v>468</v>
      </c>
      <c r="B330" s="11">
        <v>0</v>
      </c>
      <c r="C330" s="11">
        <v>0.25</v>
      </c>
      <c r="D330" s="11">
        <v>0</v>
      </c>
      <c r="E330" s="11">
        <v>0</v>
      </c>
      <c r="F330" s="11">
        <v>1</v>
      </c>
      <c r="G330" s="11">
        <v>1</v>
      </c>
      <c r="H330" s="11"/>
      <c r="I330" s="11">
        <v>3</v>
      </c>
      <c r="J330" s="11">
        <v>0.75</v>
      </c>
      <c r="K330" s="11">
        <v>0.5</v>
      </c>
      <c r="L330" s="11">
        <v>0</v>
      </c>
    </row>
    <row r="331" spans="1:12" x14ac:dyDescent="0.25">
      <c r="A331" s="11" t="s">
        <v>469</v>
      </c>
      <c r="B331" s="11">
        <v>0</v>
      </c>
      <c r="C331" s="11">
        <v>1</v>
      </c>
      <c r="D331" s="11">
        <v>0</v>
      </c>
      <c r="E331" s="11">
        <v>0</v>
      </c>
      <c r="F331" s="11">
        <v>0</v>
      </c>
      <c r="G331" s="11">
        <v>0</v>
      </c>
      <c r="H331" s="11"/>
      <c r="I331" s="11">
        <v>1</v>
      </c>
      <c r="J331" s="11">
        <v>0.5</v>
      </c>
      <c r="K331" s="11">
        <v>1</v>
      </c>
      <c r="L331" s="11">
        <v>0</v>
      </c>
    </row>
    <row r="332" spans="1:12" x14ac:dyDescent="0.25">
      <c r="A332" s="11" t="s">
        <v>470</v>
      </c>
      <c r="B332" s="11">
        <v>0</v>
      </c>
      <c r="C332" s="11">
        <v>1</v>
      </c>
      <c r="D332" s="11">
        <v>0</v>
      </c>
      <c r="E332" s="11">
        <v>0</v>
      </c>
      <c r="F332" s="11">
        <v>0</v>
      </c>
      <c r="G332" s="11">
        <v>0</v>
      </c>
      <c r="H332" s="11"/>
      <c r="I332" s="11"/>
      <c r="J332" s="11">
        <v>0.5</v>
      </c>
      <c r="K332" s="11">
        <v>1</v>
      </c>
      <c r="L332" s="11">
        <v>0</v>
      </c>
    </row>
    <row r="333" spans="1:12" x14ac:dyDescent="0.25">
      <c r="A333" s="11" t="s">
        <v>471</v>
      </c>
      <c r="B333" s="11">
        <v>0</v>
      </c>
      <c r="C333" s="11">
        <v>1</v>
      </c>
      <c r="D333" s="11">
        <v>0</v>
      </c>
      <c r="E333" s="11">
        <v>0</v>
      </c>
      <c r="F333" s="11">
        <v>0</v>
      </c>
      <c r="G333" s="11">
        <v>0</v>
      </c>
      <c r="H333" s="11"/>
      <c r="I333" s="11">
        <v>1</v>
      </c>
      <c r="J333" s="11">
        <v>0.5</v>
      </c>
      <c r="K333" s="11">
        <v>1</v>
      </c>
      <c r="L333" s="11">
        <v>0</v>
      </c>
    </row>
    <row r="334" spans="1:12" x14ac:dyDescent="0.25">
      <c r="A334" s="11" t="s">
        <v>472</v>
      </c>
      <c r="B334" s="11">
        <v>0</v>
      </c>
      <c r="C334" s="11">
        <v>1</v>
      </c>
      <c r="D334" s="11">
        <v>1</v>
      </c>
      <c r="E334" s="11">
        <v>0</v>
      </c>
      <c r="F334" s="11">
        <v>0</v>
      </c>
      <c r="G334" s="11">
        <v>0</v>
      </c>
      <c r="H334" s="11"/>
      <c r="I334" s="11"/>
      <c r="J334" s="11">
        <v>0.5</v>
      </c>
      <c r="K334" s="11">
        <v>1</v>
      </c>
      <c r="L334" s="11">
        <v>0</v>
      </c>
    </row>
    <row r="335" spans="1:12" x14ac:dyDescent="0.25">
      <c r="A335" s="11" t="s">
        <v>473</v>
      </c>
      <c r="B335" s="11">
        <v>0</v>
      </c>
      <c r="C335" s="11">
        <v>1</v>
      </c>
      <c r="D335" s="11">
        <v>1</v>
      </c>
      <c r="E335" s="11">
        <v>0</v>
      </c>
      <c r="F335" s="11">
        <v>2</v>
      </c>
      <c r="G335" s="11">
        <v>0</v>
      </c>
      <c r="H335" s="11"/>
      <c r="I335" s="11">
        <v>1</v>
      </c>
      <c r="J335" s="11">
        <v>0.5</v>
      </c>
      <c r="K335" s="11">
        <v>1</v>
      </c>
      <c r="L335" s="11">
        <v>0</v>
      </c>
    </row>
    <row r="336" spans="1:12" x14ac:dyDescent="0.25">
      <c r="A336" s="11" t="s">
        <v>474</v>
      </c>
      <c r="B336" s="11">
        <v>0</v>
      </c>
      <c r="C336" s="11">
        <v>1</v>
      </c>
      <c r="D336" s="11">
        <v>1</v>
      </c>
      <c r="E336" s="11">
        <v>1</v>
      </c>
      <c r="F336" s="11">
        <v>1</v>
      </c>
      <c r="G336" s="11">
        <v>1</v>
      </c>
      <c r="H336" s="11">
        <v>1</v>
      </c>
      <c r="I336" s="11">
        <v>3</v>
      </c>
      <c r="J336" s="11">
        <v>0.5</v>
      </c>
      <c r="K336" s="11">
        <v>1</v>
      </c>
      <c r="L336" s="11">
        <v>0</v>
      </c>
    </row>
    <row r="337" spans="1:12" x14ac:dyDescent="0.25">
      <c r="A337" s="11" t="s">
        <v>475</v>
      </c>
      <c r="B337" s="11">
        <v>0</v>
      </c>
      <c r="C337" s="11">
        <v>1</v>
      </c>
      <c r="D337" s="11">
        <v>0</v>
      </c>
      <c r="E337" s="11">
        <v>0</v>
      </c>
      <c r="F337" s="11">
        <v>2</v>
      </c>
      <c r="G337" s="11">
        <v>0</v>
      </c>
      <c r="H337" s="11"/>
      <c r="I337" s="11"/>
      <c r="J337" s="11">
        <v>0.5</v>
      </c>
      <c r="K337" s="11">
        <v>1</v>
      </c>
      <c r="L337" s="11">
        <v>0</v>
      </c>
    </row>
    <row r="338" spans="1:12" x14ac:dyDescent="0.25">
      <c r="A338" s="11" t="s">
        <v>476</v>
      </c>
      <c r="B338" s="11">
        <v>0</v>
      </c>
      <c r="C338" s="11">
        <v>1</v>
      </c>
      <c r="D338" s="11">
        <v>0</v>
      </c>
      <c r="E338" s="11">
        <v>0</v>
      </c>
      <c r="F338" s="11">
        <v>0</v>
      </c>
      <c r="G338" s="11">
        <v>0</v>
      </c>
      <c r="H338" s="11"/>
      <c r="I338" s="11"/>
      <c r="J338" s="11">
        <v>0.75</v>
      </c>
      <c r="K338" s="11">
        <v>1</v>
      </c>
      <c r="L338" s="11">
        <v>0</v>
      </c>
    </row>
    <row r="339" spans="1:12" x14ac:dyDescent="0.25">
      <c r="A339" s="11" t="s">
        <v>477</v>
      </c>
      <c r="B339" s="11">
        <v>0</v>
      </c>
      <c r="C339" s="11">
        <v>1</v>
      </c>
      <c r="D339" s="11">
        <v>0</v>
      </c>
      <c r="E339" s="11">
        <v>0</v>
      </c>
      <c r="F339" s="11">
        <v>3</v>
      </c>
      <c r="G339" s="11">
        <v>0</v>
      </c>
      <c r="H339" s="11"/>
      <c r="I339" s="11"/>
      <c r="J339" s="11">
        <v>0.5</v>
      </c>
      <c r="K339" s="11">
        <v>1</v>
      </c>
      <c r="L339" s="11">
        <v>0</v>
      </c>
    </row>
    <row r="340" spans="1:12" x14ac:dyDescent="0.25">
      <c r="A340" s="11" t="s">
        <v>478</v>
      </c>
      <c r="B340" s="11">
        <v>0</v>
      </c>
      <c r="C340" s="11">
        <v>1</v>
      </c>
      <c r="D340" s="11">
        <v>0</v>
      </c>
      <c r="E340" s="11">
        <v>0</v>
      </c>
      <c r="F340" s="11">
        <v>3</v>
      </c>
      <c r="G340" s="11">
        <v>0</v>
      </c>
      <c r="H340" s="11"/>
      <c r="I340" s="11">
        <v>1</v>
      </c>
      <c r="J340" s="11">
        <v>0.5</v>
      </c>
      <c r="K340" s="11">
        <v>1</v>
      </c>
      <c r="L340" s="11">
        <v>0</v>
      </c>
    </row>
    <row r="341" spans="1:12" x14ac:dyDescent="0.25">
      <c r="A341" s="11" t="s">
        <v>479</v>
      </c>
      <c r="B341" s="11">
        <v>0</v>
      </c>
      <c r="C341" s="11">
        <v>1</v>
      </c>
      <c r="D341" s="11">
        <v>0</v>
      </c>
      <c r="E341" s="11">
        <v>0</v>
      </c>
      <c r="F341" s="11">
        <v>5</v>
      </c>
      <c r="G341" s="11">
        <v>0</v>
      </c>
      <c r="H341" s="11"/>
      <c r="I341" s="11"/>
      <c r="J341" s="11">
        <v>0.5</v>
      </c>
      <c r="K341" s="11">
        <v>1</v>
      </c>
      <c r="L341" s="11">
        <v>0</v>
      </c>
    </row>
    <row r="342" spans="1:12" x14ac:dyDescent="0.25">
      <c r="A342" s="11" t="s">
        <v>480</v>
      </c>
      <c r="B342" s="11">
        <v>0</v>
      </c>
      <c r="C342" s="11">
        <v>1</v>
      </c>
      <c r="D342" s="11">
        <v>0</v>
      </c>
      <c r="E342" s="11">
        <v>0</v>
      </c>
      <c r="F342" s="11">
        <v>0</v>
      </c>
      <c r="G342" s="11">
        <v>0</v>
      </c>
      <c r="H342" s="11"/>
      <c r="I342" s="11">
        <v>2</v>
      </c>
      <c r="J342" s="11">
        <v>0.5</v>
      </c>
      <c r="K342" s="11">
        <v>0.5</v>
      </c>
      <c r="L342" s="11">
        <v>0</v>
      </c>
    </row>
    <row r="343" spans="1:12" x14ac:dyDescent="0.25">
      <c r="A343" s="11" t="s">
        <v>171</v>
      </c>
      <c r="B343" s="11">
        <v>0</v>
      </c>
      <c r="C343" s="11">
        <v>1</v>
      </c>
      <c r="D343" s="11">
        <v>0</v>
      </c>
      <c r="E343" s="11">
        <v>0</v>
      </c>
      <c r="F343" s="11">
        <v>2</v>
      </c>
      <c r="G343" s="11">
        <v>2</v>
      </c>
      <c r="H343" s="11"/>
      <c r="I343" s="11">
        <v>2</v>
      </c>
      <c r="J343" s="11">
        <v>0.5</v>
      </c>
      <c r="K343" s="11">
        <v>0.5</v>
      </c>
      <c r="L343" s="11">
        <v>0</v>
      </c>
    </row>
    <row r="344" spans="1:12" x14ac:dyDescent="0.25">
      <c r="A344" s="11" t="s">
        <v>481</v>
      </c>
      <c r="B344" s="11">
        <v>0</v>
      </c>
      <c r="C344" s="11">
        <v>1</v>
      </c>
      <c r="D344" s="11">
        <v>0</v>
      </c>
      <c r="E344" s="11">
        <v>0</v>
      </c>
      <c r="F344" s="11">
        <v>0</v>
      </c>
      <c r="G344" s="11">
        <v>0</v>
      </c>
      <c r="H344" s="11"/>
      <c r="I344" s="11"/>
      <c r="J344" s="11">
        <v>0.5</v>
      </c>
      <c r="K344" s="11">
        <v>1</v>
      </c>
      <c r="L344" s="11">
        <v>0</v>
      </c>
    </row>
    <row r="345" spans="1:12" x14ac:dyDescent="0.25">
      <c r="A345" s="11" t="s">
        <v>482</v>
      </c>
      <c r="B345" s="11">
        <v>0</v>
      </c>
      <c r="C345" s="11">
        <v>1</v>
      </c>
      <c r="D345" s="11">
        <v>0</v>
      </c>
      <c r="E345" s="11">
        <v>0</v>
      </c>
      <c r="F345" s="11">
        <v>0</v>
      </c>
      <c r="G345" s="11">
        <v>0</v>
      </c>
      <c r="H345" s="11"/>
      <c r="I345" s="11">
        <v>3</v>
      </c>
      <c r="J345" s="11">
        <v>0.5</v>
      </c>
      <c r="K345" s="11">
        <v>0.5</v>
      </c>
      <c r="L345" s="11">
        <v>0</v>
      </c>
    </row>
    <row r="346" spans="1:12" x14ac:dyDescent="0.25">
      <c r="A346" s="11" t="s">
        <v>483</v>
      </c>
      <c r="B346" s="11">
        <v>0</v>
      </c>
      <c r="C346" s="11">
        <v>1</v>
      </c>
      <c r="D346" s="11">
        <v>0</v>
      </c>
      <c r="E346" s="11">
        <v>0</v>
      </c>
      <c r="F346" s="11">
        <v>6</v>
      </c>
      <c r="G346" s="11">
        <v>19</v>
      </c>
      <c r="H346" s="11">
        <v>9</v>
      </c>
      <c r="I346" s="11">
        <v>5</v>
      </c>
      <c r="J346" s="11">
        <v>0.5</v>
      </c>
      <c r="K346" s="11">
        <v>0.5</v>
      </c>
      <c r="L346" s="11">
        <v>0</v>
      </c>
    </row>
    <row r="347" spans="1:12" x14ac:dyDescent="0.25">
      <c r="A347" s="11" t="s">
        <v>172</v>
      </c>
      <c r="B347" s="11">
        <v>0</v>
      </c>
      <c r="C347" s="11">
        <v>1</v>
      </c>
      <c r="D347" s="11">
        <v>0</v>
      </c>
      <c r="E347" s="11">
        <v>0</v>
      </c>
      <c r="F347" s="11">
        <v>6</v>
      </c>
      <c r="G347" s="11">
        <v>15</v>
      </c>
      <c r="H347" s="11"/>
      <c r="I347" s="11">
        <v>4</v>
      </c>
      <c r="J347" s="11">
        <v>0.5</v>
      </c>
      <c r="K347" s="11">
        <v>0.5</v>
      </c>
      <c r="L347" s="11">
        <v>0</v>
      </c>
    </row>
    <row r="348" spans="1:12" x14ac:dyDescent="0.25">
      <c r="A348" s="11" t="s">
        <v>173</v>
      </c>
      <c r="B348" s="11">
        <v>0</v>
      </c>
      <c r="C348" s="11">
        <v>1</v>
      </c>
      <c r="D348" s="11">
        <v>0</v>
      </c>
      <c r="E348" s="11">
        <v>0</v>
      </c>
      <c r="F348" s="11">
        <v>4</v>
      </c>
      <c r="G348" s="11">
        <v>12</v>
      </c>
      <c r="H348" s="11">
        <v>4</v>
      </c>
      <c r="I348" s="11">
        <v>5</v>
      </c>
      <c r="J348" s="11">
        <v>0.5</v>
      </c>
      <c r="K348" s="11">
        <v>0.5</v>
      </c>
      <c r="L348" s="11">
        <v>0</v>
      </c>
    </row>
    <row r="349" spans="1:12" x14ac:dyDescent="0.25">
      <c r="A349" s="11" t="s">
        <v>484</v>
      </c>
      <c r="B349" s="11">
        <v>0</v>
      </c>
      <c r="C349" s="11">
        <v>1</v>
      </c>
      <c r="D349" s="11">
        <v>0</v>
      </c>
      <c r="E349" s="11">
        <v>0</v>
      </c>
      <c r="F349" s="11">
        <v>1</v>
      </c>
      <c r="G349" s="11">
        <v>4</v>
      </c>
      <c r="H349" s="11"/>
      <c r="I349" s="11"/>
      <c r="J349" s="11">
        <v>0.5</v>
      </c>
      <c r="K349" s="11">
        <v>0.5</v>
      </c>
      <c r="L349" s="11">
        <v>0</v>
      </c>
    </row>
    <row r="350" spans="1:12" x14ac:dyDescent="0.25">
      <c r="A350" s="11" t="s">
        <v>485</v>
      </c>
      <c r="B350" s="11">
        <v>0</v>
      </c>
      <c r="C350" s="11">
        <v>0.25</v>
      </c>
      <c r="D350" s="11">
        <v>0</v>
      </c>
      <c r="E350" s="11">
        <v>0</v>
      </c>
      <c r="F350" s="11">
        <v>0</v>
      </c>
      <c r="G350" s="11">
        <v>0</v>
      </c>
      <c r="H350" s="11"/>
      <c r="I350" s="11">
        <v>1</v>
      </c>
      <c r="J350" s="11">
        <v>0.5</v>
      </c>
      <c r="K350" s="11">
        <v>0.5</v>
      </c>
      <c r="L350" s="11">
        <v>0</v>
      </c>
    </row>
    <row r="351" spans="1:12" x14ac:dyDescent="0.25">
      <c r="A351" s="11" t="s">
        <v>174</v>
      </c>
      <c r="B351" s="11">
        <v>0</v>
      </c>
      <c r="C351" s="11">
        <v>1</v>
      </c>
      <c r="D351" s="11">
        <v>0</v>
      </c>
      <c r="E351" s="11">
        <v>0</v>
      </c>
      <c r="F351" s="11">
        <v>6</v>
      </c>
      <c r="G351" s="11">
        <v>12</v>
      </c>
      <c r="H351" s="11"/>
      <c r="I351" s="11">
        <v>3</v>
      </c>
      <c r="J351" s="11">
        <v>0.5</v>
      </c>
      <c r="K351" s="11">
        <v>0.5</v>
      </c>
      <c r="L351" s="11">
        <v>0</v>
      </c>
    </row>
    <row r="352" spans="1:12" x14ac:dyDescent="0.25">
      <c r="A352" s="11" t="s">
        <v>175</v>
      </c>
      <c r="B352" s="11">
        <v>0</v>
      </c>
      <c r="C352" s="11">
        <v>1</v>
      </c>
      <c r="D352" s="11">
        <v>0</v>
      </c>
      <c r="E352" s="11">
        <v>0</v>
      </c>
      <c r="F352" s="11">
        <v>6</v>
      </c>
      <c r="G352" s="11">
        <v>14</v>
      </c>
      <c r="H352" s="11"/>
      <c r="I352" s="11">
        <v>2</v>
      </c>
      <c r="J352" s="11">
        <v>0.5</v>
      </c>
      <c r="K352" s="11">
        <v>0.5</v>
      </c>
      <c r="L352" s="11">
        <v>0</v>
      </c>
    </row>
    <row r="353" spans="1:12" x14ac:dyDescent="0.25">
      <c r="A353" s="11" t="s">
        <v>176</v>
      </c>
      <c r="B353" s="11">
        <v>0</v>
      </c>
      <c r="C353" s="11">
        <v>1</v>
      </c>
      <c r="D353" s="11">
        <v>0</v>
      </c>
      <c r="E353" s="11">
        <v>0</v>
      </c>
      <c r="F353" s="11">
        <v>2</v>
      </c>
      <c r="G353" s="11">
        <v>0</v>
      </c>
      <c r="H353" s="11"/>
      <c r="I353" s="11"/>
      <c r="J353" s="11">
        <v>0.5</v>
      </c>
      <c r="K353" s="11">
        <v>0.5</v>
      </c>
      <c r="L353" s="11">
        <v>0</v>
      </c>
    </row>
    <row r="354" spans="1:12" x14ac:dyDescent="0.25">
      <c r="A354" s="11" t="s">
        <v>486</v>
      </c>
      <c r="B354" s="11">
        <v>0</v>
      </c>
      <c r="C354" s="11">
        <v>1</v>
      </c>
      <c r="D354" s="11">
        <v>0</v>
      </c>
      <c r="E354" s="11">
        <v>0</v>
      </c>
      <c r="F354" s="11">
        <v>6</v>
      </c>
      <c r="G354" s="11">
        <v>13</v>
      </c>
      <c r="H354" s="11"/>
      <c r="I354" s="11">
        <v>3</v>
      </c>
      <c r="J354" s="11">
        <v>0.75</v>
      </c>
      <c r="K354" s="11">
        <v>0.5</v>
      </c>
      <c r="L354" s="11">
        <v>0</v>
      </c>
    </row>
    <row r="355" spans="1:12" x14ac:dyDescent="0.25">
      <c r="A355" s="11" t="s">
        <v>487</v>
      </c>
      <c r="B355" s="11">
        <v>0</v>
      </c>
      <c r="C355" s="11">
        <v>1</v>
      </c>
      <c r="D355" s="11">
        <v>1</v>
      </c>
      <c r="E355" s="11">
        <v>0</v>
      </c>
      <c r="F355" s="11">
        <v>6</v>
      </c>
      <c r="G355" s="11">
        <v>12</v>
      </c>
      <c r="H355" s="11"/>
      <c r="I355" s="11">
        <v>2</v>
      </c>
      <c r="J355" s="11">
        <v>0.5</v>
      </c>
      <c r="K355" s="11">
        <v>0.5</v>
      </c>
      <c r="L355" s="11">
        <v>0</v>
      </c>
    </row>
    <row r="356" spans="1:12" x14ac:dyDescent="0.25">
      <c r="A356" s="11" t="s">
        <v>488</v>
      </c>
      <c r="B356" s="11">
        <v>0</v>
      </c>
      <c r="C356" s="11">
        <v>1</v>
      </c>
      <c r="D356" s="11">
        <v>0</v>
      </c>
      <c r="E356" s="11">
        <v>0</v>
      </c>
      <c r="F356" s="11">
        <v>0</v>
      </c>
      <c r="G356" s="11">
        <v>0</v>
      </c>
      <c r="H356" s="11"/>
      <c r="I356" s="11"/>
      <c r="J356" s="11">
        <v>0.5</v>
      </c>
      <c r="K356" s="11">
        <v>1</v>
      </c>
      <c r="L356" s="11">
        <v>0</v>
      </c>
    </row>
    <row r="357" spans="1:12" x14ac:dyDescent="0.25">
      <c r="A357" s="11" t="s">
        <v>489</v>
      </c>
      <c r="B357" s="11">
        <v>0</v>
      </c>
      <c r="C357" s="11">
        <v>1</v>
      </c>
      <c r="D357" s="11">
        <v>1</v>
      </c>
      <c r="E357" s="11">
        <v>0</v>
      </c>
      <c r="F357" s="11">
        <v>0</v>
      </c>
      <c r="G357" s="11">
        <v>0</v>
      </c>
      <c r="H357" s="11"/>
      <c r="I357" s="11"/>
      <c r="J357" s="11">
        <v>0.5</v>
      </c>
      <c r="K357" s="11">
        <v>0.5</v>
      </c>
      <c r="L357" s="11">
        <v>0</v>
      </c>
    </row>
    <row r="358" spans="1:12" x14ac:dyDescent="0.25">
      <c r="A358" s="11" t="s">
        <v>177</v>
      </c>
      <c r="B358" s="11">
        <v>0</v>
      </c>
      <c r="C358" s="11">
        <v>1</v>
      </c>
      <c r="D358" s="11">
        <v>0</v>
      </c>
      <c r="E358" s="11">
        <v>0</v>
      </c>
      <c r="F358" s="11">
        <v>2</v>
      </c>
      <c r="G358" s="11">
        <v>0</v>
      </c>
      <c r="H358" s="11"/>
      <c r="I358" s="11"/>
      <c r="J358" s="11">
        <v>0.5</v>
      </c>
      <c r="K358" s="11">
        <v>0.5</v>
      </c>
      <c r="L358" s="11">
        <v>0</v>
      </c>
    </row>
    <row r="359" spans="1:12" x14ac:dyDescent="0.25">
      <c r="A359" s="11" t="s">
        <v>490</v>
      </c>
      <c r="B359" s="11">
        <v>0</v>
      </c>
      <c r="C359" s="11">
        <v>1</v>
      </c>
      <c r="D359" s="11">
        <v>0</v>
      </c>
      <c r="E359" s="11">
        <v>0</v>
      </c>
      <c r="F359" s="11">
        <v>2</v>
      </c>
      <c r="G359" s="11">
        <v>0</v>
      </c>
      <c r="H359" s="11"/>
      <c r="I359" s="11"/>
      <c r="J359" s="11">
        <v>0.5</v>
      </c>
      <c r="K359" s="11">
        <v>0.5</v>
      </c>
      <c r="L359" s="11">
        <v>0</v>
      </c>
    </row>
    <row r="360" spans="1:12" x14ac:dyDescent="0.25">
      <c r="A360" s="11" t="s">
        <v>491</v>
      </c>
      <c r="B360" s="11">
        <v>0</v>
      </c>
      <c r="C360" s="11">
        <v>1</v>
      </c>
      <c r="D360" s="11">
        <v>0</v>
      </c>
      <c r="E360" s="11">
        <v>0</v>
      </c>
      <c r="F360" s="11">
        <v>0</v>
      </c>
      <c r="G360" s="11">
        <v>0</v>
      </c>
      <c r="H360" s="11">
        <v>1</v>
      </c>
      <c r="I360" s="11">
        <v>2</v>
      </c>
      <c r="J360" s="11">
        <v>0.5</v>
      </c>
      <c r="K360" s="11">
        <v>0.5</v>
      </c>
      <c r="L360" s="11">
        <v>0</v>
      </c>
    </row>
    <row r="361" spans="1:12" x14ac:dyDescent="0.25">
      <c r="A361" s="11" t="s">
        <v>492</v>
      </c>
      <c r="B361" s="11">
        <v>0</v>
      </c>
      <c r="C361" s="11">
        <v>1</v>
      </c>
      <c r="D361" s="11">
        <v>0</v>
      </c>
      <c r="E361" s="11">
        <v>0</v>
      </c>
      <c r="F361" s="11">
        <v>1</v>
      </c>
      <c r="G361" s="11">
        <v>0</v>
      </c>
      <c r="H361" s="11"/>
      <c r="I361" s="11"/>
      <c r="J361" s="11">
        <v>0.5</v>
      </c>
      <c r="K361" s="11">
        <v>0.5</v>
      </c>
      <c r="L361" s="11">
        <v>0</v>
      </c>
    </row>
    <row r="362" spans="1:12" x14ac:dyDescent="0.25">
      <c r="A362" s="11" t="s">
        <v>178</v>
      </c>
      <c r="B362" s="11">
        <v>0</v>
      </c>
      <c r="C362" s="11">
        <v>1</v>
      </c>
      <c r="D362" s="11">
        <v>0</v>
      </c>
      <c r="E362" s="11">
        <v>0</v>
      </c>
      <c r="F362" s="11">
        <v>3</v>
      </c>
      <c r="G362" s="11">
        <v>4</v>
      </c>
      <c r="H362" s="11"/>
      <c r="I362" s="11">
        <v>2</v>
      </c>
      <c r="J362" s="11">
        <v>0.5</v>
      </c>
      <c r="K362" s="11">
        <v>0.5</v>
      </c>
      <c r="L362" s="11">
        <v>0</v>
      </c>
    </row>
    <row r="363" spans="1:12" x14ac:dyDescent="0.25">
      <c r="A363" s="11" t="s">
        <v>493</v>
      </c>
      <c r="B363" s="11">
        <v>0</v>
      </c>
      <c r="C363" s="11">
        <v>1</v>
      </c>
      <c r="D363" s="11">
        <v>0</v>
      </c>
      <c r="E363" s="11">
        <v>0</v>
      </c>
      <c r="F363" s="11">
        <v>5</v>
      </c>
      <c r="G363" s="11">
        <v>0</v>
      </c>
      <c r="H363" s="11"/>
      <c r="I363" s="11"/>
      <c r="J363" s="11">
        <v>0.5</v>
      </c>
      <c r="K363" s="11">
        <v>1</v>
      </c>
      <c r="L363" s="11">
        <v>0</v>
      </c>
    </row>
    <row r="364" spans="1:12" x14ac:dyDescent="0.25">
      <c r="A364" s="11" t="s">
        <v>494</v>
      </c>
      <c r="B364" s="11">
        <v>0</v>
      </c>
      <c r="C364" s="11">
        <v>1</v>
      </c>
      <c r="D364" s="11">
        <v>0</v>
      </c>
      <c r="E364" s="11">
        <v>0</v>
      </c>
      <c r="F364" s="11">
        <v>6</v>
      </c>
      <c r="G364" s="11">
        <v>0</v>
      </c>
      <c r="H364" s="11"/>
      <c r="I364" s="11"/>
      <c r="J364" s="11">
        <v>0.5</v>
      </c>
      <c r="K364" s="11">
        <v>0.5</v>
      </c>
      <c r="L364" s="11">
        <v>0</v>
      </c>
    </row>
    <row r="365" spans="1:12" x14ac:dyDescent="0.25">
      <c r="A365" s="11" t="s">
        <v>495</v>
      </c>
      <c r="B365" s="11">
        <v>0</v>
      </c>
      <c r="C365" s="11">
        <v>1</v>
      </c>
      <c r="D365" s="11">
        <v>0</v>
      </c>
      <c r="E365" s="11">
        <v>0</v>
      </c>
      <c r="F365" s="11">
        <v>2</v>
      </c>
      <c r="G365" s="11">
        <v>0</v>
      </c>
      <c r="H365" s="11"/>
      <c r="I365" s="11"/>
      <c r="J365" s="11">
        <v>0.5</v>
      </c>
      <c r="K365" s="11">
        <v>0.5</v>
      </c>
      <c r="L365" s="11">
        <v>0</v>
      </c>
    </row>
    <row r="366" spans="1:12" x14ac:dyDescent="0.25">
      <c r="A366" s="11" t="s">
        <v>496</v>
      </c>
      <c r="B366" s="11">
        <v>0</v>
      </c>
      <c r="C366" s="11">
        <v>1</v>
      </c>
      <c r="D366" s="11">
        <v>0</v>
      </c>
      <c r="E366" s="11">
        <v>0</v>
      </c>
      <c r="F366" s="11">
        <v>4</v>
      </c>
      <c r="G366" s="11">
        <v>0</v>
      </c>
      <c r="H366" s="11"/>
      <c r="I366" s="11"/>
      <c r="J366" s="11">
        <v>0.5</v>
      </c>
      <c r="K366" s="11">
        <v>0.5</v>
      </c>
      <c r="L366" s="11">
        <v>0</v>
      </c>
    </row>
    <row r="367" spans="1:12" x14ac:dyDescent="0.25">
      <c r="A367" s="11" t="s">
        <v>497</v>
      </c>
      <c r="B367" s="11">
        <v>0</v>
      </c>
      <c r="C367" s="11">
        <v>1</v>
      </c>
      <c r="D367" s="11">
        <v>1</v>
      </c>
      <c r="E367" s="11">
        <v>0</v>
      </c>
      <c r="F367" s="11">
        <v>5</v>
      </c>
      <c r="G367" s="11">
        <v>10</v>
      </c>
      <c r="H367" s="11"/>
      <c r="I367" s="11">
        <v>2</v>
      </c>
      <c r="J367" s="11">
        <v>0.5</v>
      </c>
      <c r="K367" s="11">
        <v>0.5</v>
      </c>
      <c r="L367" s="11">
        <v>0</v>
      </c>
    </row>
    <row r="368" spans="1:12" x14ac:dyDescent="0.25">
      <c r="A368" s="11" t="s">
        <v>498</v>
      </c>
      <c r="B368" s="11">
        <v>0</v>
      </c>
      <c r="C368" s="11">
        <v>1</v>
      </c>
      <c r="D368" s="11">
        <v>1</v>
      </c>
      <c r="E368" s="11">
        <v>0</v>
      </c>
      <c r="F368" s="11">
        <v>2</v>
      </c>
      <c r="G368" s="11">
        <v>5</v>
      </c>
      <c r="H368" s="11"/>
      <c r="I368" s="11"/>
      <c r="J368" s="11">
        <v>0.5</v>
      </c>
      <c r="K368" s="11">
        <v>0.5</v>
      </c>
      <c r="L368" s="11">
        <v>0</v>
      </c>
    </row>
    <row r="369" spans="1:12" x14ac:dyDescent="0.25">
      <c r="A369" s="11" t="s">
        <v>179</v>
      </c>
      <c r="B369" s="11">
        <v>0</v>
      </c>
      <c r="C369" s="11">
        <v>1</v>
      </c>
      <c r="D369" s="11">
        <v>1</v>
      </c>
      <c r="E369" s="11">
        <v>0</v>
      </c>
      <c r="F369" s="11">
        <v>3</v>
      </c>
      <c r="G369" s="11">
        <v>2</v>
      </c>
      <c r="H369" s="11"/>
      <c r="I369" s="11">
        <v>2</v>
      </c>
      <c r="J369" s="11">
        <v>0.5</v>
      </c>
      <c r="K369" s="11">
        <v>0.5</v>
      </c>
      <c r="L369" s="11">
        <v>1</v>
      </c>
    </row>
    <row r="370" spans="1:12" x14ac:dyDescent="0.25">
      <c r="A370" s="11" t="s">
        <v>180</v>
      </c>
      <c r="B370" s="11">
        <v>0</v>
      </c>
      <c r="C370" s="11">
        <v>1</v>
      </c>
      <c r="D370" s="11">
        <v>1</v>
      </c>
      <c r="E370" s="11">
        <v>0</v>
      </c>
      <c r="F370" s="11">
        <v>3</v>
      </c>
      <c r="G370" s="11">
        <v>3</v>
      </c>
      <c r="H370" s="11"/>
      <c r="I370" s="11">
        <v>3</v>
      </c>
      <c r="J370" s="11">
        <v>0.5</v>
      </c>
      <c r="K370" s="11">
        <v>0.5</v>
      </c>
      <c r="L370" s="11">
        <v>1</v>
      </c>
    </row>
    <row r="371" spans="1:12" x14ac:dyDescent="0.25">
      <c r="A371" s="11" t="s">
        <v>499</v>
      </c>
      <c r="B371" s="11">
        <v>0</v>
      </c>
      <c r="C371" s="11">
        <v>1</v>
      </c>
      <c r="D371" s="11">
        <v>1</v>
      </c>
      <c r="E371" s="11">
        <v>0</v>
      </c>
      <c r="F371" s="11">
        <v>3</v>
      </c>
      <c r="G371" s="11">
        <v>4</v>
      </c>
      <c r="H371" s="11"/>
      <c r="I371" s="11">
        <v>1</v>
      </c>
      <c r="J371" s="11">
        <v>0.5</v>
      </c>
      <c r="K371" s="11">
        <v>0.5</v>
      </c>
      <c r="L371" s="11">
        <v>0</v>
      </c>
    </row>
    <row r="372" spans="1:12" x14ac:dyDescent="0.25">
      <c r="A372" s="11" t="s">
        <v>500</v>
      </c>
      <c r="B372" s="11">
        <v>0</v>
      </c>
      <c r="C372" s="11">
        <v>1</v>
      </c>
      <c r="D372" s="11">
        <v>1</v>
      </c>
      <c r="E372" s="11">
        <v>0</v>
      </c>
      <c r="F372" s="11">
        <v>2</v>
      </c>
      <c r="G372" s="11">
        <v>0</v>
      </c>
      <c r="H372" s="11"/>
      <c r="I372" s="11"/>
      <c r="J372" s="11">
        <v>0.5</v>
      </c>
      <c r="K372" s="11">
        <v>0.5</v>
      </c>
      <c r="L372" s="11">
        <v>0</v>
      </c>
    </row>
    <row r="373" spans="1:12" x14ac:dyDescent="0.25">
      <c r="A373" s="11" t="s">
        <v>501</v>
      </c>
      <c r="B373" s="11">
        <v>0</v>
      </c>
      <c r="C373" s="11">
        <v>1</v>
      </c>
      <c r="D373" s="11">
        <v>0</v>
      </c>
      <c r="E373" s="11">
        <v>0</v>
      </c>
      <c r="F373" s="11">
        <v>5</v>
      </c>
      <c r="G373" s="11">
        <v>7</v>
      </c>
      <c r="H373" s="11">
        <v>5</v>
      </c>
      <c r="I373" s="11">
        <v>3</v>
      </c>
      <c r="J373" s="11">
        <v>0.5</v>
      </c>
      <c r="K373" s="11">
        <v>0.5</v>
      </c>
      <c r="L373" s="11">
        <v>0</v>
      </c>
    </row>
    <row r="374" spans="1:12" x14ac:dyDescent="0.25">
      <c r="A374" s="11" t="s">
        <v>502</v>
      </c>
      <c r="B374" s="11">
        <v>0</v>
      </c>
      <c r="C374" s="11">
        <v>1</v>
      </c>
      <c r="D374" s="11">
        <v>0</v>
      </c>
      <c r="E374" s="11">
        <v>0</v>
      </c>
      <c r="F374" s="11">
        <v>4</v>
      </c>
      <c r="G374" s="11">
        <v>6</v>
      </c>
      <c r="H374" s="11"/>
      <c r="I374" s="11">
        <v>1</v>
      </c>
      <c r="J374" s="11">
        <v>0.5</v>
      </c>
      <c r="K374" s="11">
        <v>0.5</v>
      </c>
      <c r="L374" s="11">
        <v>0</v>
      </c>
    </row>
    <row r="375" spans="1:12" x14ac:dyDescent="0.25">
      <c r="A375" s="11" t="s">
        <v>181</v>
      </c>
      <c r="B375" s="11">
        <v>0</v>
      </c>
      <c r="C375" s="11">
        <v>1</v>
      </c>
      <c r="D375" s="11">
        <v>0</v>
      </c>
      <c r="E375" s="11">
        <v>0</v>
      </c>
      <c r="F375" s="11">
        <v>4</v>
      </c>
      <c r="G375" s="11">
        <v>7</v>
      </c>
      <c r="H375" s="11"/>
      <c r="I375" s="11">
        <v>1</v>
      </c>
      <c r="J375" s="11">
        <v>0.5</v>
      </c>
      <c r="K375" s="11">
        <v>0.5</v>
      </c>
      <c r="L375" s="11">
        <v>0</v>
      </c>
    </row>
    <row r="376" spans="1:12" x14ac:dyDescent="0.25">
      <c r="A376" s="11" t="s">
        <v>503</v>
      </c>
      <c r="B376" s="11">
        <v>0</v>
      </c>
      <c r="C376" s="11">
        <v>1</v>
      </c>
      <c r="D376" s="11">
        <v>0</v>
      </c>
      <c r="E376" s="11">
        <v>0</v>
      </c>
      <c r="F376" s="11">
        <v>4</v>
      </c>
      <c r="G376" s="11">
        <v>7</v>
      </c>
      <c r="H376" s="11">
        <v>6</v>
      </c>
      <c r="I376" s="11">
        <v>2</v>
      </c>
      <c r="J376" s="11">
        <v>0.5</v>
      </c>
      <c r="K376" s="11">
        <v>0.5</v>
      </c>
      <c r="L376" s="11">
        <v>0</v>
      </c>
    </row>
    <row r="377" spans="1:12" x14ac:dyDescent="0.25">
      <c r="A377" s="11" t="s">
        <v>29</v>
      </c>
      <c r="B377" s="11">
        <v>0</v>
      </c>
      <c r="C377" s="11">
        <v>1</v>
      </c>
      <c r="D377" s="11">
        <v>0</v>
      </c>
      <c r="E377" s="11">
        <v>0</v>
      </c>
      <c r="F377" s="11">
        <v>4</v>
      </c>
      <c r="G377" s="11">
        <v>8</v>
      </c>
      <c r="H377" s="11"/>
      <c r="I377" s="11"/>
      <c r="J377" s="11">
        <v>0.5</v>
      </c>
      <c r="K377" s="11">
        <v>0.5</v>
      </c>
      <c r="L377" s="11">
        <v>1</v>
      </c>
    </row>
    <row r="378" spans="1:12" x14ac:dyDescent="0.25">
      <c r="A378" s="11" t="s">
        <v>182</v>
      </c>
      <c r="B378" s="11">
        <v>0</v>
      </c>
      <c r="C378" s="11">
        <v>1</v>
      </c>
      <c r="D378" s="11">
        <v>0</v>
      </c>
      <c r="E378" s="11">
        <v>0</v>
      </c>
      <c r="F378" s="11">
        <v>4</v>
      </c>
      <c r="G378" s="11">
        <v>8</v>
      </c>
      <c r="H378" s="11"/>
      <c r="I378" s="11">
        <v>1</v>
      </c>
      <c r="J378" s="11">
        <v>0.5</v>
      </c>
      <c r="K378" s="11">
        <v>0.5</v>
      </c>
      <c r="L378" s="11">
        <v>0</v>
      </c>
    </row>
    <row r="379" spans="1:12" x14ac:dyDescent="0.25">
      <c r="A379" s="11" t="s">
        <v>504</v>
      </c>
      <c r="B379" s="11">
        <v>0</v>
      </c>
      <c r="C379" s="11">
        <v>1</v>
      </c>
      <c r="D379" s="11">
        <v>0</v>
      </c>
      <c r="E379" s="11">
        <v>0</v>
      </c>
      <c r="F379" s="11">
        <v>4</v>
      </c>
      <c r="G379" s="11">
        <v>0</v>
      </c>
      <c r="H379" s="11"/>
      <c r="I379" s="11"/>
      <c r="J379" s="11">
        <v>0.5</v>
      </c>
      <c r="K379" s="11">
        <v>0.5</v>
      </c>
      <c r="L379" s="11">
        <v>0</v>
      </c>
    </row>
    <row r="380" spans="1:12" x14ac:dyDescent="0.25">
      <c r="A380" s="11" t="s">
        <v>505</v>
      </c>
      <c r="B380" s="11">
        <v>0</v>
      </c>
      <c r="C380" s="11">
        <v>1</v>
      </c>
      <c r="D380" s="11">
        <v>0</v>
      </c>
      <c r="E380" s="11">
        <v>0</v>
      </c>
      <c r="F380" s="11">
        <v>2</v>
      </c>
      <c r="G380" s="11">
        <v>0</v>
      </c>
      <c r="H380" s="11"/>
      <c r="I380" s="11"/>
      <c r="J380" s="11">
        <v>0.5</v>
      </c>
      <c r="K380" s="11">
        <v>0.5</v>
      </c>
      <c r="L380" s="11">
        <v>0</v>
      </c>
    </row>
    <row r="381" spans="1:12" x14ac:dyDescent="0.25">
      <c r="A381" s="11" t="s">
        <v>183</v>
      </c>
      <c r="B381" s="11">
        <v>0</v>
      </c>
      <c r="C381" s="11">
        <v>1</v>
      </c>
      <c r="D381" s="11">
        <v>0</v>
      </c>
      <c r="E381" s="11">
        <v>0</v>
      </c>
      <c r="F381" s="11">
        <v>6</v>
      </c>
      <c r="G381" s="11">
        <v>12</v>
      </c>
      <c r="H381" s="11"/>
      <c r="I381" s="11">
        <v>4</v>
      </c>
      <c r="J381" s="11">
        <v>0.5</v>
      </c>
      <c r="K381" s="11">
        <v>0.5</v>
      </c>
      <c r="L381" s="11">
        <v>0</v>
      </c>
    </row>
    <row r="382" spans="1:12" x14ac:dyDescent="0.25">
      <c r="A382" s="11" t="s">
        <v>184</v>
      </c>
      <c r="B382" s="11">
        <v>0</v>
      </c>
      <c r="C382" s="11">
        <v>1</v>
      </c>
      <c r="D382" s="11">
        <v>0</v>
      </c>
      <c r="E382" s="11">
        <v>0</v>
      </c>
      <c r="F382" s="11">
        <v>6</v>
      </c>
      <c r="G382" s="11">
        <v>14</v>
      </c>
      <c r="H382" s="11">
        <v>1</v>
      </c>
      <c r="I382" s="11">
        <v>5</v>
      </c>
      <c r="J382" s="11">
        <v>0.5</v>
      </c>
      <c r="K382" s="11">
        <v>0.5</v>
      </c>
      <c r="L382" s="11">
        <v>0</v>
      </c>
    </row>
    <row r="383" spans="1:12" x14ac:dyDescent="0.25">
      <c r="A383" s="11" t="s">
        <v>185</v>
      </c>
      <c r="B383" s="11">
        <v>0</v>
      </c>
      <c r="C383" s="11">
        <v>1</v>
      </c>
      <c r="D383" s="11">
        <v>0</v>
      </c>
      <c r="E383" s="11">
        <v>0</v>
      </c>
      <c r="F383" s="11">
        <v>5</v>
      </c>
      <c r="G383" s="11">
        <v>9</v>
      </c>
      <c r="H383" s="11"/>
      <c r="I383" s="11">
        <v>1</v>
      </c>
      <c r="J383" s="11">
        <v>0.5</v>
      </c>
      <c r="K383" s="11">
        <v>0.5</v>
      </c>
      <c r="L383" s="11">
        <v>0</v>
      </c>
    </row>
    <row r="384" spans="1:12" x14ac:dyDescent="0.25">
      <c r="A384" s="11" t="s">
        <v>186</v>
      </c>
      <c r="B384" s="11">
        <v>0</v>
      </c>
      <c r="C384" s="11">
        <v>1</v>
      </c>
      <c r="D384" s="11">
        <v>0</v>
      </c>
      <c r="E384" s="11">
        <v>0</v>
      </c>
      <c r="F384" s="11">
        <v>4</v>
      </c>
      <c r="G384" s="11">
        <v>8</v>
      </c>
      <c r="H384" s="11"/>
      <c r="I384" s="11">
        <v>1</v>
      </c>
      <c r="J384" s="11">
        <v>0.5</v>
      </c>
      <c r="K384" s="11">
        <v>0.5</v>
      </c>
      <c r="L384" s="11">
        <v>0</v>
      </c>
    </row>
    <row r="385" spans="1:12" x14ac:dyDescent="0.25">
      <c r="A385" s="11" t="s">
        <v>187</v>
      </c>
      <c r="B385" s="11">
        <v>0</v>
      </c>
      <c r="C385" s="11">
        <v>1</v>
      </c>
      <c r="D385" s="11">
        <v>0</v>
      </c>
      <c r="E385" s="11">
        <v>0</v>
      </c>
      <c r="F385" s="11">
        <v>6</v>
      </c>
      <c r="G385" s="11">
        <v>14</v>
      </c>
      <c r="H385" s="11">
        <v>1</v>
      </c>
      <c r="I385" s="11">
        <v>5</v>
      </c>
      <c r="J385" s="11">
        <v>0.5</v>
      </c>
      <c r="K385" s="11">
        <v>0.5</v>
      </c>
      <c r="L385" s="11">
        <v>0</v>
      </c>
    </row>
    <row r="386" spans="1:12" x14ac:dyDescent="0.25">
      <c r="A386" s="11" t="s">
        <v>506</v>
      </c>
      <c r="B386" s="11">
        <v>0</v>
      </c>
      <c r="C386" s="11">
        <v>1</v>
      </c>
      <c r="D386" s="11">
        <v>0</v>
      </c>
      <c r="E386" s="11">
        <v>0</v>
      </c>
      <c r="F386" s="11">
        <v>6</v>
      </c>
      <c r="G386" s="11">
        <v>12</v>
      </c>
      <c r="H386" s="11"/>
      <c r="I386" s="11">
        <v>2</v>
      </c>
      <c r="J386" s="11">
        <v>0.5</v>
      </c>
      <c r="K386" s="11">
        <v>0.5</v>
      </c>
      <c r="L386" s="11">
        <v>0</v>
      </c>
    </row>
    <row r="387" spans="1:12" x14ac:dyDescent="0.25">
      <c r="A387" s="11" t="s">
        <v>34</v>
      </c>
      <c r="B387" s="11">
        <v>0</v>
      </c>
      <c r="C387" s="11">
        <v>1</v>
      </c>
      <c r="D387" s="11">
        <v>0</v>
      </c>
      <c r="E387" s="11">
        <v>0</v>
      </c>
      <c r="F387" s="11">
        <v>5</v>
      </c>
      <c r="G387" s="11">
        <v>14</v>
      </c>
      <c r="H387" s="11"/>
      <c r="I387" s="11"/>
      <c r="J387" s="11">
        <v>0.5</v>
      </c>
      <c r="K387" s="11">
        <v>0.5</v>
      </c>
      <c r="L387" s="11">
        <v>0</v>
      </c>
    </row>
    <row r="388" spans="1:12" x14ac:dyDescent="0.25">
      <c r="A388" s="11" t="s">
        <v>30</v>
      </c>
      <c r="B388" s="11">
        <v>0</v>
      </c>
      <c r="C388" s="11">
        <v>1</v>
      </c>
      <c r="D388" s="11">
        <v>0</v>
      </c>
      <c r="E388" s="11">
        <v>0</v>
      </c>
      <c r="F388" s="11">
        <v>2</v>
      </c>
      <c r="G388" s="11">
        <v>0</v>
      </c>
      <c r="H388" s="11"/>
      <c r="I388" s="11"/>
      <c r="J388" s="11">
        <v>0.5</v>
      </c>
      <c r="K388" s="11">
        <v>0.5</v>
      </c>
      <c r="L388" s="11">
        <v>1</v>
      </c>
    </row>
    <row r="389" spans="1:12" x14ac:dyDescent="0.25">
      <c r="A389" s="11" t="s">
        <v>507</v>
      </c>
      <c r="B389" s="11">
        <v>0</v>
      </c>
      <c r="C389" s="11">
        <v>1</v>
      </c>
      <c r="D389" s="11">
        <v>0</v>
      </c>
      <c r="E389" s="11">
        <v>0</v>
      </c>
      <c r="F389" s="11">
        <v>5</v>
      </c>
      <c r="G389" s="11">
        <v>0</v>
      </c>
      <c r="H389" s="11"/>
      <c r="I389" s="11"/>
      <c r="J389" s="11">
        <v>0.5</v>
      </c>
      <c r="K389" s="11">
        <v>0.5</v>
      </c>
      <c r="L389" s="11">
        <v>0</v>
      </c>
    </row>
    <row r="390" spans="1:12" x14ac:dyDescent="0.25">
      <c r="A390" s="11" t="s">
        <v>508</v>
      </c>
      <c r="B390" s="11">
        <v>0</v>
      </c>
      <c r="C390" s="11">
        <v>0.25</v>
      </c>
      <c r="D390" s="11">
        <v>0</v>
      </c>
      <c r="E390" s="11">
        <v>0</v>
      </c>
      <c r="F390" s="11">
        <v>1</v>
      </c>
      <c r="G390" s="11">
        <v>1</v>
      </c>
      <c r="H390" s="11"/>
      <c r="I390" s="11"/>
      <c r="J390" s="11">
        <v>0.5</v>
      </c>
      <c r="K390" s="11">
        <v>1</v>
      </c>
      <c r="L390" s="11">
        <v>0</v>
      </c>
    </row>
    <row r="391" spans="1:12" x14ac:dyDescent="0.25">
      <c r="A391" s="11" t="s">
        <v>188</v>
      </c>
      <c r="B391" s="11">
        <v>0</v>
      </c>
      <c r="C391" s="11">
        <v>1</v>
      </c>
      <c r="D391" s="11">
        <v>0</v>
      </c>
      <c r="E391" s="11">
        <v>0</v>
      </c>
      <c r="F391" s="11">
        <v>4</v>
      </c>
      <c r="G391" s="11">
        <v>11</v>
      </c>
      <c r="H391" s="11"/>
      <c r="I391" s="11">
        <v>4</v>
      </c>
      <c r="J391" s="11">
        <v>1</v>
      </c>
      <c r="K391" s="11">
        <v>0.5</v>
      </c>
      <c r="L391" s="11">
        <v>0</v>
      </c>
    </row>
    <row r="392" spans="1:12" x14ac:dyDescent="0.25">
      <c r="A392" s="11" t="s">
        <v>509</v>
      </c>
      <c r="B392" s="11">
        <v>0</v>
      </c>
      <c r="C392" s="11">
        <v>0.25</v>
      </c>
      <c r="D392" s="11">
        <v>0</v>
      </c>
      <c r="E392" s="11">
        <v>0</v>
      </c>
      <c r="F392" s="11">
        <v>4</v>
      </c>
      <c r="G392" s="11">
        <v>11</v>
      </c>
      <c r="H392" s="11"/>
      <c r="I392" s="11">
        <v>4</v>
      </c>
      <c r="J392" s="11">
        <v>1</v>
      </c>
      <c r="K392" s="11">
        <v>0.5</v>
      </c>
      <c r="L392" s="11">
        <v>0</v>
      </c>
    </row>
    <row r="393" spans="1:12" x14ac:dyDescent="0.25">
      <c r="A393" s="11" t="s">
        <v>510</v>
      </c>
      <c r="B393" s="11">
        <v>0</v>
      </c>
      <c r="C393" s="11">
        <v>0.25</v>
      </c>
      <c r="D393" s="11">
        <v>0</v>
      </c>
      <c r="E393" s="11">
        <v>0</v>
      </c>
      <c r="F393" s="11">
        <v>4</v>
      </c>
      <c r="G393" s="11">
        <v>11</v>
      </c>
      <c r="H393" s="11"/>
      <c r="I393" s="11">
        <v>6</v>
      </c>
      <c r="J393" s="11">
        <v>1</v>
      </c>
      <c r="K393" s="11">
        <v>0.5</v>
      </c>
      <c r="L393" s="11">
        <v>0</v>
      </c>
    </row>
    <row r="394" spans="1:12" x14ac:dyDescent="0.25">
      <c r="A394" s="11" t="s">
        <v>511</v>
      </c>
      <c r="B394" s="11">
        <v>0</v>
      </c>
      <c r="C394" s="11">
        <v>0.25</v>
      </c>
      <c r="D394" s="11">
        <v>0</v>
      </c>
      <c r="E394" s="11">
        <v>0</v>
      </c>
      <c r="F394" s="11">
        <v>5</v>
      </c>
      <c r="G394" s="11">
        <v>6</v>
      </c>
      <c r="H394" s="11"/>
      <c r="I394" s="11">
        <v>4</v>
      </c>
      <c r="J394" s="11">
        <v>1</v>
      </c>
      <c r="K394" s="11">
        <v>0.5</v>
      </c>
      <c r="L394" s="11">
        <v>0</v>
      </c>
    </row>
    <row r="395" spans="1:12" x14ac:dyDescent="0.25">
      <c r="A395" s="11" t="s">
        <v>512</v>
      </c>
      <c r="B395" s="11">
        <v>0</v>
      </c>
      <c r="C395" s="11">
        <v>1</v>
      </c>
      <c r="D395" s="11">
        <v>0</v>
      </c>
      <c r="E395" s="11">
        <v>0</v>
      </c>
      <c r="F395" s="11">
        <v>2</v>
      </c>
      <c r="G395" s="11">
        <v>5</v>
      </c>
      <c r="H395" s="11"/>
      <c r="I395" s="11">
        <v>6</v>
      </c>
      <c r="J395" s="11">
        <v>1</v>
      </c>
      <c r="K395" s="11">
        <v>0.5</v>
      </c>
      <c r="L395" s="11">
        <v>0</v>
      </c>
    </row>
    <row r="396" spans="1:12" x14ac:dyDescent="0.25">
      <c r="A396" s="11" t="s">
        <v>513</v>
      </c>
      <c r="B396" s="11">
        <v>0</v>
      </c>
      <c r="C396" s="11">
        <v>0.25</v>
      </c>
      <c r="D396" s="11">
        <v>0</v>
      </c>
      <c r="E396" s="11">
        <v>0</v>
      </c>
      <c r="F396" s="11">
        <v>2</v>
      </c>
      <c r="G396" s="11">
        <v>2</v>
      </c>
      <c r="H396" s="11"/>
      <c r="I396" s="11">
        <v>5</v>
      </c>
      <c r="J396" s="11">
        <v>1</v>
      </c>
      <c r="K396" s="11">
        <v>0.5</v>
      </c>
      <c r="L396" s="11">
        <v>0</v>
      </c>
    </row>
    <row r="397" spans="1:12" x14ac:dyDescent="0.25">
      <c r="A397" s="11" t="s">
        <v>514</v>
      </c>
      <c r="B397" s="11">
        <v>0</v>
      </c>
      <c r="C397" s="11">
        <v>0.25</v>
      </c>
      <c r="D397" s="11">
        <v>0</v>
      </c>
      <c r="E397" s="11">
        <v>0</v>
      </c>
      <c r="F397" s="11">
        <v>3</v>
      </c>
      <c r="G397" s="11">
        <v>10</v>
      </c>
      <c r="H397" s="11"/>
      <c r="I397" s="11">
        <v>5</v>
      </c>
      <c r="J397" s="11">
        <v>1</v>
      </c>
      <c r="K397" s="11">
        <v>0.5</v>
      </c>
      <c r="L397" s="11">
        <v>0</v>
      </c>
    </row>
    <row r="398" spans="1:12" x14ac:dyDescent="0.25">
      <c r="A398" s="11" t="s">
        <v>189</v>
      </c>
      <c r="B398" s="11">
        <v>0</v>
      </c>
      <c r="C398" s="11">
        <v>1</v>
      </c>
      <c r="D398" s="11">
        <v>0</v>
      </c>
      <c r="E398" s="11">
        <v>0</v>
      </c>
      <c r="F398" s="11">
        <v>3</v>
      </c>
      <c r="G398" s="11">
        <v>8</v>
      </c>
      <c r="H398" s="11"/>
      <c r="I398" s="11">
        <v>6</v>
      </c>
      <c r="J398" s="11">
        <v>1</v>
      </c>
      <c r="K398" s="11">
        <v>0.5</v>
      </c>
      <c r="L398" s="11">
        <v>0</v>
      </c>
    </row>
    <row r="399" spans="1:12" x14ac:dyDescent="0.25">
      <c r="A399" s="11" t="s">
        <v>190</v>
      </c>
      <c r="B399" s="11">
        <v>0</v>
      </c>
      <c r="C399" s="11">
        <v>1</v>
      </c>
      <c r="D399" s="11">
        <v>1</v>
      </c>
      <c r="E399" s="11">
        <v>0</v>
      </c>
      <c r="F399" s="11">
        <v>4</v>
      </c>
      <c r="G399" s="11">
        <v>10</v>
      </c>
      <c r="H399" s="11"/>
      <c r="I399" s="11">
        <v>6</v>
      </c>
      <c r="J399" s="11">
        <v>1</v>
      </c>
      <c r="K399" s="11">
        <v>0.5</v>
      </c>
      <c r="L399" s="11">
        <v>0</v>
      </c>
    </row>
    <row r="400" spans="1:12" x14ac:dyDescent="0.25">
      <c r="A400" s="11" t="s">
        <v>515</v>
      </c>
      <c r="B400" s="11">
        <v>0</v>
      </c>
      <c r="C400" s="11">
        <v>0.25</v>
      </c>
      <c r="D400" s="11">
        <v>0</v>
      </c>
      <c r="E400" s="11">
        <v>0</v>
      </c>
      <c r="F400" s="11">
        <v>3</v>
      </c>
      <c r="G400" s="11">
        <v>6</v>
      </c>
      <c r="H400" s="11"/>
      <c r="I400" s="11">
        <v>5</v>
      </c>
      <c r="J400" s="11">
        <v>1</v>
      </c>
      <c r="K400" s="11">
        <v>0.5</v>
      </c>
      <c r="L400" s="11">
        <v>0</v>
      </c>
    </row>
    <row r="401" spans="1:12" x14ac:dyDescent="0.25">
      <c r="A401" s="11" t="s">
        <v>191</v>
      </c>
      <c r="B401" s="11">
        <v>0</v>
      </c>
      <c r="C401" s="11">
        <v>1</v>
      </c>
      <c r="D401" s="11">
        <v>0</v>
      </c>
      <c r="E401" s="11">
        <v>0</v>
      </c>
      <c r="F401" s="11">
        <v>5</v>
      </c>
      <c r="G401" s="11">
        <v>11</v>
      </c>
      <c r="H401" s="11"/>
      <c r="I401" s="11">
        <v>5</v>
      </c>
      <c r="J401" s="11">
        <v>1</v>
      </c>
      <c r="K401" s="11">
        <v>0.5</v>
      </c>
      <c r="L401" s="11">
        <v>0</v>
      </c>
    </row>
    <row r="402" spans="1:12" x14ac:dyDescent="0.25">
      <c r="A402" s="11" t="s">
        <v>192</v>
      </c>
      <c r="B402" s="11">
        <v>0</v>
      </c>
      <c r="C402" s="11">
        <v>1</v>
      </c>
      <c r="D402" s="11">
        <v>0</v>
      </c>
      <c r="E402" s="11">
        <v>0</v>
      </c>
      <c r="F402" s="11">
        <v>5</v>
      </c>
      <c r="G402" s="11">
        <v>11</v>
      </c>
      <c r="H402" s="11"/>
      <c r="I402" s="11">
        <v>5</v>
      </c>
      <c r="J402" s="11">
        <v>0.5</v>
      </c>
      <c r="K402" s="11">
        <v>0.5</v>
      </c>
      <c r="L402" s="11">
        <v>0</v>
      </c>
    </row>
    <row r="403" spans="1:12" x14ac:dyDescent="0.25">
      <c r="A403" s="11" t="s">
        <v>193</v>
      </c>
      <c r="B403" s="11">
        <v>0</v>
      </c>
      <c r="C403" s="11">
        <v>1</v>
      </c>
      <c r="D403" s="11">
        <v>0</v>
      </c>
      <c r="E403" s="11">
        <v>0</v>
      </c>
      <c r="F403" s="11">
        <v>6</v>
      </c>
      <c r="G403" s="11">
        <v>8</v>
      </c>
      <c r="H403" s="11"/>
      <c r="I403" s="11">
        <v>5</v>
      </c>
      <c r="J403" s="11">
        <v>0.5</v>
      </c>
      <c r="K403" s="11">
        <v>0.5</v>
      </c>
      <c r="L403" s="11">
        <v>0</v>
      </c>
    </row>
    <row r="404" spans="1:12" x14ac:dyDescent="0.25">
      <c r="A404" s="11" t="s">
        <v>194</v>
      </c>
      <c r="B404" s="11">
        <v>0</v>
      </c>
      <c r="C404" s="11">
        <v>1</v>
      </c>
      <c r="D404" s="11">
        <v>0</v>
      </c>
      <c r="E404" s="11">
        <v>0</v>
      </c>
      <c r="F404" s="11">
        <v>6</v>
      </c>
      <c r="G404" s="11">
        <v>11</v>
      </c>
      <c r="H404" s="11"/>
      <c r="I404" s="11">
        <v>5</v>
      </c>
      <c r="J404" s="11">
        <v>0.5</v>
      </c>
      <c r="K404" s="11">
        <v>0.5</v>
      </c>
      <c r="L404" s="11">
        <v>0</v>
      </c>
    </row>
    <row r="405" spans="1:12" x14ac:dyDescent="0.25">
      <c r="A405" s="11" t="s">
        <v>195</v>
      </c>
      <c r="B405" s="11">
        <v>0</v>
      </c>
      <c r="C405" s="11">
        <v>1</v>
      </c>
      <c r="D405" s="11">
        <v>1</v>
      </c>
      <c r="E405" s="11">
        <v>0</v>
      </c>
      <c r="F405" s="11">
        <v>5</v>
      </c>
      <c r="G405" s="11">
        <v>10</v>
      </c>
      <c r="H405" s="11"/>
      <c r="I405" s="11">
        <v>6</v>
      </c>
      <c r="J405" s="11">
        <v>0.5</v>
      </c>
      <c r="K405" s="11">
        <v>0.5</v>
      </c>
      <c r="L405" s="11">
        <v>0</v>
      </c>
    </row>
    <row r="406" spans="1:12" x14ac:dyDescent="0.25">
      <c r="A406" s="11" t="s">
        <v>516</v>
      </c>
      <c r="B406" s="11">
        <v>0</v>
      </c>
      <c r="C406" s="11">
        <v>1</v>
      </c>
      <c r="D406" s="11">
        <v>0</v>
      </c>
      <c r="E406" s="11">
        <v>0</v>
      </c>
      <c r="F406" s="11">
        <v>3</v>
      </c>
      <c r="G406" s="11">
        <v>0</v>
      </c>
      <c r="H406" s="11"/>
      <c r="I406" s="11"/>
      <c r="J406" s="11">
        <v>0.5</v>
      </c>
      <c r="K406" s="11">
        <v>1</v>
      </c>
      <c r="L406" s="11">
        <v>0</v>
      </c>
    </row>
    <row r="407" spans="1:12" x14ac:dyDescent="0.25">
      <c r="A407" s="11" t="s">
        <v>517</v>
      </c>
      <c r="B407" s="11">
        <v>0</v>
      </c>
      <c r="C407" s="11">
        <v>1</v>
      </c>
      <c r="D407" s="11">
        <v>0</v>
      </c>
      <c r="E407" s="11">
        <v>0</v>
      </c>
      <c r="F407" s="11">
        <v>4</v>
      </c>
      <c r="G407" s="11">
        <v>7</v>
      </c>
      <c r="H407" s="11"/>
      <c r="I407" s="11">
        <v>4</v>
      </c>
      <c r="J407" s="11">
        <v>1</v>
      </c>
      <c r="K407" s="11">
        <v>0.5</v>
      </c>
      <c r="L407" s="11">
        <v>0</v>
      </c>
    </row>
    <row r="408" spans="1:12" x14ac:dyDescent="0.25">
      <c r="A408" s="11" t="s">
        <v>518</v>
      </c>
      <c r="B408" s="11">
        <v>0</v>
      </c>
      <c r="C408" s="11">
        <v>1</v>
      </c>
      <c r="D408" s="11">
        <v>0</v>
      </c>
      <c r="E408" s="11">
        <v>0</v>
      </c>
      <c r="F408" s="11">
        <v>3</v>
      </c>
      <c r="G408" s="11">
        <v>0</v>
      </c>
      <c r="H408" s="11"/>
      <c r="I408" s="11"/>
      <c r="J408" s="11">
        <v>0.5</v>
      </c>
      <c r="K408" s="11">
        <v>1</v>
      </c>
      <c r="L408" s="11">
        <v>0</v>
      </c>
    </row>
    <row r="409" spans="1:12" x14ac:dyDescent="0.25">
      <c r="A409" s="11" t="s">
        <v>519</v>
      </c>
      <c r="B409" s="11">
        <v>1</v>
      </c>
      <c r="C409" s="11">
        <v>1</v>
      </c>
      <c r="D409" s="11">
        <v>0</v>
      </c>
      <c r="E409" s="11">
        <v>0</v>
      </c>
      <c r="F409" s="11">
        <v>2</v>
      </c>
      <c r="G409" s="11">
        <v>1</v>
      </c>
      <c r="H409" s="11"/>
      <c r="I409" s="11">
        <v>3</v>
      </c>
      <c r="J409" s="11">
        <v>0.75</v>
      </c>
      <c r="K409" s="11">
        <v>1</v>
      </c>
      <c r="L409" s="11">
        <v>0</v>
      </c>
    </row>
    <row r="410" spans="1:12" x14ac:dyDescent="0.25">
      <c r="A410" s="11" t="s">
        <v>520</v>
      </c>
      <c r="B410" s="11">
        <v>0</v>
      </c>
      <c r="C410" s="11">
        <v>0.25</v>
      </c>
      <c r="D410" s="11">
        <v>0</v>
      </c>
      <c r="E410" s="11">
        <v>0</v>
      </c>
      <c r="F410" s="11">
        <v>18</v>
      </c>
      <c r="G410" s="11">
        <v>0</v>
      </c>
      <c r="H410" s="11"/>
      <c r="I410" s="11"/>
      <c r="J410" s="11">
        <v>1</v>
      </c>
      <c r="K410" s="11">
        <v>1</v>
      </c>
      <c r="L410" s="11">
        <v>0</v>
      </c>
    </row>
    <row r="411" spans="1:12" x14ac:dyDescent="0.25">
      <c r="A411" s="11" t="s">
        <v>521</v>
      </c>
      <c r="B411" s="11">
        <v>0</v>
      </c>
      <c r="C411" s="11">
        <v>1</v>
      </c>
      <c r="D411" s="11">
        <v>1</v>
      </c>
      <c r="E411" s="11">
        <v>0</v>
      </c>
      <c r="F411" s="11">
        <v>0</v>
      </c>
      <c r="G411" s="11">
        <v>0</v>
      </c>
      <c r="H411" s="11"/>
      <c r="I411" s="11"/>
      <c r="J411" s="11">
        <v>0.5</v>
      </c>
      <c r="K411" s="11">
        <v>1</v>
      </c>
      <c r="L411" s="11">
        <v>0</v>
      </c>
    </row>
    <row r="412" spans="1:12" x14ac:dyDescent="0.25">
      <c r="A412" s="11" t="s">
        <v>196</v>
      </c>
      <c r="B412" s="11">
        <v>0</v>
      </c>
      <c r="C412" s="11">
        <v>0.25</v>
      </c>
      <c r="D412" s="11">
        <v>0</v>
      </c>
      <c r="E412" s="11">
        <v>0</v>
      </c>
      <c r="F412" s="11">
        <v>2</v>
      </c>
      <c r="G412" s="11">
        <v>2</v>
      </c>
      <c r="H412" s="11"/>
      <c r="I412" s="11">
        <v>2</v>
      </c>
      <c r="J412" s="11">
        <v>0.75</v>
      </c>
      <c r="K412" s="11">
        <v>1</v>
      </c>
      <c r="L412" s="11">
        <v>0</v>
      </c>
    </row>
    <row r="413" spans="1:12" x14ac:dyDescent="0.25">
      <c r="A413" s="11" t="s">
        <v>197</v>
      </c>
      <c r="B413" s="11">
        <v>0</v>
      </c>
      <c r="C413" s="11">
        <v>1</v>
      </c>
      <c r="D413" s="11">
        <v>0</v>
      </c>
      <c r="E413" s="11">
        <v>0</v>
      </c>
      <c r="F413" s="11">
        <v>5</v>
      </c>
      <c r="G413" s="11">
        <v>8</v>
      </c>
      <c r="H413" s="11"/>
      <c r="I413" s="11">
        <v>4</v>
      </c>
      <c r="J413" s="11">
        <v>1</v>
      </c>
      <c r="K413" s="11">
        <v>0.5</v>
      </c>
      <c r="L413" s="11">
        <v>0</v>
      </c>
    </row>
    <row r="414" spans="1:12" x14ac:dyDescent="0.25">
      <c r="A414" s="11" t="s">
        <v>198</v>
      </c>
      <c r="B414" s="11">
        <v>0</v>
      </c>
      <c r="C414" s="11">
        <v>1</v>
      </c>
      <c r="D414" s="11">
        <v>1</v>
      </c>
      <c r="E414" s="11">
        <v>0</v>
      </c>
      <c r="F414" s="11">
        <v>1</v>
      </c>
      <c r="G414" s="11">
        <v>1</v>
      </c>
      <c r="H414" s="11"/>
      <c r="I414" s="11"/>
      <c r="J414" s="11">
        <v>0.5</v>
      </c>
      <c r="K414" s="11">
        <v>1</v>
      </c>
      <c r="L414" s="11">
        <v>0</v>
      </c>
    </row>
    <row r="415" spans="1:12" x14ac:dyDescent="0.25">
      <c r="A415" s="11" t="s">
        <v>522</v>
      </c>
      <c r="B415" s="11">
        <v>0</v>
      </c>
      <c r="C415" s="11">
        <v>0.25</v>
      </c>
      <c r="D415" s="11">
        <v>0</v>
      </c>
      <c r="E415" s="11">
        <v>0</v>
      </c>
      <c r="F415" s="11">
        <v>2</v>
      </c>
      <c r="G415" s="11">
        <v>0</v>
      </c>
      <c r="H415" s="11"/>
      <c r="I415" s="11">
        <v>2</v>
      </c>
      <c r="J415" s="11">
        <v>0.5</v>
      </c>
      <c r="K415" s="11">
        <v>1</v>
      </c>
      <c r="L415" s="11">
        <v>0</v>
      </c>
    </row>
    <row r="416" spans="1:12" x14ac:dyDescent="0.25">
      <c r="A416" s="11" t="s">
        <v>523</v>
      </c>
      <c r="B416" s="11">
        <v>1</v>
      </c>
      <c r="C416" s="11">
        <v>1</v>
      </c>
      <c r="D416" s="11">
        <v>0</v>
      </c>
      <c r="E416" s="11">
        <v>0</v>
      </c>
      <c r="F416" s="11">
        <v>2</v>
      </c>
      <c r="G416" s="11">
        <v>2</v>
      </c>
      <c r="H416" s="11"/>
      <c r="I416" s="11">
        <v>2</v>
      </c>
      <c r="J416" s="11">
        <v>0.75</v>
      </c>
      <c r="K416" s="11">
        <v>1</v>
      </c>
      <c r="L416" s="11">
        <v>0</v>
      </c>
    </row>
    <row r="417" spans="1:12" x14ac:dyDescent="0.25">
      <c r="A417" s="11" t="s">
        <v>524</v>
      </c>
      <c r="B417" s="11">
        <v>0</v>
      </c>
      <c r="C417" s="11">
        <v>1</v>
      </c>
      <c r="D417" s="11">
        <v>0</v>
      </c>
      <c r="E417" s="11">
        <v>0</v>
      </c>
      <c r="F417" s="11">
        <v>1</v>
      </c>
      <c r="G417" s="11">
        <v>1</v>
      </c>
      <c r="H417" s="11"/>
      <c r="I417" s="11">
        <v>3</v>
      </c>
      <c r="J417" s="11">
        <v>0.75</v>
      </c>
      <c r="K417" s="11">
        <v>1</v>
      </c>
      <c r="L417" s="11">
        <v>0</v>
      </c>
    </row>
    <row r="418" spans="1:12" x14ac:dyDescent="0.25">
      <c r="A418" s="11" t="s">
        <v>525</v>
      </c>
      <c r="B418" s="11">
        <v>0</v>
      </c>
      <c r="C418" s="11">
        <v>1</v>
      </c>
      <c r="D418" s="11">
        <v>1</v>
      </c>
      <c r="E418" s="11">
        <v>0</v>
      </c>
      <c r="F418" s="11">
        <v>3</v>
      </c>
      <c r="G418" s="11">
        <v>0</v>
      </c>
      <c r="H418" s="11"/>
      <c r="I418" s="11"/>
      <c r="J418" s="11">
        <v>0.5</v>
      </c>
      <c r="K418" s="11">
        <v>1</v>
      </c>
      <c r="L418" s="11">
        <v>0</v>
      </c>
    </row>
    <row r="419" spans="1:12" x14ac:dyDescent="0.25">
      <c r="A419" s="11" t="s">
        <v>526</v>
      </c>
      <c r="B419" s="11">
        <v>0</v>
      </c>
      <c r="C419" s="11">
        <v>1</v>
      </c>
      <c r="D419" s="11">
        <v>0</v>
      </c>
      <c r="E419" s="11">
        <v>0</v>
      </c>
      <c r="F419" s="11">
        <v>2</v>
      </c>
      <c r="G419" s="11">
        <v>0</v>
      </c>
      <c r="H419" s="11"/>
      <c r="I419" s="11"/>
      <c r="J419" s="11">
        <v>0.75</v>
      </c>
      <c r="K419" s="11">
        <v>0.5</v>
      </c>
      <c r="L419" s="11">
        <v>0</v>
      </c>
    </row>
    <row r="420" spans="1:12" x14ac:dyDescent="0.25">
      <c r="A420" s="11" t="s">
        <v>527</v>
      </c>
      <c r="B420" s="11">
        <v>1</v>
      </c>
      <c r="C420" s="11">
        <v>1</v>
      </c>
      <c r="D420" s="11">
        <v>0</v>
      </c>
      <c r="E420" s="11">
        <v>0</v>
      </c>
      <c r="F420" s="11">
        <v>1</v>
      </c>
      <c r="G420" s="11">
        <v>1</v>
      </c>
      <c r="H420" s="11"/>
      <c r="I420" s="11">
        <v>1</v>
      </c>
      <c r="J420" s="11">
        <v>0.75</v>
      </c>
      <c r="K420" s="11">
        <v>0.5</v>
      </c>
      <c r="L420" s="11">
        <v>0</v>
      </c>
    </row>
    <row r="421" spans="1:12" x14ac:dyDescent="0.25">
      <c r="A421" s="11" t="s">
        <v>528</v>
      </c>
      <c r="B421" s="11">
        <v>0</v>
      </c>
      <c r="C421" s="11">
        <v>1</v>
      </c>
      <c r="D421" s="11">
        <v>1</v>
      </c>
      <c r="E421" s="11">
        <v>0</v>
      </c>
      <c r="F421" s="11">
        <v>0</v>
      </c>
      <c r="G421" s="11">
        <v>0</v>
      </c>
      <c r="H421" s="11"/>
      <c r="I421" s="11">
        <v>3</v>
      </c>
      <c r="J421" s="11">
        <v>0.5</v>
      </c>
      <c r="K421" s="11">
        <v>1</v>
      </c>
      <c r="L421" s="11">
        <v>0</v>
      </c>
    </row>
    <row r="422" spans="1:12" x14ac:dyDescent="0.25">
      <c r="A422" s="11" t="s">
        <v>529</v>
      </c>
      <c r="B422" s="11">
        <v>0</v>
      </c>
      <c r="C422" s="11">
        <v>1</v>
      </c>
      <c r="D422" s="11">
        <v>0</v>
      </c>
      <c r="E422" s="11">
        <v>0</v>
      </c>
      <c r="F422" s="11">
        <v>5</v>
      </c>
      <c r="G422" s="11">
        <v>9</v>
      </c>
      <c r="H422" s="11"/>
      <c r="I422" s="11"/>
      <c r="J422" s="11">
        <v>0.75</v>
      </c>
      <c r="K422" s="11">
        <v>0.5</v>
      </c>
      <c r="L422" s="11">
        <v>0</v>
      </c>
    </row>
    <row r="423" spans="1:12" x14ac:dyDescent="0.25">
      <c r="A423" s="11" t="s">
        <v>530</v>
      </c>
      <c r="B423" s="11">
        <v>0</v>
      </c>
      <c r="C423" s="11">
        <v>0.25</v>
      </c>
      <c r="D423" s="11">
        <v>0</v>
      </c>
      <c r="E423" s="11">
        <v>0</v>
      </c>
      <c r="F423" s="11">
        <v>1</v>
      </c>
      <c r="G423" s="11">
        <v>1</v>
      </c>
      <c r="H423" s="11">
        <v>1</v>
      </c>
      <c r="I423" s="11">
        <v>3</v>
      </c>
      <c r="J423" s="11">
        <v>0.75</v>
      </c>
      <c r="K423" s="11">
        <v>1</v>
      </c>
      <c r="L423" s="11">
        <v>0</v>
      </c>
    </row>
    <row r="424" spans="1:12" x14ac:dyDescent="0.25">
      <c r="A424" s="11" t="s">
        <v>531</v>
      </c>
      <c r="B424" s="11">
        <v>0</v>
      </c>
      <c r="C424" s="11">
        <v>1</v>
      </c>
      <c r="D424" s="11">
        <v>0</v>
      </c>
      <c r="E424" s="11">
        <v>0</v>
      </c>
      <c r="F424" s="11">
        <v>3</v>
      </c>
      <c r="G424" s="11">
        <v>3</v>
      </c>
      <c r="H424" s="11">
        <v>7</v>
      </c>
      <c r="I424" s="11">
        <v>1</v>
      </c>
      <c r="J424" s="11">
        <v>0.75</v>
      </c>
      <c r="K424" s="11">
        <v>1</v>
      </c>
      <c r="L424" s="11">
        <v>0</v>
      </c>
    </row>
    <row r="425" spans="1:12" x14ac:dyDescent="0.25">
      <c r="A425" s="11" t="s">
        <v>532</v>
      </c>
      <c r="B425" s="11">
        <v>0</v>
      </c>
      <c r="C425" s="11">
        <v>1</v>
      </c>
      <c r="D425" s="11">
        <v>0</v>
      </c>
      <c r="E425" s="11">
        <v>0</v>
      </c>
      <c r="F425" s="11">
        <v>5</v>
      </c>
      <c r="G425" s="11">
        <v>0</v>
      </c>
      <c r="H425" s="11"/>
      <c r="I425" s="11"/>
      <c r="J425" s="11">
        <v>0.5</v>
      </c>
      <c r="K425" s="11">
        <v>1</v>
      </c>
      <c r="L425" s="11">
        <v>0</v>
      </c>
    </row>
    <row r="426" spans="1:12" x14ac:dyDescent="0.25">
      <c r="A426" s="11" t="s">
        <v>533</v>
      </c>
      <c r="B426" s="11">
        <v>0</v>
      </c>
      <c r="C426" s="11">
        <v>1</v>
      </c>
      <c r="D426" s="11">
        <v>0</v>
      </c>
      <c r="E426" s="11">
        <v>0</v>
      </c>
      <c r="F426" s="11">
        <v>2</v>
      </c>
      <c r="G426" s="11">
        <v>0</v>
      </c>
      <c r="H426" s="11"/>
      <c r="I426" s="11"/>
      <c r="J426" s="11">
        <v>0.5</v>
      </c>
      <c r="K426" s="11">
        <v>1</v>
      </c>
      <c r="L426" s="11">
        <v>0</v>
      </c>
    </row>
    <row r="427" spans="1:12" x14ac:dyDescent="0.25">
      <c r="A427" s="11" t="s">
        <v>534</v>
      </c>
      <c r="B427" s="11">
        <v>0</v>
      </c>
      <c r="C427" s="11">
        <v>1</v>
      </c>
      <c r="D427" s="11">
        <v>0</v>
      </c>
      <c r="E427" s="11">
        <v>0</v>
      </c>
      <c r="F427" s="11">
        <v>2</v>
      </c>
      <c r="G427" s="11">
        <v>0</v>
      </c>
      <c r="H427" s="11"/>
      <c r="I427" s="11"/>
      <c r="J427" s="11">
        <v>0.5</v>
      </c>
      <c r="K427" s="11">
        <v>1</v>
      </c>
      <c r="L427" s="11">
        <v>0</v>
      </c>
    </row>
    <row r="428" spans="1:12" x14ac:dyDescent="0.25">
      <c r="A428" s="11" t="s">
        <v>535</v>
      </c>
      <c r="B428" s="11">
        <v>0</v>
      </c>
      <c r="C428" s="11">
        <v>1</v>
      </c>
      <c r="D428" s="11">
        <v>0</v>
      </c>
      <c r="E428" s="11">
        <v>0</v>
      </c>
      <c r="F428" s="11">
        <v>6</v>
      </c>
      <c r="G428" s="11">
        <v>0</v>
      </c>
      <c r="H428" s="11"/>
      <c r="I428" s="11"/>
      <c r="J428" s="11">
        <v>0.5</v>
      </c>
      <c r="K428" s="11">
        <v>0.5</v>
      </c>
      <c r="L428" s="11">
        <v>0</v>
      </c>
    </row>
    <row r="429" spans="1:12" x14ac:dyDescent="0.25">
      <c r="A429" s="11" t="s">
        <v>20</v>
      </c>
      <c r="B429" s="11">
        <v>0</v>
      </c>
      <c r="C429" s="11">
        <v>0.25</v>
      </c>
      <c r="D429" s="11">
        <v>0</v>
      </c>
      <c r="E429" s="11">
        <v>0</v>
      </c>
      <c r="F429" s="11">
        <v>4</v>
      </c>
      <c r="G429" s="11">
        <v>1</v>
      </c>
      <c r="H429" s="11"/>
      <c r="I429" s="11">
        <v>3</v>
      </c>
      <c r="J429" s="11">
        <v>0.75</v>
      </c>
      <c r="K429" s="11">
        <v>1</v>
      </c>
      <c r="L429" s="11">
        <v>0</v>
      </c>
    </row>
    <row r="430" spans="1:12" x14ac:dyDescent="0.25">
      <c r="A430" s="11" t="s">
        <v>536</v>
      </c>
      <c r="B430" s="11">
        <v>1</v>
      </c>
      <c r="C430" s="11">
        <v>0.25</v>
      </c>
      <c r="D430" s="11">
        <v>0</v>
      </c>
      <c r="E430" s="11">
        <v>0</v>
      </c>
      <c r="F430" s="11">
        <v>4</v>
      </c>
      <c r="G430" s="11">
        <v>2</v>
      </c>
      <c r="H430" s="11"/>
      <c r="I430" s="11"/>
      <c r="J430" s="11">
        <v>0.75</v>
      </c>
      <c r="K430" s="11">
        <v>1</v>
      </c>
      <c r="L430" s="11">
        <v>0</v>
      </c>
    </row>
    <row r="431" spans="1:12" x14ac:dyDescent="0.25">
      <c r="A431" s="11" t="s">
        <v>537</v>
      </c>
      <c r="B431" s="11">
        <v>1</v>
      </c>
      <c r="C431" s="11">
        <v>1</v>
      </c>
      <c r="D431" s="11">
        <v>0</v>
      </c>
      <c r="E431" s="11">
        <v>0</v>
      </c>
      <c r="F431" s="11">
        <v>5</v>
      </c>
      <c r="G431" s="11">
        <v>11</v>
      </c>
      <c r="H431" s="11"/>
      <c r="I431" s="11">
        <v>2</v>
      </c>
      <c r="J431" s="11">
        <v>0.75</v>
      </c>
      <c r="K431" s="11">
        <v>1</v>
      </c>
      <c r="L431" s="11">
        <v>0</v>
      </c>
    </row>
    <row r="432" spans="1:12" x14ac:dyDescent="0.25">
      <c r="A432" s="11" t="s">
        <v>538</v>
      </c>
      <c r="B432" s="11">
        <v>1</v>
      </c>
      <c r="C432" s="11">
        <v>0.25</v>
      </c>
      <c r="D432" s="11">
        <v>0</v>
      </c>
      <c r="E432" s="11">
        <v>0</v>
      </c>
      <c r="F432" s="11">
        <v>3</v>
      </c>
      <c r="G432" s="11">
        <v>4</v>
      </c>
      <c r="H432" s="11"/>
      <c r="I432" s="11">
        <v>2</v>
      </c>
      <c r="J432" s="11">
        <v>0.75</v>
      </c>
      <c r="K432" s="11">
        <v>1</v>
      </c>
      <c r="L432" s="11">
        <v>0</v>
      </c>
    </row>
    <row r="433" spans="1:12" x14ac:dyDescent="0.25">
      <c r="A433" s="11" t="s">
        <v>10</v>
      </c>
      <c r="B433" s="11">
        <v>1</v>
      </c>
      <c r="C433" s="11">
        <v>1</v>
      </c>
      <c r="D433" s="11">
        <v>1</v>
      </c>
      <c r="E433" s="11">
        <v>0</v>
      </c>
      <c r="F433" s="11">
        <v>8</v>
      </c>
      <c r="G433" s="11">
        <v>6</v>
      </c>
      <c r="H433" s="11">
        <v>3</v>
      </c>
      <c r="I433" s="11"/>
      <c r="J433" s="11">
        <v>0.75</v>
      </c>
      <c r="K433" s="11">
        <v>1</v>
      </c>
      <c r="L433" s="11">
        <v>0</v>
      </c>
    </row>
    <row r="434" spans="1:12" x14ac:dyDescent="0.25">
      <c r="A434" s="11" t="s">
        <v>539</v>
      </c>
      <c r="B434" s="11">
        <v>1</v>
      </c>
      <c r="C434" s="11">
        <v>0.25</v>
      </c>
      <c r="D434" s="11">
        <v>0</v>
      </c>
      <c r="E434" s="11">
        <v>0</v>
      </c>
      <c r="F434" s="11">
        <v>0</v>
      </c>
      <c r="G434" s="11">
        <v>0</v>
      </c>
      <c r="H434" s="11">
        <v>1</v>
      </c>
      <c r="I434" s="11"/>
      <c r="J434" s="11">
        <v>1</v>
      </c>
      <c r="K434" s="11">
        <v>1</v>
      </c>
      <c r="L434" s="11">
        <v>0</v>
      </c>
    </row>
    <row r="435" spans="1:12" x14ac:dyDescent="0.25">
      <c r="A435" s="11" t="s">
        <v>540</v>
      </c>
      <c r="B435" s="11">
        <v>1</v>
      </c>
      <c r="C435" s="11">
        <v>0.25</v>
      </c>
      <c r="D435" s="11">
        <v>0</v>
      </c>
      <c r="E435" s="11">
        <v>0</v>
      </c>
      <c r="F435" s="11">
        <v>5</v>
      </c>
      <c r="G435" s="11">
        <v>4</v>
      </c>
      <c r="H435" s="11"/>
      <c r="I435" s="11">
        <v>1</v>
      </c>
      <c r="J435" s="11">
        <v>1</v>
      </c>
      <c r="K435" s="11">
        <v>0.5</v>
      </c>
      <c r="L435" s="11">
        <v>0</v>
      </c>
    </row>
    <row r="436" spans="1:12" x14ac:dyDescent="0.25">
      <c r="A436" s="11" t="s">
        <v>541</v>
      </c>
      <c r="B436" s="11">
        <v>1</v>
      </c>
      <c r="C436" s="11">
        <v>0.25</v>
      </c>
      <c r="D436" s="11">
        <v>0</v>
      </c>
      <c r="E436" s="11">
        <v>0</v>
      </c>
      <c r="F436" s="11">
        <v>5</v>
      </c>
      <c r="G436" s="11">
        <v>4</v>
      </c>
      <c r="H436" s="11"/>
      <c r="I436" s="11"/>
      <c r="J436" s="11">
        <v>1</v>
      </c>
      <c r="K436" s="11">
        <v>0.5</v>
      </c>
      <c r="L436" s="11">
        <v>0</v>
      </c>
    </row>
    <row r="437" spans="1:12" x14ac:dyDescent="0.25">
      <c r="A437" s="11" t="s">
        <v>542</v>
      </c>
      <c r="B437" s="11">
        <v>1</v>
      </c>
      <c r="C437" s="11">
        <v>0.25</v>
      </c>
      <c r="D437" s="11">
        <v>0</v>
      </c>
      <c r="E437" s="11">
        <v>0</v>
      </c>
      <c r="F437" s="11">
        <v>5</v>
      </c>
      <c r="G437" s="11">
        <v>4</v>
      </c>
      <c r="H437" s="11"/>
      <c r="I437" s="11"/>
      <c r="J437" s="11">
        <v>0.75</v>
      </c>
      <c r="K437" s="11">
        <v>0.5</v>
      </c>
      <c r="L437" s="11">
        <v>0</v>
      </c>
    </row>
    <row r="438" spans="1:12" x14ac:dyDescent="0.25">
      <c r="A438" s="11" t="s">
        <v>19</v>
      </c>
      <c r="B438" s="11">
        <v>1</v>
      </c>
      <c r="C438" s="11">
        <v>1</v>
      </c>
      <c r="D438" s="11">
        <v>1</v>
      </c>
      <c r="E438" s="11">
        <v>0</v>
      </c>
      <c r="F438" s="11">
        <v>3</v>
      </c>
      <c r="G438" s="11">
        <v>2</v>
      </c>
      <c r="H438" s="11"/>
      <c r="I438" s="11"/>
      <c r="J438" s="11">
        <v>0.75</v>
      </c>
      <c r="K438" s="11">
        <v>1</v>
      </c>
      <c r="L438" s="11">
        <v>0</v>
      </c>
    </row>
    <row r="439" spans="1:12" x14ac:dyDescent="0.25">
      <c r="A439" s="11" t="s">
        <v>543</v>
      </c>
      <c r="B439" s="11">
        <v>0</v>
      </c>
      <c r="C439" s="11">
        <v>1</v>
      </c>
      <c r="D439" s="11">
        <v>0</v>
      </c>
      <c r="E439" s="11">
        <v>0</v>
      </c>
      <c r="F439" s="11">
        <v>4</v>
      </c>
      <c r="G439" s="11">
        <v>6</v>
      </c>
      <c r="H439" s="11"/>
      <c r="I439" s="11">
        <v>3</v>
      </c>
      <c r="J439" s="11">
        <v>0.75</v>
      </c>
      <c r="K439" s="11">
        <v>1</v>
      </c>
      <c r="L439" s="11">
        <v>0</v>
      </c>
    </row>
    <row r="440" spans="1:12" x14ac:dyDescent="0.25">
      <c r="A440" s="11" t="s">
        <v>199</v>
      </c>
      <c r="B440" s="11">
        <v>0</v>
      </c>
      <c r="C440" s="11">
        <v>1</v>
      </c>
      <c r="D440" s="11">
        <v>0</v>
      </c>
      <c r="E440" s="11">
        <v>0</v>
      </c>
      <c r="F440" s="11">
        <v>4</v>
      </c>
      <c r="G440" s="11">
        <v>8</v>
      </c>
      <c r="H440" s="11">
        <v>1</v>
      </c>
      <c r="I440" s="11">
        <v>5</v>
      </c>
      <c r="J440" s="11">
        <v>1</v>
      </c>
      <c r="K440" s="11">
        <v>0.5</v>
      </c>
      <c r="L440" s="11">
        <v>0</v>
      </c>
    </row>
    <row r="441" spans="1:12" x14ac:dyDescent="0.25">
      <c r="A441" s="11" t="s">
        <v>200</v>
      </c>
      <c r="B441" s="11">
        <v>0</v>
      </c>
      <c r="C441" s="11">
        <v>1</v>
      </c>
      <c r="D441" s="11">
        <v>0</v>
      </c>
      <c r="E441" s="11">
        <v>0</v>
      </c>
      <c r="F441" s="11">
        <v>4</v>
      </c>
      <c r="G441" s="11">
        <v>10</v>
      </c>
      <c r="H441" s="11"/>
      <c r="I441" s="11">
        <v>5</v>
      </c>
      <c r="J441" s="11">
        <v>1</v>
      </c>
      <c r="K441" s="11">
        <v>0.5</v>
      </c>
      <c r="L441" s="11">
        <v>0</v>
      </c>
    </row>
    <row r="442" spans="1:12" x14ac:dyDescent="0.25">
      <c r="A442" s="11" t="s">
        <v>544</v>
      </c>
      <c r="B442" s="11">
        <v>0</v>
      </c>
      <c r="C442" s="11">
        <v>1</v>
      </c>
      <c r="D442" s="11">
        <v>0</v>
      </c>
      <c r="E442" s="11">
        <v>0</v>
      </c>
      <c r="F442" s="11">
        <v>4</v>
      </c>
      <c r="G442" s="11">
        <v>10</v>
      </c>
      <c r="H442" s="11"/>
      <c r="I442" s="11">
        <v>3</v>
      </c>
      <c r="J442" s="11">
        <v>0.75</v>
      </c>
      <c r="K442" s="11">
        <v>0.5</v>
      </c>
      <c r="L442" s="11">
        <v>0</v>
      </c>
    </row>
    <row r="443" spans="1:12" x14ac:dyDescent="0.25">
      <c r="A443" s="11" t="s">
        <v>201</v>
      </c>
      <c r="B443" s="11">
        <v>0</v>
      </c>
      <c r="C443" s="11">
        <v>1</v>
      </c>
      <c r="D443" s="11">
        <v>0</v>
      </c>
      <c r="E443" s="11">
        <v>0</v>
      </c>
      <c r="F443" s="11">
        <v>2</v>
      </c>
      <c r="G443" s="11">
        <v>3</v>
      </c>
      <c r="H443" s="11">
        <v>1</v>
      </c>
      <c r="I443" s="11">
        <v>5</v>
      </c>
      <c r="J443" s="11">
        <v>1</v>
      </c>
      <c r="K443" s="11">
        <v>0.5</v>
      </c>
      <c r="L443" s="11">
        <v>0</v>
      </c>
    </row>
    <row r="444" spans="1:12" x14ac:dyDescent="0.25">
      <c r="A444" s="11" t="s">
        <v>202</v>
      </c>
      <c r="B444" s="11">
        <v>0</v>
      </c>
      <c r="C444" s="11">
        <v>1</v>
      </c>
      <c r="D444" s="11">
        <v>1</v>
      </c>
      <c r="E444" s="11">
        <v>0</v>
      </c>
      <c r="F444" s="11">
        <v>5</v>
      </c>
      <c r="G444" s="11">
        <v>11</v>
      </c>
      <c r="H444" s="11"/>
      <c r="I444" s="11">
        <v>5</v>
      </c>
      <c r="J444" s="11">
        <v>0.5</v>
      </c>
      <c r="K444" s="11">
        <v>0.5</v>
      </c>
      <c r="L444" s="11">
        <v>0</v>
      </c>
    </row>
    <row r="445" spans="1:12" x14ac:dyDescent="0.25">
      <c r="A445" s="11" t="s">
        <v>203</v>
      </c>
      <c r="B445" s="11">
        <v>0</v>
      </c>
      <c r="C445" s="11">
        <v>1</v>
      </c>
      <c r="D445" s="11">
        <v>0</v>
      </c>
      <c r="E445" s="11">
        <v>0</v>
      </c>
      <c r="F445" s="11">
        <v>6</v>
      </c>
      <c r="G445" s="11">
        <v>10</v>
      </c>
      <c r="H445" s="11"/>
      <c r="I445" s="11">
        <v>5</v>
      </c>
      <c r="J445" s="11">
        <v>0.5</v>
      </c>
      <c r="K445" s="11">
        <v>0.5</v>
      </c>
      <c r="L445" s="11">
        <v>0</v>
      </c>
    </row>
    <row r="446" spans="1:12" x14ac:dyDescent="0.25">
      <c r="A446" s="11" t="s">
        <v>204</v>
      </c>
      <c r="B446" s="11">
        <v>0</v>
      </c>
      <c r="C446" s="11">
        <v>1</v>
      </c>
      <c r="D446" s="11">
        <v>0</v>
      </c>
      <c r="E446" s="11">
        <v>0</v>
      </c>
      <c r="F446" s="11">
        <v>7</v>
      </c>
      <c r="G446" s="11">
        <v>12</v>
      </c>
      <c r="H446" s="11"/>
      <c r="I446" s="11">
        <v>5</v>
      </c>
      <c r="J446" s="11">
        <v>0.5</v>
      </c>
      <c r="K446" s="11">
        <v>0.5</v>
      </c>
      <c r="L446" s="11">
        <v>0</v>
      </c>
    </row>
    <row r="447" spans="1:12" x14ac:dyDescent="0.25">
      <c r="A447" s="11" t="s">
        <v>205</v>
      </c>
      <c r="B447" s="11">
        <v>0</v>
      </c>
      <c r="C447" s="11">
        <v>1</v>
      </c>
      <c r="D447" s="11">
        <v>0</v>
      </c>
      <c r="E447" s="11">
        <v>0</v>
      </c>
      <c r="F447" s="11">
        <v>2</v>
      </c>
      <c r="G447" s="11">
        <v>2</v>
      </c>
      <c r="H447" s="11">
        <v>1</v>
      </c>
      <c r="I447" s="11">
        <v>5</v>
      </c>
      <c r="J447" s="11">
        <v>1</v>
      </c>
      <c r="K447" s="11">
        <v>0.5</v>
      </c>
      <c r="L447" s="11">
        <v>0</v>
      </c>
    </row>
    <row r="448" spans="1:12" x14ac:dyDescent="0.25">
      <c r="A448" s="11" t="s">
        <v>545</v>
      </c>
      <c r="B448" s="11">
        <v>0</v>
      </c>
      <c r="C448" s="11">
        <v>1</v>
      </c>
      <c r="D448" s="11">
        <v>0</v>
      </c>
      <c r="E448" s="11">
        <v>0</v>
      </c>
      <c r="F448" s="11">
        <v>0</v>
      </c>
      <c r="G448" s="11">
        <v>0</v>
      </c>
      <c r="H448" s="11"/>
      <c r="I448" s="11">
        <v>3</v>
      </c>
      <c r="J448" s="11">
        <v>0.75</v>
      </c>
      <c r="K448" s="11">
        <v>0.5</v>
      </c>
      <c r="L448" s="11">
        <v>0</v>
      </c>
    </row>
    <row r="449" spans="1:12" x14ac:dyDescent="0.25">
      <c r="A449" s="11" t="s">
        <v>546</v>
      </c>
      <c r="B449" s="11">
        <v>0</v>
      </c>
      <c r="C449" s="11">
        <v>1</v>
      </c>
      <c r="D449" s="11">
        <v>0</v>
      </c>
      <c r="E449" s="11">
        <v>0</v>
      </c>
      <c r="F449" s="11">
        <v>5</v>
      </c>
      <c r="G449" s="11">
        <v>9</v>
      </c>
      <c r="H449" s="11"/>
      <c r="I449" s="11">
        <v>3</v>
      </c>
      <c r="J449" s="11">
        <v>0.75</v>
      </c>
      <c r="K449" s="11">
        <v>0.5</v>
      </c>
      <c r="L449" s="11">
        <v>0</v>
      </c>
    </row>
    <row r="450" spans="1:12" x14ac:dyDescent="0.25">
      <c r="A450" s="11" t="s">
        <v>547</v>
      </c>
      <c r="B450" s="11">
        <v>0</v>
      </c>
      <c r="C450" s="11">
        <v>1</v>
      </c>
      <c r="D450" s="11">
        <v>0</v>
      </c>
      <c r="E450" s="11">
        <v>0</v>
      </c>
      <c r="F450" s="11">
        <v>5</v>
      </c>
      <c r="G450" s="11">
        <v>11</v>
      </c>
      <c r="H450" s="11"/>
      <c r="I450" s="11">
        <v>3</v>
      </c>
      <c r="J450" s="11">
        <v>0.75</v>
      </c>
      <c r="K450" s="11">
        <v>0.5</v>
      </c>
      <c r="L450" s="11">
        <v>0</v>
      </c>
    </row>
    <row r="451" spans="1:12" x14ac:dyDescent="0.25">
      <c r="A451" s="11" t="s">
        <v>548</v>
      </c>
      <c r="B451" s="11">
        <v>0</v>
      </c>
      <c r="C451" s="11">
        <v>1</v>
      </c>
      <c r="D451" s="11">
        <v>0</v>
      </c>
      <c r="E451" s="11">
        <v>0</v>
      </c>
      <c r="F451" s="11">
        <v>4</v>
      </c>
      <c r="G451" s="11">
        <v>11</v>
      </c>
      <c r="H451" s="11"/>
      <c r="I451" s="11">
        <v>3</v>
      </c>
      <c r="J451" s="11">
        <v>0.75</v>
      </c>
      <c r="K451" s="11">
        <v>0.5</v>
      </c>
      <c r="L451" s="11">
        <v>0</v>
      </c>
    </row>
    <row r="452" spans="1:12" x14ac:dyDescent="0.25">
      <c r="A452" s="11" t="s">
        <v>549</v>
      </c>
      <c r="B452" s="11">
        <v>0</v>
      </c>
      <c r="C452" s="11">
        <v>1</v>
      </c>
      <c r="D452" s="11">
        <v>1</v>
      </c>
      <c r="E452" s="11">
        <v>0</v>
      </c>
      <c r="F452" s="11">
        <v>0</v>
      </c>
      <c r="G452" s="11">
        <v>0</v>
      </c>
      <c r="H452" s="11"/>
      <c r="I452" s="11"/>
      <c r="J452" s="11">
        <v>0.5</v>
      </c>
      <c r="K452" s="11">
        <v>0.5</v>
      </c>
      <c r="L452" s="11">
        <v>0</v>
      </c>
    </row>
    <row r="453" spans="1:12" x14ac:dyDescent="0.25">
      <c r="A453" s="11" t="s">
        <v>206</v>
      </c>
      <c r="B453" s="11">
        <v>0</v>
      </c>
      <c r="C453" s="11">
        <v>1</v>
      </c>
      <c r="D453" s="11">
        <v>0</v>
      </c>
      <c r="E453" s="11">
        <v>0</v>
      </c>
      <c r="F453" s="11">
        <v>4</v>
      </c>
      <c r="G453" s="11">
        <v>8</v>
      </c>
      <c r="H453" s="11"/>
      <c r="I453" s="11">
        <v>5</v>
      </c>
      <c r="J453" s="11">
        <v>0.75</v>
      </c>
      <c r="K453" s="11">
        <v>0.5</v>
      </c>
      <c r="L453" s="11">
        <v>0</v>
      </c>
    </row>
    <row r="454" spans="1:12" x14ac:dyDescent="0.25">
      <c r="A454" s="11" t="s">
        <v>550</v>
      </c>
      <c r="B454" s="11">
        <v>0</v>
      </c>
      <c r="C454" s="11">
        <v>1</v>
      </c>
      <c r="D454" s="11">
        <v>0</v>
      </c>
      <c r="E454" s="11">
        <v>0</v>
      </c>
      <c r="F454" s="11">
        <v>4</v>
      </c>
      <c r="G454" s="11">
        <v>11</v>
      </c>
      <c r="H454" s="11"/>
      <c r="I454" s="11">
        <v>3</v>
      </c>
      <c r="J454" s="11">
        <v>0.75</v>
      </c>
      <c r="K454" s="11">
        <v>0.5</v>
      </c>
      <c r="L454" s="11">
        <v>0</v>
      </c>
    </row>
    <row r="455" spans="1:12" x14ac:dyDescent="0.25">
      <c r="A455" s="11" t="s">
        <v>551</v>
      </c>
      <c r="B455" s="11">
        <v>0</v>
      </c>
      <c r="C455" s="11">
        <v>1</v>
      </c>
      <c r="D455" s="11">
        <v>0</v>
      </c>
      <c r="E455" s="11">
        <v>0</v>
      </c>
      <c r="F455" s="11">
        <v>4</v>
      </c>
      <c r="G455" s="11">
        <v>11</v>
      </c>
      <c r="H455" s="11"/>
      <c r="I455" s="11">
        <v>4</v>
      </c>
      <c r="J455" s="11">
        <v>0.5</v>
      </c>
      <c r="K455" s="11">
        <v>0.5</v>
      </c>
      <c r="L455" s="11">
        <v>0</v>
      </c>
    </row>
    <row r="456" spans="1:12" x14ac:dyDescent="0.25">
      <c r="A456" s="11" t="s">
        <v>552</v>
      </c>
      <c r="B456" s="11">
        <v>0</v>
      </c>
      <c r="C456" s="11">
        <v>1</v>
      </c>
      <c r="D456" s="11">
        <v>0</v>
      </c>
      <c r="E456" s="11">
        <v>0</v>
      </c>
      <c r="F456" s="11">
        <v>0</v>
      </c>
      <c r="G456" s="11">
        <v>0</v>
      </c>
      <c r="H456" s="11"/>
      <c r="I456" s="11">
        <v>3</v>
      </c>
      <c r="J456" s="11">
        <v>0.5</v>
      </c>
      <c r="K456" s="11">
        <v>0.5</v>
      </c>
      <c r="L456" s="11">
        <v>0</v>
      </c>
    </row>
    <row r="457" spans="1:12" x14ac:dyDescent="0.25">
      <c r="A457" s="11" t="s">
        <v>553</v>
      </c>
      <c r="B457" s="11">
        <v>0</v>
      </c>
      <c r="C457" s="11">
        <v>1</v>
      </c>
      <c r="D457" s="11">
        <v>0</v>
      </c>
      <c r="E457" s="11">
        <v>0</v>
      </c>
      <c r="F457" s="11">
        <v>5</v>
      </c>
      <c r="G457" s="11">
        <v>12</v>
      </c>
      <c r="H457" s="11"/>
      <c r="I457" s="11">
        <v>3</v>
      </c>
      <c r="J457" s="11">
        <v>0.75</v>
      </c>
      <c r="K457" s="11">
        <v>0.5</v>
      </c>
      <c r="L457" s="11">
        <v>0</v>
      </c>
    </row>
    <row r="458" spans="1:12" x14ac:dyDescent="0.25">
      <c r="A458" s="11" t="s">
        <v>554</v>
      </c>
      <c r="B458" s="11">
        <v>0</v>
      </c>
      <c r="C458" s="11">
        <v>1</v>
      </c>
      <c r="D458" s="11">
        <v>1</v>
      </c>
      <c r="E458" s="11">
        <v>0</v>
      </c>
      <c r="F458" s="11">
        <v>0</v>
      </c>
      <c r="G458" s="11">
        <v>0</v>
      </c>
      <c r="H458" s="11"/>
      <c r="I458" s="11"/>
      <c r="J458" s="11">
        <v>0.5</v>
      </c>
      <c r="K458" s="11">
        <v>0.5</v>
      </c>
      <c r="L458" s="11">
        <v>0</v>
      </c>
    </row>
    <row r="459" spans="1:12" x14ac:dyDescent="0.25">
      <c r="A459" s="11" t="s">
        <v>555</v>
      </c>
      <c r="B459" s="11">
        <v>0</v>
      </c>
      <c r="C459" s="11">
        <v>1</v>
      </c>
      <c r="D459" s="11">
        <v>1</v>
      </c>
      <c r="E459" s="11">
        <v>0</v>
      </c>
      <c r="F459" s="11">
        <v>3</v>
      </c>
      <c r="G459" s="11">
        <v>3</v>
      </c>
      <c r="H459" s="11"/>
      <c r="I459" s="11">
        <v>1</v>
      </c>
      <c r="J459" s="11">
        <v>0.75</v>
      </c>
      <c r="K459" s="11">
        <v>0.5</v>
      </c>
      <c r="L459" s="11">
        <v>0</v>
      </c>
    </row>
    <row r="460" spans="1:12" x14ac:dyDescent="0.25">
      <c r="A460" s="11" t="s">
        <v>207</v>
      </c>
      <c r="B460" s="11">
        <v>0</v>
      </c>
      <c r="C460" s="11">
        <v>1</v>
      </c>
      <c r="D460" s="11">
        <v>0</v>
      </c>
      <c r="E460" s="11">
        <v>0</v>
      </c>
      <c r="F460" s="11">
        <v>6</v>
      </c>
      <c r="G460" s="11">
        <v>14</v>
      </c>
      <c r="H460" s="11"/>
      <c r="I460" s="11">
        <v>5</v>
      </c>
      <c r="J460" s="11">
        <v>1</v>
      </c>
      <c r="K460" s="11">
        <v>0.5</v>
      </c>
      <c r="L460" s="11">
        <v>0</v>
      </c>
    </row>
    <row r="461" spans="1:12" x14ac:dyDescent="0.25">
      <c r="A461" s="11" t="s">
        <v>208</v>
      </c>
      <c r="B461" s="11">
        <v>0</v>
      </c>
      <c r="C461" s="11">
        <v>1</v>
      </c>
      <c r="D461" s="11">
        <v>0</v>
      </c>
      <c r="E461" s="11">
        <v>0</v>
      </c>
      <c r="F461" s="11">
        <v>4</v>
      </c>
      <c r="G461" s="11">
        <v>11</v>
      </c>
      <c r="H461" s="11"/>
      <c r="I461" s="11">
        <v>5</v>
      </c>
      <c r="J461" s="11">
        <v>1</v>
      </c>
      <c r="K461" s="11">
        <v>0.5</v>
      </c>
      <c r="L461" s="11">
        <v>0</v>
      </c>
    </row>
    <row r="462" spans="1:12" x14ac:dyDescent="0.25">
      <c r="A462" s="11" t="s">
        <v>556</v>
      </c>
      <c r="B462" s="11">
        <v>0</v>
      </c>
      <c r="C462" s="11">
        <v>1</v>
      </c>
      <c r="D462" s="11">
        <v>0</v>
      </c>
      <c r="E462" s="11">
        <v>0</v>
      </c>
      <c r="F462" s="11">
        <v>10</v>
      </c>
      <c r="G462" s="11">
        <v>2</v>
      </c>
      <c r="H462" s="11"/>
      <c r="I462" s="11"/>
      <c r="J462" s="11">
        <v>0.75</v>
      </c>
      <c r="K462" s="11">
        <v>1</v>
      </c>
      <c r="L462" s="11">
        <v>0</v>
      </c>
    </row>
    <row r="463" spans="1:12" x14ac:dyDescent="0.25">
      <c r="A463" s="11" t="s">
        <v>557</v>
      </c>
      <c r="B463" s="11">
        <v>0</v>
      </c>
      <c r="C463" s="11">
        <v>0.25</v>
      </c>
      <c r="D463" s="11">
        <v>0</v>
      </c>
      <c r="E463" s="11">
        <v>0</v>
      </c>
      <c r="F463" s="11">
        <v>2</v>
      </c>
      <c r="G463" s="11">
        <v>3</v>
      </c>
      <c r="H463" s="11">
        <v>1</v>
      </c>
      <c r="I463" s="11"/>
      <c r="J463" s="11">
        <v>0.75</v>
      </c>
      <c r="K463" s="11">
        <v>1</v>
      </c>
      <c r="L463" s="11">
        <v>0</v>
      </c>
    </row>
    <row r="464" spans="1:12" x14ac:dyDescent="0.25">
      <c r="A464" s="11" t="s">
        <v>558</v>
      </c>
      <c r="B464" s="11">
        <v>0</v>
      </c>
      <c r="C464" s="11">
        <v>0.25</v>
      </c>
      <c r="D464" s="11">
        <v>0</v>
      </c>
      <c r="E464" s="11">
        <v>0</v>
      </c>
      <c r="F464" s="11">
        <v>12</v>
      </c>
      <c r="G464" s="11">
        <v>27</v>
      </c>
      <c r="H464" s="11"/>
      <c r="I464" s="11"/>
      <c r="J464" s="11">
        <v>0.5</v>
      </c>
      <c r="K464" s="11">
        <v>1</v>
      </c>
      <c r="L464" s="11">
        <v>0</v>
      </c>
    </row>
    <row r="465" spans="1:12" x14ac:dyDescent="0.25">
      <c r="A465" s="11" t="s">
        <v>559</v>
      </c>
      <c r="B465" s="11">
        <v>0</v>
      </c>
      <c r="C465" s="11">
        <v>1</v>
      </c>
      <c r="D465" s="11">
        <v>1</v>
      </c>
      <c r="E465" s="11">
        <v>0</v>
      </c>
      <c r="F465" s="11">
        <v>5</v>
      </c>
      <c r="G465" s="11">
        <v>11</v>
      </c>
      <c r="H465" s="11">
        <v>1</v>
      </c>
      <c r="I465" s="11">
        <v>5</v>
      </c>
      <c r="J465" s="11">
        <v>0.75</v>
      </c>
      <c r="K465" s="11">
        <v>1</v>
      </c>
      <c r="L465" s="11">
        <v>0</v>
      </c>
    </row>
    <row r="466" spans="1:12" x14ac:dyDescent="0.25">
      <c r="A466" s="11" t="s">
        <v>560</v>
      </c>
      <c r="B466" s="11">
        <v>0</v>
      </c>
      <c r="C466" s="11">
        <v>1</v>
      </c>
      <c r="D466" s="11">
        <v>0</v>
      </c>
      <c r="E466" s="11">
        <v>0</v>
      </c>
      <c r="F466" s="11">
        <v>0</v>
      </c>
      <c r="G466" s="11">
        <v>0</v>
      </c>
      <c r="H466" s="11"/>
      <c r="I466" s="11">
        <v>1</v>
      </c>
      <c r="J466" s="11">
        <v>0.5</v>
      </c>
      <c r="K466" s="11">
        <v>1</v>
      </c>
      <c r="L466" s="11">
        <v>0</v>
      </c>
    </row>
    <row r="467" spans="1:12" x14ac:dyDescent="0.25">
      <c r="A467" s="11" t="s">
        <v>561</v>
      </c>
      <c r="B467" s="11">
        <v>0</v>
      </c>
      <c r="C467" s="11">
        <v>1</v>
      </c>
      <c r="D467" s="11">
        <v>0</v>
      </c>
      <c r="E467" s="11">
        <v>0</v>
      </c>
      <c r="F467" s="11">
        <v>0</v>
      </c>
      <c r="G467" s="11">
        <v>0</v>
      </c>
      <c r="H467" s="11"/>
      <c r="I467" s="11">
        <v>1</v>
      </c>
      <c r="J467" s="11">
        <v>1</v>
      </c>
      <c r="K467" s="11">
        <v>1</v>
      </c>
      <c r="L467" s="11">
        <v>0</v>
      </c>
    </row>
    <row r="468" spans="1:12" x14ac:dyDescent="0.25">
      <c r="A468" s="11" t="s">
        <v>562</v>
      </c>
      <c r="B468" s="11">
        <v>0</v>
      </c>
      <c r="C468" s="11">
        <v>1</v>
      </c>
      <c r="D468" s="11">
        <v>1</v>
      </c>
      <c r="E468" s="11">
        <v>0</v>
      </c>
      <c r="F468" s="11">
        <v>7</v>
      </c>
      <c r="G468" s="11">
        <v>0</v>
      </c>
      <c r="H468" s="11"/>
      <c r="I468" s="11">
        <v>1</v>
      </c>
      <c r="J468" s="11">
        <v>0.5</v>
      </c>
      <c r="K468" s="11">
        <v>1</v>
      </c>
      <c r="L468" s="11">
        <v>0</v>
      </c>
    </row>
    <row r="469" spans="1:12" x14ac:dyDescent="0.25">
      <c r="A469" s="11" t="s">
        <v>209</v>
      </c>
      <c r="B469" s="11">
        <v>0</v>
      </c>
      <c r="C469" s="11">
        <v>1</v>
      </c>
      <c r="D469" s="11">
        <v>0</v>
      </c>
      <c r="E469" s="11">
        <v>0</v>
      </c>
      <c r="F469" s="11">
        <v>2</v>
      </c>
      <c r="G469" s="11">
        <v>0</v>
      </c>
      <c r="H469" s="11"/>
      <c r="I469" s="11"/>
      <c r="J469" s="11">
        <v>0.5</v>
      </c>
      <c r="K469" s="11">
        <v>1</v>
      </c>
      <c r="L469" s="11">
        <v>0</v>
      </c>
    </row>
    <row r="470" spans="1:12" x14ac:dyDescent="0.25">
      <c r="A470" s="11" t="s">
        <v>639</v>
      </c>
      <c r="B470" s="11">
        <v>1</v>
      </c>
      <c r="C470" s="11">
        <v>0.25</v>
      </c>
      <c r="D470" s="11">
        <v>0</v>
      </c>
      <c r="E470" s="11">
        <v>0</v>
      </c>
      <c r="F470" s="11">
        <v>4</v>
      </c>
      <c r="G470" s="11">
        <v>6</v>
      </c>
      <c r="H470" s="11"/>
      <c r="I470" s="11"/>
      <c r="J470" s="11">
        <v>0.75</v>
      </c>
      <c r="K470" s="11">
        <v>1</v>
      </c>
      <c r="L470" s="11">
        <v>0</v>
      </c>
    </row>
    <row r="471" spans="1:12" x14ac:dyDescent="0.25">
      <c r="A471" s="11" t="s">
        <v>563</v>
      </c>
      <c r="B471" s="11">
        <v>0</v>
      </c>
      <c r="C471" s="11">
        <v>1</v>
      </c>
      <c r="D471" s="11">
        <v>1</v>
      </c>
      <c r="E471" s="11">
        <v>1</v>
      </c>
      <c r="F471" s="11">
        <v>5</v>
      </c>
      <c r="G471" s="11">
        <v>7</v>
      </c>
      <c r="H471" s="11"/>
      <c r="I471" s="11">
        <v>2</v>
      </c>
      <c r="J471" s="11">
        <v>0.75</v>
      </c>
      <c r="K471" s="11">
        <v>1</v>
      </c>
      <c r="L471" s="11">
        <v>0</v>
      </c>
    </row>
    <row r="472" spans="1:12" x14ac:dyDescent="0.25">
      <c r="A472" s="11" t="s">
        <v>210</v>
      </c>
      <c r="B472" s="11">
        <v>0</v>
      </c>
      <c r="C472" s="11">
        <v>1</v>
      </c>
      <c r="D472" s="11">
        <v>0</v>
      </c>
      <c r="E472" s="11">
        <v>0</v>
      </c>
      <c r="F472" s="11">
        <v>4</v>
      </c>
      <c r="G472" s="11">
        <v>4</v>
      </c>
      <c r="H472" s="11"/>
      <c r="I472" s="11"/>
      <c r="J472" s="11">
        <v>1</v>
      </c>
      <c r="K472" s="11">
        <v>0.5</v>
      </c>
      <c r="L472" s="11">
        <v>0</v>
      </c>
    </row>
    <row r="473" spans="1:12" x14ac:dyDescent="0.25">
      <c r="A473" s="11" t="s">
        <v>211</v>
      </c>
      <c r="B473" s="11">
        <v>0</v>
      </c>
      <c r="C473" s="11">
        <v>1</v>
      </c>
      <c r="D473" s="11">
        <v>1</v>
      </c>
      <c r="E473" s="11">
        <v>0</v>
      </c>
      <c r="F473" s="11">
        <v>4</v>
      </c>
      <c r="G473" s="11">
        <v>11</v>
      </c>
      <c r="H473" s="11"/>
      <c r="I473" s="11">
        <v>4</v>
      </c>
      <c r="J473" s="11">
        <v>1</v>
      </c>
      <c r="K473" s="11">
        <v>0.5</v>
      </c>
      <c r="L473" s="11">
        <v>0</v>
      </c>
    </row>
    <row r="474" spans="1:12" x14ac:dyDescent="0.25">
      <c r="A474" s="11" t="s">
        <v>564</v>
      </c>
      <c r="B474" s="11">
        <v>0</v>
      </c>
      <c r="C474" s="11">
        <v>0.25</v>
      </c>
      <c r="D474" s="11">
        <v>0</v>
      </c>
      <c r="E474" s="11">
        <v>0</v>
      </c>
      <c r="F474" s="11">
        <v>4</v>
      </c>
      <c r="G474" s="11">
        <v>11</v>
      </c>
      <c r="H474" s="11"/>
      <c r="I474" s="11">
        <v>4</v>
      </c>
      <c r="J474" s="11">
        <v>1</v>
      </c>
      <c r="K474" s="11">
        <v>0.5</v>
      </c>
      <c r="L474" s="11">
        <v>0</v>
      </c>
    </row>
    <row r="475" spans="1:12" x14ac:dyDescent="0.25">
      <c r="A475" s="11" t="s">
        <v>565</v>
      </c>
      <c r="B475" s="11">
        <v>0</v>
      </c>
      <c r="C475" s="11">
        <v>0.25</v>
      </c>
      <c r="D475" s="11">
        <v>0</v>
      </c>
      <c r="E475" s="11">
        <v>0</v>
      </c>
      <c r="F475" s="11">
        <v>3</v>
      </c>
      <c r="G475" s="11">
        <v>10</v>
      </c>
      <c r="H475" s="11"/>
      <c r="I475" s="11">
        <v>2</v>
      </c>
      <c r="J475" s="11">
        <v>1</v>
      </c>
      <c r="K475" s="11">
        <v>0.5</v>
      </c>
      <c r="L475" s="11">
        <v>0</v>
      </c>
    </row>
    <row r="476" spans="1:12" x14ac:dyDescent="0.25">
      <c r="A476" s="11" t="s">
        <v>566</v>
      </c>
      <c r="B476" s="11">
        <v>0</v>
      </c>
      <c r="C476" s="11">
        <v>0.25</v>
      </c>
      <c r="D476" s="11">
        <v>0</v>
      </c>
      <c r="E476" s="11">
        <v>0</v>
      </c>
      <c r="F476" s="11">
        <v>5</v>
      </c>
      <c r="G476" s="11">
        <v>12</v>
      </c>
      <c r="H476" s="11"/>
      <c r="I476" s="11">
        <v>4</v>
      </c>
      <c r="J476" s="11">
        <v>1</v>
      </c>
      <c r="K476" s="11">
        <v>0.5</v>
      </c>
      <c r="L476" s="11">
        <v>0</v>
      </c>
    </row>
    <row r="477" spans="1:12" x14ac:dyDescent="0.25">
      <c r="A477" s="11" t="s">
        <v>212</v>
      </c>
      <c r="B477" s="11">
        <v>0</v>
      </c>
      <c r="C477" s="11">
        <v>1</v>
      </c>
      <c r="D477" s="11">
        <v>0</v>
      </c>
      <c r="E477" s="11">
        <v>1</v>
      </c>
      <c r="F477" s="11">
        <v>5</v>
      </c>
      <c r="G477" s="11">
        <v>12</v>
      </c>
      <c r="H477" s="11"/>
      <c r="I477" s="11">
        <v>1</v>
      </c>
      <c r="J477" s="11">
        <v>0.5</v>
      </c>
      <c r="K477" s="11">
        <v>0.5</v>
      </c>
      <c r="L477" s="11">
        <v>1</v>
      </c>
    </row>
    <row r="478" spans="1:12" x14ac:dyDescent="0.25">
      <c r="A478" s="11" t="s">
        <v>213</v>
      </c>
      <c r="B478" s="11">
        <v>0</v>
      </c>
      <c r="C478" s="11">
        <v>1</v>
      </c>
      <c r="D478" s="11">
        <v>0</v>
      </c>
      <c r="E478" s="11">
        <v>0</v>
      </c>
      <c r="F478" s="11">
        <v>5</v>
      </c>
      <c r="G478" s="11">
        <v>5</v>
      </c>
      <c r="H478" s="11"/>
      <c r="I478" s="11"/>
      <c r="J478" s="11">
        <v>1</v>
      </c>
      <c r="K478" s="11">
        <v>0.5</v>
      </c>
      <c r="L478" s="11">
        <v>0</v>
      </c>
    </row>
    <row r="479" spans="1:12" x14ac:dyDescent="0.25">
      <c r="A479" s="11" t="s">
        <v>567</v>
      </c>
      <c r="B479" s="11">
        <v>0</v>
      </c>
      <c r="C479" s="11">
        <v>0.25</v>
      </c>
      <c r="D479" s="11">
        <v>0</v>
      </c>
      <c r="E479" s="11">
        <v>0</v>
      </c>
      <c r="F479" s="11">
        <v>1</v>
      </c>
      <c r="G479" s="11">
        <v>1</v>
      </c>
      <c r="H479" s="11"/>
      <c r="I479" s="11"/>
      <c r="J479" s="11">
        <v>0.5</v>
      </c>
      <c r="K479" s="11">
        <v>1</v>
      </c>
      <c r="L479" s="11">
        <v>0</v>
      </c>
    </row>
    <row r="480" spans="1:12" x14ac:dyDescent="0.25">
      <c r="A480" s="11" t="s">
        <v>214</v>
      </c>
      <c r="B480" s="11">
        <v>0</v>
      </c>
      <c r="C480" s="11">
        <v>1</v>
      </c>
      <c r="D480" s="11">
        <v>0</v>
      </c>
      <c r="E480" s="11">
        <v>0</v>
      </c>
      <c r="F480" s="11">
        <v>4</v>
      </c>
      <c r="G480" s="11">
        <v>4</v>
      </c>
      <c r="H480" s="11"/>
      <c r="I480" s="11">
        <v>3</v>
      </c>
      <c r="J480" s="11">
        <v>1</v>
      </c>
      <c r="K480" s="11">
        <v>0.5</v>
      </c>
      <c r="L480" s="11">
        <v>0</v>
      </c>
    </row>
    <row r="481" spans="1:12" x14ac:dyDescent="0.25">
      <c r="A481" s="11" t="s">
        <v>568</v>
      </c>
      <c r="B481" s="11">
        <v>0</v>
      </c>
      <c r="C481" s="11">
        <v>0.25</v>
      </c>
      <c r="D481" s="11">
        <v>0</v>
      </c>
      <c r="E481" s="11">
        <v>0</v>
      </c>
      <c r="F481" s="11">
        <v>1</v>
      </c>
      <c r="G481" s="11">
        <v>1</v>
      </c>
      <c r="H481" s="11"/>
      <c r="I481" s="11"/>
      <c r="J481" s="11">
        <v>0.5</v>
      </c>
      <c r="K481" s="11">
        <v>0.5</v>
      </c>
      <c r="L481" s="11">
        <v>0</v>
      </c>
    </row>
    <row r="482" spans="1:12" x14ac:dyDescent="0.25">
      <c r="A482" s="11" t="s">
        <v>215</v>
      </c>
      <c r="B482" s="11">
        <v>0</v>
      </c>
      <c r="C482" s="11">
        <v>1</v>
      </c>
      <c r="D482" s="11">
        <v>0</v>
      </c>
      <c r="E482" s="11">
        <v>0</v>
      </c>
      <c r="F482" s="11">
        <v>6</v>
      </c>
      <c r="G482" s="11">
        <v>8</v>
      </c>
      <c r="H482" s="11"/>
      <c r="I482" s="11"/>
      <c r="J482" s="11">
        <v>1</v>
      </c>
      <c r="K482" s="11">
        <v>0.5</v>
      </c>
      <c r="L482" s="11">
        <v>0</v>
      </c>
    </row>
    <row r="483" spans="1:12" x14ac:dyDescent="0.25">
      <c r="A483" s="11" t="s">
        <v>569</v>
      </c>
      <c r="B483" s="11">
        <v>0</v>
      </c>
      <c r="C483" s="11">
        <v>1</v>
      </c>
      <c r="D483" s="11">
        <v>0</v>
      </c>
      <c r="E483" s="11">
        <v>0</v>
      </c>
      <c r="F483" s="11">
        <v>4</v>
      </c>
      <c r="G483" s="11">
        <v>7</v>
      </c>
      <c r="H483" s="11"/>
      <c r="I483" s="11">
        <v>4</v>
      </c>
      <c r="J483" s="11">
        <v>1</v>
      </c>
      <c r="K483" s="11">
        <v>0.5</v>
      </c>
      <c r="L483" s="11">
        <v>0</v>
      </c>
    </row>
    <row r="484" spans="1:12" x14ac:dyDescent="0.25">
      <c r="A484" s="11" t="s">
        <v>216</v>
      </c>
      <c r="B484" s="11">
        <v>0</v>
      </c>
      <c r="C484" s="11">
        <v>1</v>
      </c>
      <c r="D484" s="11">
        <v>0</v>
      </c>
      <c r="E484" s="11">
        <v>0</v>
      </c>
      <c r="F484" s="11">
        <v>5</v>
      </c>
      <c r="G484" s="11">
        <v>9</v>
      </c>
      <c r="H484" s="11"/>
      <c r="I484" s="11">
        <v>3</v>
      </c>
      <c r="J484" s="11">
        <v>1</v>
      </c>
      <c r="K484" s="11">
        <v>0.5</v>
      </c>
      <c r="L484" s="11">
        <v>0</v>
      </c>
    </row>
    <row r="485" spans="1:12" x14ac:dyDescent="0.25">
      <c r="A485" s="11" t="s">
        <v>570</v>
      </c>
      <c r="B485" s="11">
        <v>0</v>
      </c>
      <c r="C485" s="11">
        <v>1</v>
      </c>
      <c r="D485" s="11">
        <v>0</v>
      </c>
      <c r="E485" s="11">
        <v>0</v>
      </c>
      <c r="F485" s="11">
        <v>1</v>
      </c>
      <c r="G485" s="11">
        <v>1</v>
      </c>
      <c r="H485" s="11"/>
      <c r="I485" s="11"/>
      <c r="J485" s="11">
        <v>1</v>
      </c>
      <c r="K485" s="11">
        <v>0.5</v>
      </c>
      <c r="L485" s="11">
        <v>0</v>
      </c>
    </row>
    <row r="486" spans="1:12" x14ac:dyDescent="0.25">
      <c r="A486" s="11" t="s">
        <v>571</v>
      </c>
      <c r="B486" s="11">
        <v>0</v>
      </c>
      <c r="C486" s="11">
        <v>0.25</v>
      </c>
      <c r="D486" s="11">
        <v>0</v>
      </c>
      <c r="E486" s="11">
        <v>0</v>
      </c>
      <c r="F486" s="11">
        <v>6</v>
      </c>
      <c r="G486" s="11">
        <v>13</v>
      </c>
      <c r="H486" s="11"/>
      <c r="I486" s="11">
        <v>4</v>
      </c>
      <c r="J486" s="11">
        <v>1</v>
      </c>
      <c r="K486" s="11">
        <v>0.5</v>
      </c>
      <c r="L486" s="11">
        <v>0</v>
      </c>
    </row>
    <row r="487" spans="1:12" x14ac:dyDescent="0.25">
      <c r="A487" s="11" t="s">
        <v>572</v>
      </c>
      <c r="B487" s="11">
        <v>0</v>
      </c>
      <c r="C487" s="11">
        <v>1</v>
      </c>
      <c r="D487" s="11">
        <v>0</v>
      </c>
      <c r="E487" s="11">
        <v>0</v>
      </c>
      <c r="F487" s="11">
        <v>6</v>
      </c>
      <c r="G487" s="11">
        <v>12</v>
      </c>
      <c r="H487" s="11"/>
      <c r="I487" s="11">
        <v>3</v>
      </c>
      <c r="J487" s="11">
        <v>1</v>
      </c>
      <c r="K487" s="11">
        <v>0.5</v>
      </c>
      <c r="L487" s="11">
        <v>0</v>
      </c>
    </row>
    <row r="488" spans="1:12" x14ac:dyDescent="0.25">
      <c r="A488" s="11" t="s">
        <v>573</v>
      </c>
      <c r="B488" s="11">
        <v>0</v>
      </c>
      <c r="C488" s="11">
        <v>1</v>
      </c>
      <c r="D488" s="11">
        <v>0</v>
      </c>
      <c r="E488" s="11">
        <v>0</v>
      </c>
      <c r="F488" s="11">
        <v>1</v>
      </c>
      <c r="G488" s="11">
        <v>1</v>
      </c>
      <c r="H488" s="11"/>
      <c r="I488" s="11"/>
      <c r="J488" s="11">
        <v>1</v>
      </c>
      <c r="K488" s="11">
        <v>0.5</v>
      </c>
      <c r="L488" s="11">
        <v>0</v>
      </c>
    </row>
    <row r="489" spans="1:12" x14ac:dyDescent="0.25">
      <c r="A489" s="11" t="s">
        <v>32</v>
      </c>
      <c r="B489" s="11">
        <v>0</v>
      </c>
      <c r="C489" s="11">
        <v>0.25</v>
      </c>
      <c r="D489" s="11">
        <v>0</v>
      </c>
      <c r="E489" s="11">
        <v>0</v>
      </c>
      <c r="F489" s="11">
        <v>5</v>
      </c>
      <c r="G489" s="11">
        <v>12</v>
      </c>
      <c r="H489" s="11"/>
      <c r="I489" s="11">
        <v>5</v>
      </c>
      <c r="J489" s="11">
        <v>1</v>
      </c>
      <c r="K489" s="11">
        <v>0.5</v>
      </c>
      <c r="L489" s="11">
        <v>0</v>
      </c>
    </row>
    <row r="490" spans="1:12" x14ac:dyDescent="0.25">
      <c r="A490" s="11" t="s">
        <v>574</v>
      </c>
      <c r="B490" s="11">
        <v>0</v>
      </c>
      <c r="C490" s="11">
        <v>1</v>
      </c>
      <c r="D490" s="11">
        <v>0</v>
      </c>
      <c r="E490" s="11">
        <v>0</v>
      </c>
      <c r="F490" s="11">
        <v>1</v>
      </c>
      <c r="G490" s="11">
        <v>1</v>
      </c>
      <c r="H490" s="11"/>
      <c r="I490" s="11"/>
      <c r="J490" s="11">
        <v>1</v>
      </c>
      <c r="K490" s="11">
        <v>0.5</v>
      </c>
      <c r="L490" s="11">
        <v>0</v>
      </c>
    </row>
    <row r="491" spans="1:12" x14ac:dyDescent="0.25">
      <c r="A491" s="11" t="s">
        <v>217</v>
      </c>
      <c r="B491" s="11">
        <v>0</v>
      </c>
      <c r="C491" s="11">
        <v>1</v>
      </c>
      <c r="D491" s="11">
        <v>0</v>
      </c>
      <c r="E491" s="11">
        <v>0</v>
      </c>
      <c r="F491" s="11">
        <v>4</v>
      </c>
      <c r="G491" s="11">
        <v>10</v>
      </c>
      <c r="H491" s="11"/>
      <c r="I491" s="11">
        <v>4</v>
      </c>
      <c r="J491" s="11">
        <v>0.5</v>
      </c>
      <c r="K491" s="11">
        <v>0.5</v>
      </c>
      <c r="L491" s="11">
        <v>1</v>
      </c>
    </row>
    <row r="492" spans="1:12" x14ac:dyDescent="0.25">
      <c r="A492" s="11" t="s">
        <v>575</v>
      </c>
      <c r="B492" s="11">
        <v>0</v>
      </c>
      <c r="C492" s="11">
        <v>1</v>
      </c>
      <c r="D492" s="11">
        <v>1</v>
      </c>
      <c r="E492" s="11">
        <v>0</v>
      </c>
      <c r="F492" s="11">
        <v>4</v>
      </c>
      <c r="G492" s="11">
        <v>11</v>
      </c>
      <c r="H492" s="11"/>
      <c r="I492" s="11">
        <v>3</v>
      </c>
      <c r="J492" s="11">
        <v>1</v>
      </c>
      <c r="K492" s="11">
        <v>0.5</v>
      </c>
      <c r="L492" s="11">
        <v>0</v>
      </c>
    </row>
    <row r="493" spans="1:12" x14ac:dyDescent="0.25">
      <c r="A493" s="11" t="s">
        <v>576</v>
      </c>
      <c r="B493" s="11">
        <v>0</v>
      </c>
      <c r="C493" s="11">
        <v>1</v>
      </c>
      <c r="D493" s="11">
        <v>0</v>
      </c>
      <c r="E493" s="11">
        <v>0</v>
      </c>
      <c r="F493" s="11">
        <v>5</v>
      </c>
      <c r="G493" s="11">
        <v>11</v>
      </c>
      <c r="H493" s="11"/>
      <c r="I493" s="11">
        <v>3</v>
      </c>
      <c r="J493" s="11">
        <v>0.75</v>
      </c>
      <c r="K493" s="11">
        <v>0.5</v>
      </c>
      <c r="L493" s="11">
        <v>0</v>
      </c>
    </row>
    <row r="494" spans="1:12" x14ac:dyDescent="0.25">
      <c r="A494" s="11" t="s">
        <v>218</v>
      </c>
      <c r="B494" s="11">
        <v>0</v>
      </c>
      <c r="C494" s="11">
        <v>1</v>
      </c>
      <c r="D494" s="11">
        <v>0</v>
      </c>
      <c r="E494" s="11">
        <v>0</v>
      </c>
      <c r="F494" s="11">
        <v>5</v>
      </c>
      <c r="G494" s="11">
        <v>12</v>
      </c>
      <c r="H494" s="11"/>
      <c r="I494" s="11">
        <v>5</v>
      </c>
      <c r="J494" s="11">
        <v>1</v>
      </c>
      <c r="K494" s="11">
        <v>0.5</v>
      </c>
      <c r="L494" s="11">
        <v>0</v>
      </c>
    </row>
    <row r="495" spans="1:12" x14ac:dyDescent="0.25">
      <c r="A495" s="11" t="s">
        <v>577</v>
      </c>
      <c r="B495" s="11">
        <v>0</v>
      </c>
      <c r="C495" s="11">
        <v>1</v>
      </c>
      <c r="D495" s="11">
        <v>0</v>
      </c>
      <c r="E495" s="11">
        <v>0</v>
      </c>
      <c r="F495" s="11">
        <v>4</v>
      </c>
      <c r="G495" s="11">
        <v>5</v>
      </c>
      <c r="H495" s="11"/>
      <c r="I495" s="11">
        <v>5</v>
      </c>
      <c r="J495" s="11">
        <v>1</v>
      </c>
      <c r="K495" s="11">
        <v>0.5</v>
      </c>
      <c r="L495" s="11">
        <v>0</v>
      </c>
    </row>
    <row r="496" spans="1:12" x14ac:dyDescent="0.25">
      <c r="A496" s="11" t="s">
        <v>219</v>
      </c>
      <c r="B496" s="11">
        <v>0</v>
      </c>
      <c r="C496" s="11">
        <v>1</v>
      </c>
      <c r="D496" s="11">
        <v>0</v>
      </c>
      <c r="E496" s="11">
        <v>0</v>
      </c>
      <c r="F496" s="11">
        <v>6</v>
      </c>
      <c r="G496" s="11">
        <v>12</v>
      </c>
      <c r="H496" s="11"/>
      <c r="I496" s="11">
        <v>5</v>
      </c>
      <c r="J496" s="11">
        <v>1</v>
      </c>
      <c r="K496" s="11">
        <v>0.5</v>
      </c>
      <c r="L496" s="11">
        <v>0</v>
      </c>
    </row>
    <row r="497" spans="1:12" x14ac:dyDescent="0.25">
      <c r="A497" s="11" t="s">
        <v>220</v>
      </c>
      <c r="B497" s="11">
        <v>0</v>
      </c>
      <c r="C497" s="11">
        <v>1</v>
      </c>
      <c r="D497" s="11">
        <v>0</v>
      </c>
      <c r="E497" s="11">
        <v>0</v>
      </c>
      <c r="F497" s="11">
        <v>2</v>
      </c>
      <c r="G497" s="11">
        <v>2</v>
      </c>
      <c r="H497" s="11"/>
      <c r="I497" s="11">
        <v>5</v>
      </c>
      <c r="J497" s="11">
        <v>0.75</v>
      </c>
      <c r="K497" s="11">
        <v>0.5</v>
      </c>
      <c r="L497" s="11">
        <v>0</v>
      </c>
    </row>
    <row r="498" spans="1:12" x14ac:dyDescent="0.25">
      <c r="A498" s="11" t="s">
        <v>221</v>
      </c>
      <c r="B498" s="11">
        <v>0</v>
      </c>
      <c r="C498" s="11">
        <v>1</v>
      </c>
      <c r="D498" s="11">
        <v>1</v>
      </c>
      <c r="E498" s="11">
        <v>0</v>
      </c>
      <c r="F498" s="11">
        <v>5</v>
      </c>
      <c r="G498" s="11">
        <v>11</v>
      </c>
      <c r="H498" s="11">
        <v>1</v>
      </c>
      <c r="I498" s="11">
        <v>5</v>
      </c>
      <c r="J498" s="11">
        <v>0.5</v>
      </c>
      <c r="K498" s="11">
        <v>0.5</v>
      </c>
      <c r="L498" s="11">
        <v>0</v>
      </c>
    </row>
    <row r="499" spans="1:12" x14ac:dyDescent="0.25">
      <c r="A499" s="11" t="s">
        <v>222</v>
      </c>
      <c r="B499" s="11">
        <v>0</v>
      </c>
      <c r="C499" s="11">
        <v>1</v>
      </c>
      <c r="D499" s="11">
        <v>0</v>
      </c>
      <c r="E499" s="11">
        <v>0</v>
      </c>
      <c r="F499" s="11">
        <v>5</v>
      </c>
      <c r="G499" s="11">
        <v>12</v>
      </c>
      <c r="H499" s="11"/>
      <c r="I499" s="11">
        <v>5</v>
      </c>
      <c r="J499" s="11">
        <v>0.75</v>
      </c>
      <c r="K499" s="11">
        <v>0.5</v>
      </c>
      <c r="L499" s="11">
        <v>0</v>
      </c>
    </row>
    <row r="500" spans="1:12" x14ac:dyDescent="0.25">
      <c r="A500" s="11" t="s">
        <v>578</v>
      </c>
      <c r="B500" s="11">
        <v>0</v>
      </c>
      <c r="C500" s="11">
        <v>1</v>
      </c>
      <c r="D500" s="11">
        <v>0</v>
      </c>
      <c r="E500" s="11">
        <v>0</v>
      </c>
      <c r="F500" s="11">
        <v>5</v>
      </c>
      <c r="G500" s="11">
        <v>11</v>
      </c>
      <c r="H500" s="11"/>
      <c r="I500" s="11">
        <v>3</v>
      </c>
      <c r="J500" s="11">
        <v>0.75</v>
      </c>
      <c r="K500" s="11">
        <v>0.5</v>
      </c>
      <c r="L500" s="11">
        <v>0</v>
      </c>
    </row>
    <row r="501" spans="1:12" x14ac:dyDescent="0.25">
      <c r="A501" s="11" t="s">
        <v>223</v>
      </c>
      <c r="B501" s="11">
        <v>0</v>
      </c>
      <c r="C501" s="11">
        <v>1</v>
      </c>
      <c r="D501" s="11">
        <v>0</v>
      </c>
      <c r="E501" s="11">
        <v>0</v>
      </c>
      <c r="F501" s="11">
        <v>6</v>
      </c>
      <c r="G501" s="11">
        <v>12</v>
      </c>
      <c r="H501" s="11">
        <v>1</v>
      </c>
      <c r="I501" s="11">
        <v>5</v>
      </c>
      <c r="J501" s="11">
        <v>1</v>
      </c>
      <c r="K501" s="11">
        <v>0.5</v>
      </c>
      <c r="L501" s="11">
        <v>0</v>
      </c>
    </row>
    <row r="502" spans="1:12" x14ac:dyDescent="0.25">
      <c r="A502" s="11" t="s">
        <v>579</v>
      </c>
      <c r="B502" s="11">
        <v>0</v>
      </c>
      <c r="C502" s="11">
        <v>1</v>
      </c>
      <c r="D502" s="11">
        <v>0</v>
      </c>
      <c r="E502" s="11">
        <v>0</v>
      </c>
      <c r="F502" s="11">
        <v>4</v>
      </c>
      <c r="G502" s="11">
        <v>11</v>
      </c>
      <c r="H502" s="11"/>
      <c r="I502" s="11">
        <v>4</v>
      </c>
      <c r="J502" s="11">
        <v>0.75</v>
      </c>
      <c r="K502" s="11">
        <v>0.5</v>
      </c>
      <c r="L502" s="11">
        <v>0</v>
      </c>
    </row>
    <row r="503" spans="1:12" x14ac:dyDescent="0.25">
      <c r="A503" s="11" t="s">
        <v>580</v>
      </c>
      <c r="B503" s="11">
        <v>0</v>
      </c>
      <c r="C503" s="11">
        <v>1</v>
      </c>
      <c r="D503" s="11">
        <v>0</v>
      </c>
      <c r="E503" s="11">
        <v>0</v>
      </c>
      <c r="F503" s="11">
        <v>3</v>
      </c>
      <c r="G503" s="11">
        <v>8</v>
      </c>
      <c r="H503" s="11"/>
      <c r="I503" s="11">
        <v>3</v>
      </c>
      <c r="J503" s="11">
        <v>0.75</v>
      </c>
      <c r="K503" s="11">
        <v>0.5</v>
      </c>
      <c r="L503" s="11">
        <v>0</v>
      </c>
    </row>
    <row r="504" spans="1:12" x14ac:dyDescent="0.25">
      <c r="A504" s="11" t="s">
        <v>581</v>
      </c>
      <c r="B504" s="11">
        <v>0</v>
      </c>
      <c r="C504" s="11">
        <v>1</v>
      </c>
      <c r="D504" s="11">
        <v>0</v>
      </c>
      <c r="E504" s="11">
        <v>0</v>
      </c>
      <c r="F504" s="11">
        <v>4</v>
      </c>
      <c r="G504" s="11">
        <v>10</v>
      </c>
      <c r="H504" s="11"/>
      <c r="I504" s="11">
        <v>3</v>
      </c>
      <c r="J504" s="11">
        <v>0.75</v>
      </c>
      <c r="K504" s="11">
        <v>0.5</v>
      </c>
      <c r="L504" s="11">
        <v>0</v>
      </c>
    </row>
    <row r="505" spans="1:12" x14ac:dyDescent="0.25">
      <c r="A505" s="11" t="s">
        <v>582</v>
      </c>
      <c r="B505" s="11">
        <v>0</v>
      </c>
      <c r="C505" s="11">
        <v>1</v>
      </c>
      <c r="D505" s="11">
        <v>0</v>
      </c>
      <c r="E505" s="11">
        <v>0</v>
      </c>
      <c r="F505" s="11">
        <v>5</v>
      </c>
      <c r="G505" s="11">
        <v>10</v>
      </c>
      <c r="H505" s="11"/>
      <c r="I505" s="11">
        <v>4</v>
      </c>
      <c r="J505" s="11">
        <v>0.75</v>
      </c>
      <c r="K505" s="11">
        <v>0.5</v>
      </c>
      <c r="L505" s="11">
        <v>0</v>
      </c>
    </row>
    <row r="506" spans="1:12" x14ac:dyDescent="0.25">
      <c r="A506" s="11" t="s">
        <v>583</v>
      </c>
      <c r="B506" s="11">
        <v>0</v>
      </c>
      <c r="C506" s="11">
        <v>1</v>
      </c>
      <c r="D506" s="11">
        <v>0</v>
      </c>
      <c r="E506" s="11">
        <v>0</v>
      </c>
      <c r="F506" s="11">
        <v>4</v>
      </c>
      <c r="G506" s="11">
        <v>9</v>
      </c>
      <c r="H506" s="11"/>
      <c r="I506" s="11">
        <v>3</v>
      </c>
      <c r="J506" s="11">
        <v>0.75</v>
      </c>
      <c r="K506" s="11">
        <v>0.5</v>
      </c>
      <c r="L506" s="11">
        <v>0</v>
      </c>
    </row>
    <row r="507" spans="1:12" x14ac:dyDescent="0.25">
      <c r="A507" s="11" t="s">
        <v>224</v>
      </c>
      <c r="B507" s="11">
        <v>0</v>
      </c>
      <c r="C507" s="11">
        <v>0.25</v>
      </c>
      <c r="D507" s="11">
        <v>0</v>
      </c>
      <c r="E507" s="11">
        <v>0</v>
      </c>
      <c r="F507" s="11">
        <v>1</v>
      </c>
      <c r="G507" s="11">
        <v>1</v>
      </c>
      <c r="H507" s="11"/>
      <c r="I507" s="11"/>
      <c r="J507" s="11">
        <v>0.5</v>
      </c>
      <c r="K507" s="11">
        <v>0.5</v>
      </c>
      <c r="L507" s="11">
        <v>0</v>
      </c>
    </row>
    <row r="508" spans="1:12" x14ac:dyDescent="0.25">
      <c r="A508" s="11" t="s">
        <v>225</v>
      </c>
      <c r="B508" s="11">
        <v>0</v>
      </c>
      <c r="C508" s="11">
        <v>1</v>
      </c>
      <c r="D508" s="11">
        <v>0</v>
      </c>
      <c r="E508" s="11">
        <v>0</v>
      </c>
      <c r="F508" s="11">
        <v>4</v>
      </c>
      <c r="G508" s="11">
        <v>11</v>
      </c>
      <c r="H508" s="11"/>
      <c r="I508" s="11">
        <v>2</v>
      </c>
      <c r="J508" s="11">
        <v>0.75</v>
      </c>
      <c r="K508" s="11">
        <v>0.5</v>
      </c>
      <c r="L508" s="11">
        <v>0</v>
      </c>
    </row>
    <row r="509" spans="1:12" x14ac:dyDescent="0.25">
      <c r="A509" s="11" t="s">
        <v>226</v>
      </c>
      <c r="B509" s="11">
        <v>0</v>
      </c>
      <c r="C509" s="11">
        <v>1</v>
      </c>
      <c r="D509" s="11">
        <v>1</v>
      </c>
      <c r="E509" s="11">
        <v>0</v>
      </c>
      <c r="F509" s="11">
        <v>6</v>
      </c>
      <c r="G509" s="11">
        <v>11</v>
      </c>
      <c r="H509" s="11">
        <v>1</v>
      </c>
      <c r="I509" s="11">
        <v>5</v>
      </c>
      <c r="J509" s="11">
        <v>0.5</v>
      </c>
      <c r="K509" s="11">
        <v>0.5</v>
      </c>
      <c r="L509" s="11">
        <v>0</v>
      </c>
    </row>
    <row r="510" spans="1:12" x14ac:dyDescent="0.25">
      <c r="A510" s="11" t="s">
        <v>584</v>
      </c>
      <c r="B510" s="11">
        <v>0</v>
      </c>
      <c r="C510" s="11">
        <v>1</v>
      </c>
      <c r="D510" s="11">
        <v>0</v>
      </c>
      <c r="E510" s="11">
        <v>0</v>
      </c>
      <c r="F510" s="11">
        <v>5</v>
      </c>
      <c r="G510" s="11">
        <v>10</v>
      </c>
      <c r="H510" s="11"/>
      <c r="I510" s="11">
        <v>3</v>
      </c>
      <c r="J510" s="11">
        <v>0.75</v>
      </c>
      <c r="K510" s="11">
        <v>0.5</v>
      </c>
      <c r="L510" s="11">
        <v>0</v>
      </c>
    </row>
    <row r="511" spans="1:12" x14ac:dyDescent="0.25">
      <c r="A511" s="11" t="s">
        <v>585</v>
      </c>
      <c r="B511" s="11">
        <v>0</v>
      </c>
      <c r="C511" s="11">
        <v>1</v>
      </c>
      <c r="D511" s="11">
        <v>1</v>
      </c>
      <c r="E511" s="11">
        <v>0</v>
      </c>
      <c r="F511" s="11">
        <v>4</v>
      </c>
      <c r="G511" s="11">
        <v>9</v>
      </c>
      <c r="H511" s="11"/>
      <c r="I511" s="11">
        <v>3</v>
      </c>
      <c r="J511" s="11">
        <v>0.75</v>
      </c>
      <c r="K511" s="11">
        <v>0.5</v>
      </c>
      <c r="L511" s="11">
        <v>0</v>
      </c>
    </row>
    <row r="512" spans="1:12" x14ac:dyDescent="0.25">
      <c r="A512" s="11" t="s">
        <v>227</v>
      </c>
      <c r="B512" s="11">
        <v>0</v>
      </c>
      <c r="C512" s="11">
        <v>1</v>
      </c>
      <c r="D512" s="11">
        <v>1</v>
      </c>
      <c r="E512" s="11">
        <v>0</v>
      </c>
      <c r="F512" s="11">
        <v>4</v>
      </c>
      <c r="G512" s="11">
        <v>9</v>
      </c>
      <c r="H512" s="11"/>
      <c r="I512" s="11">
        <v>6</v>
      </c>
      <c r="J512" s="11">
        <v>0.75</v>
      </c>
      <c r="K512" s="11">
        <v>0.5</v>
      </c>
      <c r="L512" s="11">
        <v>0</v>
      </c>
    </row>
    <row r="513" spans="1:12" x14ac:dyDescent="0.25">
      <c r="A513" s="11" t="s">
        <v>586</v>
      </c>
      <c r="B513" s="11">
        <v>0</v>
      </c>
      <c r="C513" s="11">
        <v>1</v>
      </c>
      <c r="D513" s="11">
        <v>0</v>
      </c>
      <c r="E513" s="11">
        <v>0</v>
      </c>
      <c r="F513" s="11">
        <v>0</v>
      </c>
      <c r="G513" s="11">
        <v>0</v>
      </c>
      <c r="H513" s="11"/>
      <c r="I513" s="11">
        <v>3</v>
      </c>
      <c r="J513" s="11">
        <v>0.5</v>
      </c>
      <c r="K513" s="11">
        <v>0.5</v>
      </c>
      <c r="L513" s="11">
        <v>0</v>
      </c>
    </row>
    <row r="514" spans="1:12" x14ac:dyDescent="0.25">
      <c r="A514" s="11" t="s">
        <v>587</v>
      </c>
      <c r="B514" s="11">
        <v>0</v>
      </c>
      <c r="C514" s="11">
        <v>1</v>
      </c>
      <c r="D514" s="11">
        <v>0</v>
      </c>
      <c r="E514" s="11">
        <v>0</v>
      </c>
      <c r="F514" s="11">
        <v>5</v>
      </c>
      <c r="G514" s="11">
        <v>9</v>
      </c>
      <c r="H514" s="11"/>
      <c r="I514" s="11">
        <v>4</v>
      </c>
      <c r="J514" s="11">
        <v>0.75</v>
      </c>
      <c r="K514" s="11">
        <v>0.5</v>
      </c>
      <c r="L514" s="11">
        <v>0</v>
      </c>
    </row>
    <row r="515" spans="1:12" x14ac:dyDescent="0.25">
      <c r="A515" s="11" t="s">
        <v>588</v>
      </c>
      <c r="B515" s="11">
        <v>0</v>
      </c>
      <c r="C515" s="11">
        <v>1</v>
      </c>
      <c r="D515" s="11">
        <v>0</v>
      </c>
      <c r="E515" s="11">
        <v>0</v>
      </c>
      <c r="F515" s="11">
        <v>3</v>
      </c>
      <c r="G515" s="11">
        <v>9</v>
      </c>
      <c r="H515" s="11"/>
      <c r="I515" s="11">
        <v>3</v>
      </c>
      <c r="J515" s="11">
        <v>0.5</v>
      </c>
      <c r="K515" s="11">
        <v>0.5</v>
      </c>
      <c r="L515" s="11">
        <v>0</v>
      </c>
    </row>
    <row r="516" spans="1:12" x14ac:dyDescent="0.25">
      <c r="A516" s="11" t="s">
        <v>589</v>
      </c>
      <c r="B516" s="11">
        <v>0</v>
      </c>
      <c r="C516" s="11">
        <v>1</v>
      </c>
      <c r="D516" s="11">
        <v>1</v>
      </c>
      <c r="E516" s="11">
        <v>0</v>
      </c>
      <c r="F516" s="11">
        <v>0</v>
      </c>
      <c r="G516" s="11">
        <v>0</v>
      </c>
      <c r="H516" s="11"/>
      <c r="I516" s="11"/>
      <c r="J516" s="11">
        <v>0.5</v>
      </c>
      <c r="K516" s="11">
        <v>0.5</v>
      </c>
      <c r="L516" s="11">
        <v>0</v>
      </c>
    </row>
    <row r="517" spans="1:12" x14ac:dyDescent="0.25">
      <c r="A517" s="11" t="s">
        <v>228</v>
      </c>
      <c r="B517" s="11">
        <v>0</v>
      </c>
      <c r="C517" s="11">
        <v>1</v>
      </c>
      <c r="D517" s="11">
        <v>1</v>
      </c>
      <c r="E517" s="11">
        <v>0</v>
      </c>
      <c r="F517" s="11">
        <v>8</v>
      </c>
      <c r="G517" s="11">
        <v>14</v>
      </c>
      <c r="H517" s="11"/>
      <c r="I517" s="11">
        <v>6</v>
      </c>
      <c r="J517" s="11">
        <v>0.5</v>
      </c>
      <c r="K517" s="11">
        <v>0.5</v>
      </c>
      <c r="L517" s="11">
        <v>0</v>
      </c>
    </row>
    <row r="518" spans="1:12" x14ac:dyDescent="0.25">
      <c r="A518" s="11" t="s">
        <v>229</v>
      </c>
      <c r="B518" s="11">
        <v>0</v>
      </c>
      <c r="C518" s="11">
        <v>1</v>
      </c>
      <c r="D518" s="11">
        <v>0</v>
      </c>
      <c r="E518" s="11">
        <v>1</v>
      </c>
      <c r="F518" s="11">
        <v>7</v>
      </c>
      <c r="G518" s="11">
        <v>13</v>
      </c>
      <c r="H518" s="11"/>
      <c r="I518" s="11">
        <v>5</v>
      </c>
      <c r="J518" s="11">
        <v>0.5</v>
      </c>
      <c r="K518" s="11">
        <v>0.5</v>
      </c>
      <c r="L518" s="11">
        <v>1</v>
      </c>
    </row>
    <row r="519" spans="1:12" x14ac:dyDescent="0.25">
      <c r="A519" s="11" t="s">
        <v>230</v>
      </c>
      <c r="B519" s="11">
        <v>0</v>
      </c>
      <c r="C519" s="11">
        <v>1</v>
      </c>
      <c r="D519" s="11">
        <v>0</v>
      </c>
      <c r="E519" s="11">
        <v>0</v>
      </c>
      <c r="F519" s="11">
        <v>6</v>
      </c>
      <c r="G519" s="11">
        <v>14</v>
      </c>
      <c r="H519" s="11"/>
      <c r="I519" s="11">
        <v>1</v>
      </c>
      <c r="J519" s="11">
        <v>0.5</v>
      </c>
      <c r="K519" s="11">
        <v>0.5</v>
      </c>
      <c r="L519" s="11">
        <v>0</v>
      </c>
    </row>
    <row r="520" spans="1:12" x14ac:dyDescent="0.25">
      <c r="A520" s="11" t="s">
        <v>590</v>
      </c>
      <c r="B520" s="11">
        <v>0</v>
      </c>
      <c r="C520" s="11">
        <v>1</v>
      </c>
      <c r="D520" s="11">
        <v>0</v>
      </c>
      <c r="E520" s="11">
        <v>0</v>
      </c>
      <c r="F520" s="11">
        <v>6</v>
      </c>
      <c r="G520" s="11">
        <v>14</v>
      </c>
      <c r="H520" s="11"/>
      <c r="I520" s="11"/>
      <c r="J520" s="11">
        <v>0.5</v>
      </c>
      <c r="K520" s="11">
        <v>0.5</v>
      </c>
      <c r="L520" s="11">
        <v>0</v>
      </c>
    </row>
    <row r="521" spans="1:12" x14ac:dyDescent="0.25">
      <c r="A521" s="11" t="s">
        <v>591</v>
      </c>
      <c r="B521" s="11">
        <v>0</v>
      </c>
      <c r="C521" s="11">
        <v>1</v>
      </c>
      <c r="D521" s="11">
        <v>0</v>
      </c>
      <c r="E521" s="11">
        <v>1</v>
      </c>
      <c r="F521" s="11">
        <v>6</v>
      </c>
      <c r="G521" s="11">
        <v>14</v>
      </c>
      <c r="H521" s="11"/>
      <c r="I521" s="11"/>
      <c r="J521" s="11">
        <v>0.5</v>
      </c>
      <c r="K521" s="11">
        <v>0.5</v>
      </c>
      <c r="L521" s="11">
        <v>0</v>
      </c>
    </row>
    <row r="522" spans="1:12" x14ac:dyDescent="0.25">
      <c r="A522" s="11" t="s">
        <v>231</v>
      </c>
      <c r="B522" s="11">
        <v>0</v>
      </c>
      <c r="C522" s="11">
        <v>1</v>
      </c>
      <c r="D522" s="11">
        <v>0</v>
      </c>
      <c r="E522" s="11">
        <v>1</v>
      </c>
      <c r="F522" s="11">
        <v>6</v>
      </c>
      <c r="G522" s="11">
        <v>14</v>
      </c>
      <c r="H522" s="11"/>
      <c r="I522" s="11"/>
      <c r="J522" s="11">
        <v>0.5</v>
      </c>
      <c r="K522" s="11">
        <v>0.5</v>
      </c>
      <c r="L522" s="11">
        <v>0</v>
      </c>
    </row>
    <row r="523" spans="1:12" x14ac:dyDescent="0.25">
      <c r="A523" s="11" t="s">
        <v>232</v>
      </c>
      <c r="B523" s="11">
        <v>0</v>
      </c>
      <c r="C523" s="11">
        <v>1</v>
      </c>
      <c r="D523" s="11">
        <v>0</v>
      </c>
      <c r="E523" s="11">
        <v>1</v>
      </c>
      <c r="F523" s="11">
        <v>6</v>
      </c>
      <c r="G523" s="11">
        <v>13</v>
      </c>
      <c r="H523" s="11"/>
      <c r="I523" s="11"/>
      <c r="J523" s="11">
        <v>0.5</v>
      </c>
      <c r="K523" s="11">
        <v>0.5</v>
      </c>
      <c r="L523" s="11">
        <v>0</v>
      </c>
    </row>
    <row r="524" spans="1:12" x14ac:dyDescent="0.25">
      <c r="A524" s="11" t="s">
        <v>233</v>
      </c>
      <c r="B524" s="11">
        <v>0</v>
      </c>
      <c r="C524" s="11">
        <v>1</v>
      </c>
      <c r="D524" s="11">
        <v>1</v>
      </c>
      <c r="E524" s="11">
        <v>0</v>
      </c>
      <c r="F524" s="11">
        <v>6</v>
      </c>
      <c r="G524" s="11">
        <v>16</v>
      </c>
      <c r="H524" s="11"/>
      <c r="I524" s="11">
        <v>6</v>
      </c>
      <c r="J524" s="11">
        <v>0.5</v>
      </c>
      <c r="K524" s="11">
        <v>0.5</v>
      </c>
      <c r="L524" s="11">
        <v>0</v>
      </c>
    </row>
    <row r="525" spans="1:12" x14ac:dyDescent="0.25">
      <c r="A525" s="11" t="s">
        <v>234</v>
      </c>
      <c r="B525" s="11">
        <v>0</v>
      </c>
      <c r="C525" s="11">
        <v>1</v>
      </c>
      <c r="D525" s="11">
        <v>1</v>
      </c>
      <c r="E525" s="11">
        <v>0</v>
      </c>
      <c r="F525" s="11">
        <v>4</v>
      </c>
      <c r="G525" s="11">
        <v>7</v>
      </c>
      <c r="H525" s="11"/>
      <c r="I525" s="11">
        <v>3</v>
      </c>
      <c r="J525" s="11">
        <v>0.5</v>
      </c>
      <c r="K525" s="11">
        <v>0.5</v>
      </c>
      <c r="L525" s="11">
        <v>1</v>
      </c>
    </row>
    <row r="526" spans="1:12" x14ac:dyDescent="0.25">
      <c r="A526" s="11" t="s">
        <v>235</v>
      </c>
      <c r="B526" s="11">
        <v>0</v>
      </c>
      <c r="C526" s="11">
        <v>1</v>
      </c>
      <c r="D526" s="11">
        <v>1</v>
      </c>
      <c r="E526" s="11">
        <v>0</v>
      </c>
      <c r="F526" s="11">
        <v>7</v>
      </c>
      <c r="G526" s="11">
        <v>13</v>
      </c>
      <c r="H526" s="11"/>
      <c r="I526" s="11">
        <v>5</v>
      </c>
      <c r="J526" s="11">
        <v>0.5</v>
      </c>
      <c r="K526" s="11">
        <v>0.5</v>
      </c>
      <c r="L526" s="11">
        <v>0</v>
      </c>
    </row>
    <row r="527" spans="1:12" x14ac:dyDescent="0.25">
      <c r="A527" s="11" t="s">
        <v>236</v>
      </c>
      <c r="B527" s="11">
        <v>0</v>
      </c>
      <c r="C527" s="11">
        <v>1</v>
      </c>
      <c r="D527" s="11">
        <v>0</v>
      </c>
      <c r="E527" s="11">
        <v>0</v>
      </c>
      <c r="F527" s="11">
        <v>2</v>
      </c>
      <c r="G527" s="11">
        <v>2</v>
      </c>
      <c r="H527" s="11"/>
      <c r="I527" s="11">
        <v>2</v>
      </c>
      <c r="J527" s="11">
        <v>0.5</v>
      </c>
      <c r="K527" s="11">
        <v>0.5</v>
      </c>
      <c r="L527" s="11">
        <v>0</v>
      </c>
    </row>
    <row r="528" spans="1:12" x14ac:dyDescent="0.25">
      <c r="A528" s="11" t="s">
        <v>592</v>
      </c>
      <c r="B528" s="11">
        <v>0</v>
      </c>
      <c r="C528" s="11">
        <v>1</v>
      </c>
      <c r="D528" s="11">
        <v>1</v>
      </c>
      <c r="E528" s="11">
        <v>0</v>
      </c>
      <c r="F528" s="11">
        <v>8</v>
      </c>
      <c r="G528" s="11">
        <v>0</v>
      </c>
      <c r="H528" s="11"/>
      <c r="I528" s="11">
        <v>2</v>
      </c>
      <c r="J528" s="11">
        <v>0.5</v>
      </c>
      <c r="K528" s="11">
        <v>0.5</v>
      </c>
      <c r="L528" s="11">
        <v>0</v>
      </c>
    </row>
    <row r="529" spans="1:12" x14ac:dyDescent="0.25">
      <c r="A529" s="11" t="s">
        <v>237</v>
      </c>
      <c r="B529" s="11">
        <v>0</v>
      </c>
      <c r="C529" s="11">
        <v>0.25</v>
      </c>
      <c r="D529" s="11">
        <v>0</v>
      </c>
      <c r="E529" s="11">
        <v>0</v>
      </c>
      <c r="F529" s="11">
        <v>5</v>
      </c>
      <c r="G529" s="11">
        <v>5</v>
      </c>
      <c r="H529" s="11"/>
      <c r="I529" s="11">
        <v>2</v>
      </c>
      <c r="J529" s="11">
        <v>0.75</v>
      </c>
      <c r="K529" s="11">
        <v>0.5</v>
      </c>
      <c r="L529" s="11">
        <v>0</v>
      </c>
    </row>
    <row r="530" spans="1:12" x14ac:dyDescent="0.25">
      <c r="A530" s="11" t="s">
        <v>33</v>
      </c>
      <c r="B530" s="11">
        <v>0</v>
      </c>
      <c r="C530" s="11">
        <v>1</v>
      </c>
      <c r="D530" s="11">
        <v>0</v>
      </c>
      <c r="E530" s="11">
        <v>0</v>
      </c>
      <c r="F530" s="11">
        <v>4</v>
      </c>
      <c r="G530" s="11">
        <v>8</v>
      </c>
      <c r="H530" s="11"/>
      <c r="I530" s="11"/>
      <c r="J530" s="11">
        <v>0.5</v>
      </c>
      <c r="K530" s="11">
        <v>0.5</v>
      </c>
      <c r="L530" s="11">
        <v>1</v>
      </c>
    </row>
    <row r="531" spans="1:12" x14ac:dyDescent="0.25">
      <c r="A531" s="11" t="s">
        <v>593</v>
      </c>
      <c r="B531" s="11">
        <v>0</v>
      </c>
      <c r="C531" s="11">
        <v>1</v>
      </c>
      <c r="D531" s="11">
        <v>1</v>
      </c>
      <c r="E531" s="11">
        <v>0</v>
      </c>
      <c r="F531" s="11">
        <v>5</v>
      </c>
      <c r="G531" s="11">
        <v>7</v>
      </c>
      <c r="H531" s="11"/>
      <c r="I531" s="11">
        <v>1</v>
      </c>
      <c r="J531" s="11">
        <v>0.5</v>
      </c>
      <c r="K531" s="11">
        <v>0.5</v>
      </c>
      <c r="L531" s="11">
        <v>0</v>
      </c>
    </row>
    <row r="532" spans="1:12" x14ac:dyDescent="0.25">
      <c r="A532" s="11" t="s">
        <v>594</v>
      </c>
      <c r="B532" s="11">
        <v>0</v>
      </c>
      <c r="C532" s="11">
        <v>1</v>
      </c>
      <c r="D532" s="11">
        <v>0</v>
      </c>
      <c r="E532" s="11">
        <v>0</v>
      </c>
      <c r="F532" s="11">
        <v>5</v>
      </c>
      <c r="G532" s="11">
        <v>11</v>
      </c>
      <c r="H532" s="11"/>
      <c r="I532" s="11">
        <v>1</v>
      </c>
      <c r="J532" s="11">
        <v>0.5</v>
      </c>
      <c r="K532" s="11">
        <v>0.5</v>
      </c>
      <c r="L532" s="11">
        <v>0</v>
      </c>
    </row>
    <row r="533" spans="1:12" x14ac:dyDescent="0.25">
      <c r="A533" s="11" t="s">
        <v>595</v>
      </c>
      <c r="B533" s="11">
        <v>0</v>
      </c>
      <c r="C533" s="11">
        <v>1</v>
      </c>
      <c r="D533" s="11">
        <v>1</v>
      </c>
      <c r="E533" s="11">
        <v>0</v>
      </c>
      <c r="F533" s="11">
        <v>4</v>
      </c>
      <c r="G533" s="11">
        <v>12</v>
      </c>
      <c r="H533" s="11"/>
      <c r="I533" s="11">
        <v>2</v>
      </c>
      <c r="J533" s="11">
        <v>0.5</v>
      </c>
      <c r="K533" s="11">
        <v>0.5</v>
      </c>
      <c r="L533" s="11">
        <v>0</v>
      </c>
    </row>
    <row r="534" spans="1:12" x14ac:dyDescent="0.25">
      <c r="A534" s="11" t="s">
        <v>238</v>
      </c>
      <c r="B534" s="11">
        <v>0</v>
      </c>
      <c r="C534" s="11">
        <v>1</v>
      </c>
      <c r="D534" s="11">
        <v>1</v>
      </c>
      <c r="E534" s="11">
        <v>0</v>
      </c>
      <c r="F534" s="11">
        <v>3</v>
      </c>
      <c r="G534" s="11">
        <v>8</v>
      </c>
      <c r="H534" s="11"/>
      <c r="I534" s="11">
        <v>3</v>
      </c>
      <c r="J534" s="11">
        <v>0.5</v>
      </c>
      <c r="K534" s="11">
        <v>0.5</v>
      </c>
      <c r="L534" s="11">
        <v>0</v>
      </c>
    </row>
    <row r="535" spans="1:12" x14ac:dyDescent="0.25">
      <c r="A535" s="11" t="s">
        <v>596</v>
      </c>
      <c r="B535" s="11">
        <v>0</v>
      </c>
      <c r="C535" s="11">
        <v>1</v>
      </c>
      <c r="D535" s="11">
        <v>1</v>
      </c>
      <c r="E535" s="11">
        <v>0</v>
      </c>
      <c r="F535" s="11">
        <v>0</v>
      </c>
      <c r="G535" s="11">
        <v>0</v>
      </c>
      <c r="H535" s="11"/>
      <c r="I535" s="11"/>
      <c r="J535" s="11">
        <v>0.5</v>
      </c>
      <c r="K535" s="11">
        <v>0.5</v>
      </c>
      <c r="L535" s="11">
        <v>0</v>
      </c>
    </row>
    <row r="536" spans="1:12" x14ac:dyDescent="0.25">
      <c r="A536" s="11" t="s">
        <v>597</v>
      </c>
      <c r="B536" s="11">
        <v>0</v>
      </c>
      <c r="C536" s="11">
        <v>1</v>
      </c>
      <c r="D536" s="11">
        <v>1</v>
      </c>
      <c r="E536" s="11">
        <v>0</v>
      </c>
      <c r="F536" s="11">
        <v>3</v>
      </c>
      <c r="G536" s="11">
        <v>7</v>
      </c>
      <c r="H536" s="11"/>
      <c r="I536" s="11">
        <v>1</v>
      </c>
      <c r="J536" s="11">
        <v>0.5</v>
      </c>
      <c r="K536" s="11">
        <v>0.5</v>
      </c>
      <c r="L536" s="11">
        <v>0</v>
      </c>
    </row>
    <row r="537" spans="1:12" x14ac:dyDescent="0.25">
      <c r="A537" s="11" t="s">
        <v>598</v>
      </c>
      <c r="B537" s="11">
        <v>0</v>
      </c>
      <c r="C537" s="11">
        <v>1</v>
      </c>
      <c r="D537" s="11">
        <v>0</v>
      </c>
      <c r="E537" s="11">
        <v>0</v>
      </c>
      <c r="F537" s="11">
        <v>3</v>
      </c>
      <c r="G537" s="11">
        <v>0</v>
      </c>
      <c r="H537" s="11"/>
      <c r="I537" s="11"/>
      <c r="J537" s="11">
        <v>0.5</v>
      </c>
      <c r="K537" s="11">
        <v>0.5</v>
      </c>
      <c r="L537" s="11">
        <v>0</v>
      </c>
    </row>
    <row r="538" spans="1:12" x14ac:dyDescent="0.25">
      <c r="A538" s="11" t="s">
        <v>239</v>
      </c>
      <c r="B538" s="11">
        <v>0</v>
      </c>
      <c r="C538" s="11">
        <v>1</v>
      </c>
      <c r="D538" s="11">
        <v>0</v>
      </c>
      <c r="E538" s="11">
        <v>0</v>
      </c>
      <c r="F538" s="11">
        <v>6</v>
      </c>
      <c r="G538" s="11">
        <v>13</v>
      </c>
      <c r="H538" s="11"/>
      <c r="I538" s="11">
        <v>1</v>
      </c>
      <c r="J538" s="11">
        <v>0.5</v>
      </c>
      <c r="K538" s="11">
        <v>0.5</v>
      </c>
      <c r="L538" s="11">
        <v>0</v>
      </c>
    </row>
    <row r="539" spans="1:12" x14ac:dyDescent="0.25">
      <c r="A539" s="11" t="s">
        <v>26</v>
      </c>
      <c r="B539" s="11">
        <v>0</v>
      </c>
      <c r="C539" s="11">
        <v>1</v>
      </c>
      <c r="D539" s="11">
        <v>0</v>
      </c>
      <c r="E539" s="11">
        <v>0</v>
      </c>
      <c r="F539" s="11">
        <v>4</v>
      </c>
      <c r="G539" s="11">
        <v>7</v>
      </c>
      <c r="H539" s="11"/>
      <c r="I539" s="11">
        <v>2</v>
      </c>
      <c r="J539" s="11">
        <v>0.5</v>
      </c>
      <c r="K539" s="11">
        <v>0.5</v>
      </c>
      <c r="L539" s="11">
        <v>1</v>
      </c>
    </row>
    <row r="540" spans="1:12" x14ac:dyDescent="0.25">
      <c r="A540" s="11" t="s">
        <v>599</v>
      </c>
      <c r="B540" s="11">
        <v>0</v>
      </c>
      <c r="C540" s="11">
        <v>1</v>
      </c>
      <c r="D540" s="11">
        <v>0</v>
      </c>
      <c r="E540" s="11">
        <v>0</v>
      </c>
      <c r="F540" s="11">
        <v>6</v>
      </c>
      <c r="G540" s="11">
        <v>0</v>
      </c>
      <c r="H540" s="11"/>
      <c r="I540" s="11"/>
      <c r="J540" s="11">
        <v>0.5</v>
      </c>
      <c r="K540" s="11">
        <v>0.5</v>
      </c>
      <c r="L540" s="11">
        <v>0</v>
      </c>
    </row>
    <row r="541" spans="1:12" x14ac:dyDescent="0.25">
      <c r="A541" s="11" t="s">
        <v>600</v>
      </c>
      <c r="B541" s="11">
        <v>0</v>
      </c>
      <c r="C541" s="11">
        <v>1</v>
      </c>
      <c r="D541" s="11">
        <v>0</v>
      </c>
      <c r="E541" s="11">
        <v>0</v>
      </c>
      <c r="F541" s="11">
        <v>6</v>
      </c>
      <c r="G541" s="11">
        <v>0</v>
      </c>
      <c r="H541" s="11"/>
      <c r="I541" s="11"/>
      <c r="J541" s="11">
        <v>0.5</v>
      </c>
      <c r="K541" s="11">
        <v>0.5</v>
      </c>
      <c r="L541" s="11">
        <v>0</v>
      </c>
    </row>
    <row r="542" spans="1:12" x14ac:dyDescent="0.25">
      <c r="A542" s="11" t="s">
        <v>240</v>
      </c>
      <c r="B542" s="11">
        <v>0</v>
      </c>
      <c r="C542" s="11">
        <v>1</v>
      </c>
      <c r="D542" s="11">
        <v>1</v>
      </c>
      <c r="E542" s="11">
        <v>0</v>
      </c>
      <c r="F542" s="11">
        <v>7</v>
      </c>
      <c r="G542" s="11">
        <v>15</v>
      </c>
      <c r="H542" s="11"/>
      <c r="I542" s="11">
        <v>3</v>
      </c>
      <c r="J542" s="11">
        <v>0.5</v>
      </c>
      <c r="K542" s="11">
        <v>0.5</v>
      </c>
      <c r="L542" s="11">
        <v>0</v>
      </c>
    </row>
    <row r="543" spans="1:12" x14ac:dyDescent="0.25">
      <c r="A543" s="11" t="s">
        <v>601</v>
      </c>
      <c r="B543" s="11">
        <v>0</v>
      </c>
      <c r="C543" s="11">
        <v>0.25</v>
      </c>
      <c r="D543" s="11">
        <v>1</v>
      </c>
      <c r="E543" s="11">
        <v>0</v>
      </c>
      <c r="F543" s="11">
        <v>5</v>
      </c>
      <c r="G543" s="11">
        <v>0</v>
      </c>
      <c r="H543" s="11"/>
      <c r="I543" s="11"/>
      <c r="J543" s="11">
        <v>0.5</v>
      </c>
      <c r="K543" s="11">
        <v>0.5</v>
      </c>
      <c r="L543" s="11">
        <v>0</v>
      </c>
    </row>
    <row r="544" spans="1:12" x14ac:dyDescent="0.25">
      <c r="A544" s="11" t="s">
        <v>241</v>
      </c>
      <c r="B544" s="11">
        <v>0</v>
      </c>
      <c r="C544" s="11">
        <v>1</v>
      </c>
      <c r="D544" s="11">
        <v>1</v>
      </c>
      <c r="E544" s="11">
        <v>0</v>
      </c>
      <c r="F544" s="11">
        <v>5</v>
      </c>
      <c r="G544" s="11">
        <v>12</v>
      </c>
      <c r="H544" s="11"/>
      <c r="I544" s="11">
        <v>2</v>
      </c>
      <c r="J544" s="11">
        <v>0.5</v>
      </c>
      <c r="K544" s="11">
        <v>0.5</v>
      </c>
      <c r="L544" s="11">
        <v>0</v>
      </c>
    </row>
    <row r="545" spans="1:12" x14ac:dyDescent="0.25">
      <c r="A545" s="11" t="s">
        <v>242</v>
      </c>
      <c r="B545" s="11">
        <v>0</v>
      </c>
      <c r="C545" s="11">
        <v>1</v>
      </c>
      <c r="D545" s="11">
        <v>0</v>
      </c>
      <c r="E545" s="11">
        <v>0</v>
      </c>
      <c r="F545" s="11">
        <v>4</v>
      </c>
      <c r="G545" s="11">
        <v>15</v>
      </c>
      <c r="H545" s="11"/>
      <c r="I545" s="11">
        <v>1</v>
      </c>
      <c r="J545" s="11">
        <v>0.5</v>
      </c>
      <c r="K545" s="11">
        <v>0.5</v>
      </c>
      <c r="L545" s="11">
        <v>0</v>
      </c>
    </row>
    <row r="546" spans="1:12" x14ac:dyDescent="0.25">
      <c r="A546" s="11" t="s">
        <v>602</v>
      </c>
      <c r="B546" s="11">
        <v>0</v>
      </c>
      <c r="C546" s="11">
        <v>1</v>
      </c>
      <c r="D546" s="11">
        <v>1</v>
      </c>
      <c r="E546" s="11">
        <v>0</v>
      </c>
      <c r="F546" s="11">
        <v>5</v>
      </c>
      <c r="G546" s="11">
        <v>10</v>
      </c>
      <c r="H546" s="11"/>
      <c r="I546" s="11"/>
      <c r="J546" s="11">
        <v>0.5</v>
      </c>
      <c r="K546" s="11">
        <v>0.5</v>
      </c>
      <c r="L546" s="11">
        <v>0</v>
      </c>
    </row>
    <row r="547" spans="1:12" x14ac:dyDescent="0.25">
      <c r="A547" s="11" t="s">
        <v>603</v>
      </c>
      <c r="B547" s="11">
        <v>0</v>
      </c>
      <c r="C547" s="11">
        <v>1</v>
      </c>
      <c r="D547" s="11">
        <v>0</v>
      </c>
      <c r="E547" s="11">
        <v>0</v>
      </c>
      <c r="F547" s="11">
        <v>6</v>
      </c>
      <c r="G547" s="11">
        <v>0</v>
      </c>
      <c r="H547" s="11"/>
      <c r="I547" s="11"/>
      <c r="J547" s="11">
        <v>0.5</v>
      </c>
      <c r="K547" s="11">
        <v>0.5</v>
      </c>
      <c r="L547" s="11">
        <v>0</v>
      </c>
    </row>
    <row r="548" spans="1:12" x14ac:dyDescent="0.25">
      <c r="A548" s="11" t="s">
        <v>604</v>
      </c>
      <c r="B548" s="11">
        <v>0</v>
      </c>
      <c r="C548" s="11">
        <v>1</v>
      </c>
      <c r="D548" s="11">
        <v>0</v>
      </c>
      <c r="E548" s="11">
        <v>0</v>
      </c>
      <c r="F548" s="11">
        <v>6</v>
      </c>
      <c r="G548" s="11">
        <v>0</v>
      </c>
      <c r="H548" s="11"/>
      <c r="I548" s="11"/>
      <c r="J548" s="11">
        <v>0.5</v>
      </c>
      <c r="K548" s="11">
        <v>0.5</v>
      </c>
      <c r="L548" s="11">
        <v>0</v>
      </c>
    </row>
    <row r="549" spans="1:12" x14ac:dyDescent="0.25">
      <c r="A549" s="11" t="s">
        <v>605</v>
      </c>
      <c r="B549" s="11">
        <v>0</v>
      </c>
      <c r="C549" s="11">
        <v>1</v>
      </c>
      <c r="D549" s="11">
        <v>0</v>
      </c>
      <c r="E549" s="11">
        <v>0</v>
      </c>
      <c r="F549" s="11">
        <v>6</v>
      </c>
      <c r="G549" s="11">
        <v>0</v>
      </c>
      <c r="H549" s="11"/>
      <c r="I549" s="11"/>
      <c r="J549" s="11">
        <v>0.5</v>
      </c>
      <c r="K549" s="11">
        <v>0.5</v>
      </c>
      <c r="L549" s="11">
        <v>0</v>
      </c>
    </row>
    <row r="550" spans="1:12" x14ac:dyDescent="0.25">
      <c r="A550" s="11" t="s">
        <v>243</v>
      </c>
      <c r="B550" s="11">
        <v>0</v>
      </c>
      <c r="C550" s="11">
        <v>1</v>
      </c>
      <c r="D550" s="11">
        <v>0</v>
      </c>
      <c r="E550" s="11">
        <v>0</v>
      </c>
      <c r="F550" s="11">
        <v>4</v>
      </c>
      <c r="G550" s="11">
        <v>9</v>
      </c>
      <c r="H550" s="11"/>
      <c r="I550" s="11">
        <v>1</v>
      </c>
      <c r="J550" s="11">
        <v>0.5</v>
      </c>
      <c r="K550" s="11">
        <v>0.5</v>
      </c>
      <c r="L550" s="11">
        <v>0</v>
      </c>
    </row>
    <row r="551" spans="1:12" x14ac:dyDescent="0.25">
      <c r="A551" s="11" t="s">
        <v>244</v>
      </c>
      <c r="B551" s="11">
        <v>0</v>
      </c>
      <c r="C551" s="11">
        <v>1</v>
      </c>
      <c r="D551" s="11">
        <v>0</v>
      </c>
      <c r="E551" s="11">
        <v>0</v>
      </c>
      <c r="F551" s="11">
        <v>5</v>
      </c>
      <c r="G551" s="11">
        <v>17</v>
      </c>
      <c r="H551" s="11"/>
      <c r="I551" s="11">
        <v>1</v>
      </c>
      <c r="J551" s="11">
        <v>0.5</v>
      </c>
      <c r="K551" s="11">
        <v>0.5</v>
      </c>
      <c r="L551" s="11">
        <v>0</v>
      </c>
    </row>
    <row r="552" spans="1:12" x14ac:dyDescent="0.25">
      <c r="A552" s="11" t="s">
        <v>245</v>
      </c>
      <c r="B552" s="11">
        <v>0</v>
      </c>
      <c r="C552" s="11">
        <v>1</v>
      </c>
      <c r="D552" s="11">
        <v>0</v>
      </c>
      <c r="E552" s="11">
        <v>0</v>
      </c>
      <c r="F552" s="11">
        <v>4</v>
      </c>
      <c r="G552" s="11">
        <v>12</v>
      </c>
      <c r="H552" s="11"/>
      <c r="I552" s="11">
        <v>1</v>
      </c>
      <c r="J552" s="11">
        <v>0.5</v>
      </c>
      <c r="K552" s="11">
        <v>0.5</v>
      </c>
      <c r="L552" s="11">
        <v>0</v>
      </c>
    </row>
    <row r="553" spans="1:12" x14ac:dyDescent="0.25">
      <c r="A553" s="11" t="s">
        <v>246</v>
      </c>
      <c r="B553" s="11">
        <v>0</v>
      </c>
      <c r="C553" s="11">
        <v>0.25</v>
      </c>
      <c r="D553" s="11">
        <v>0</v>
      </c>
      <c r="E553" s="11">
        <v>0</v>
      </c>
      <c r="F553" s="11">
        <v>4</v>
      </c>
      <c r="G553" s="11">
        <v>14</v>
      </c>
      <c r="H553" s="11"/>
      <c r="I553" s="11">
        <v>1</v>
      </c>
      <c r="J553" s="11">
        <v>0.5</v>
      </c>
      <c r="K553" s="11">
        <v>0.5</v>
      </c>
      <c r="L553" s="11">
        <v>0</v>
      </c>
    </row>
    <row r="554" spans="1:12" x14ac:dyDescent="0.25">
      <c r="A554" s="11" t="s">
        <v>35</v>
      </c>
      <c r="B554" s="11">
        <v>0</v>
      </c>
      <c r="C554" s="11">
        <v>1</v>
      </c>
      <c r="D554" s="11">
        <v>0</v>
      </c>
      <c r="E554" s="11">
        <v>0</v>
      </c>
      <c r="F554" s="11">
        <v>5</v>
      </c>
      <c r="G554" s="11">
        <v>12</v>
      </c>
      <c r="H554" s="11"/>
      <c r="I554" s="11"/>
      <c r="J554" s="11">
        <v>0.5</v>
      </c>
      <c r="K554" s="11">
        <v>0.5</v>
      </c>
      <c r="L554" s="11">
        <v>1</v>
      </c>
    </row>
    <row r="555" spans="1:12" x14ac:dyDescent="0.25">
      <c r="A555" s="11" t="s">
        <v>247</v>
      </c>
      <c r="B555" s="11">
        <v>0</v>
      </c>
      <c r="C555" s="11">
        <v>1</v>
      </c>
      <c r="D555" s="11">
        <v>0</v>
      </c>
      <c r="E555" s="11">
        <v>0</v>
      </c>
      <c r="F555" s="11">
        <v>4</v>
      </c>
      <c r="G555" s="11">
        <v>10</v>
      </c>
      <c r="H555" s="11"/>
      <c r="I555" s="11">
        <v>1</v>
      </c>
      <c r="J555" s="11">
        <v>0.5</v>
      </c>
      <c r="K555" s="11">
        <v>0.5</v>
      </c>
      <c r="L555" s="11">
        <v>0</v>
      </c>
    </row>
    <row r="556" spans="1:12" x14ac:dyDescent="0.25">
      <c r="A556" s="11" t="s">
        <v>606</v>
      </c>
      <c r="B556" s="11">
        <v>0</v>
      </c>
      <c r="C556" s="11">
        <v>1</v>
      </c>
      <c r="D556" s="11">
        <v>0</v>
      </c>
      <c r="E556" s="11">
        <v>0</v>
      </c>
      <c r="F556" s="11">
        <v>5</v>
      </c>
      <c r="G556" s="11">
        <v>0</v>
      </c>
      <c r="H556" s="11"/>
      <c r="I556" s="11"/>
      <c r="J556" s="11">
        <v>0.5</v>
      </c>
      <c r="K556" s="11">
        <v>0.5</v>
      </c>
      <c r="L556" s="11">
        <v>0</v>
      </c>
    </row>
    <row r="557" spans="1:12" x14ac:dyDescent="0.25">
      <c r="A557" s="11" t="s">
        <v>248</v>
      </c>
      <c r="B557" s="11">
        <v>0</v>
      </c>
      <c r="C557" s="11">
        <v>1</v>
      </c>
      <c r="D557" s="11">
        <v>0</v>
      </c>
      <c r="E557" s="11">
        <v>0</v>
      </c>
      <c r="F557" s="11">
        <v>4</v>
      </c>
      <c r="G557" s="11">
        <v>10</v>
      </c>
      <c r="H557" s="11"/>
      <c r="I557" s="11">
        <v>1</v>
      </c>
      <c r="J557" s="11">
        <v>0.5</v>
      </c>
      <c r="K557" s="11">
        <v>0.5</v>
      </c>
      <c r="L557" s="11">
        <v>0</v>
      </c>
    </row>
    <row r="558" spans="1:12" x14ac:dyDescent="0.25">
      <c r="A558" s="11" t="s">
        <v>39</v>
      </c>
      <c r="B558" s="11">
        <v>0</v>
      </c>
      <c r="C558" s="11">
        <v>1</v>
      </c>
      <c r="D558" s="11">
        <v>0</v>
      </c>
      <c r="E558" s="11">
        <v>0</v>
      </c>
      <c r="F558" s="11">
        <v>5</v>
      </c>
      <c r="G558" s="11">
        <v>10</v>
      </c>
      <c r="H558" s="11"/>
      <c r="I558" s="11"/>
      <c r="J558" s="11">
        <v>0.5</v>
      </c>
      <c r="K558" s="11">
        <v>0.5</v>
      </c>
      <c r="L558" s="11">
        <v>1</v>
      </c>
    </row>
    <row r="559" spans="1:12" x14ac:dyDescent="0.25">
      <c r="A559" s="11" t="s">
        <v>607</v>
      </c>
      <c r="B559" s="11">
        <v>0</v>
      </c>
      <c r="C559" s="11">
        <v>1</v>
      </c>
      <c r="D559" s="11">
        <v>0</v>
      </c>
      <c r="E559" s="11">
        <v>0</v>
      </c>
      <c r="F559" s="11">
        <v>4</v>
      </c>
      <c r="G559" s="11">
        <v>12</v>
      </c>
      <c r="H559" s="11"/>
      <c r="I559" s="11">
        <v>1</v>
      </c>
      <c r="J559" s="11">
        <v>0.5</v>
      </c>
      <c r="K559" s="11">
        <v>0.5</v>
      </c>
      <c r="L559" s="11">
        <v>0</v>
      </c>
    </row>
    <row r="560" spans="1:12" x14ac:dyDescent="0.25">
      <c r="A560" s="11" t="s">
        <v>249</v>
      </c>
      <c r="B560" s="11">
        <v>0</v>
      </c>
      <c r="C560" s="11">
        <v>1</v>
      </c>
      <c r="D560" s="11">
        <v>0</v>
      </c>
      <c r="E560" s="11">
        <v>0</v>
      </c>
      <c r="F560" s="11">
        <v>4</v>
      </c>
      <c r="G560" s="11">
        <v>15</v>
      </c>
      <c r="H560" s="11"/>
      <c r="I560" s="11">
        <v>1</v>
      </c>
      <c r="J560" s="11">
        <v>0.5</v>
      </c>
      <c r="K560" s="11">
        <v>0.5</v>
      </c>
      <c r="L560" s="11">
        <v>0</v>
      </c>
    </row>
    <row r="561" spans="1:12" x14ac:dyDescent="0.25">
      <c r="A561" s="11" t="s">
        <v>608</v>
      </c>
      <c r="B561" s="11">
        <v>0</v>
      </c>
      <c r="C561" s="11">
        <v>1</v>
      </c>
      <c r="D561" s="11">
        <v>0</v>
      </c>
      <c r="E561" s="11">
        <v>0</v>
      </c>
      <c r="F561" s="11">
        <v>2</v>
      </c>
      <c r="G561" s="11">
        <v>0</v>
      </c>
      <c r="H561" s="11"/>
      <c r="I561" s="11"/>
      <c r="J561" s="11">
        <v>0.5</v>
      </c>
      <c r="K561" s="11">
        <v>0.5</v>
      </c>
      <c r="L561" s="11">
        <v>0</v>
      </c>
    </row>
    <row r="562" spans="1:12" x14ac:dyDescent="0.25">
      <c r="A562" s="11" t="s">
        <v>609</v>
      </c>
      <c r="B562" s="11">
        <v>0</v>
      </c>
      <c r="C562" s="11">
        <v>1</v>
      </c>
      <c r="D562" s="11">
        <v>0</v>
      </c>
      <c r="E562" s="11">
        <v>0</v>
      </c>
      <c r="F562" s="11">
        <v>5</v>
      </c>
      <c r="G562" s="11">
        <v>0</v>
      </c>
      <c r="H562" s="11"/>
      <c r="I562" s="11"/>
      <c r="J562" s="11">
        <v>0.5</v>
      </c>
      <c r="K562" s="11">
        <v>0.5</v>
      </c>
      <c r="L562" s="11">
        <v>0</v>
      </c>
    </row>
    <row r="563" spans="1:12" x14ac:dyDescent="0.25">
      <c r="A563" s="11" t="s">
        <v>250</v>
      </c>
      <c r="B563" s="11">
        <v>0</v>
      </c>
      <c r="C563" s="11">
        <v>1</v>
      </c>
      <c r="D563" s="11">
        <v>0</v>
      </c>
      <c r="E563" s="11">
        <v>1</v>
      </c>
      <c r="F563" s="11">
        <v>5</v>
      </c>
      <c r="G563" s="11">
        <v>12</v>
      </c>
      <c r="H563" s="11"/>
      <c r="I563" s="11">
        <v>1</v>
      </c>
      <c r="J563" s="11">
        <v>0.5</v>
      </c>
      <c r="K563" s="11">
        <v>0.5</v>
      </c>
      <c r="L563" s="11">
        <v>1</v>
      </c>
    </row>
    <row r="564" spans="1:12" x14ac:dyDescent="0.25">
      <c r="A564" s="11" t="s">
        <v>610</v>
      </c>
      <c r="B564" s="11">
        <v>0</v>
      </c>
      <c r="C564" s="11">
        <v>1</v>
      </c>
      <c r="D564" s="11">
        <v>0</v>
      </c>
      <c r="E564" s="11">
        <v>0</v>
      </c>
      <c r="F564" s="11">
        <v>4</v>
      </c>
      <c r="G564" s="11">
        <v>0</v>
      </c>
      <c r="H564" s="11"/>
      <c r="I564" s="11"/>
      <c r="J564" s="11">
        <v>0.5</v>
      </c>
      <c r="K564" s="11">
        <v>0.5</v>
      </c>
      <c r="L564" s="11">
        <v>0</v>
      </c>
    </row>
    <row r="565" spans="1:12" x14ac:dyDescent="0.25">
      <c r="A565" s="11" t="s">
        <v>251</v>
      </c>
      <c r="B565" s="11">
        <v>0</v>
      </c>
      <c r="C565" s="11">
        <v>1</v>
      </c>
      <c r="D565" s="11">
        <v>0</v>
      </c>
      <c r="E565" s="11">
        <v>0</v>
      </c>
      <c r="F565" s="11">
        <v>5</v>
      </c>
      <c r="G565" s="11">
        <v>0</v>
      </c>
      <c r="H565" s="11"/>
      <c r="I565" s="11"/>
      <c r="J565" s="11">
        <v>0.5</v>
      </c>
      <c r="K565" s="11">
        <v>0.5</v>
      </c>
      <c r="L565" s="11">
        <v>1</v>
      </c>
    </row>
    <row r="566" spans="1:12" x14ac:dyDescent="0.25">
      <c r="A566" s="11" t="s">
        <v>611</v>
      </c>
      <c r="B566" s="11">
        <v>0</v>
      </c>
      <c r="C566" s="11">
        <v>1</v>
      </c>
      <c r="D566" s="11">
        <v>0</v>
      </c>
      <c r="E566" s="11">
        <v>0</v>
      </c>
      <c r="F566" s="11">
        <v>0</v>
      </c>
      <c r="G566" s="11">
        <v>0</v>
      </c>
      <c r="H566" s="11"/>
      <c r="I566" s="11"/>
      <c r="J566" s="11">
        <v>0.5</v>
      </c>
      <c r="K566" s="11">
        <v>0.5</v>
      </c>
      <c r="L566" s="11">
        <v>0</v>
      </c>
    </row>
    <row r="567" spans="1:12" x14ac:dyDescent="0.25">
      <c r="A567" s="11" t="s">
        <v>612</v>
      </c>
      <c r="B567" s="11">
        <v>0</v>
      </c>
      <c r="C567" s="11">
        <v>1</v>
      </c>
      <c r="D567" s="11">
        <v>0</v>
      </c>
      <c r="E567" s="11">
        <v>0</v>
      </c>
      <c r="F567" s="11">
        <v>4</v>
      </c>
      <c r="G567" s="11">
        <v>0</v>
      </c>
      <c r="H567" s="11"/>
      <c r="I567" s="11"/>
      <c r="J567" s="11">
        <v>0.5</v>
      </c>
      <c r="K567" s="11">
        <v>0.5</v>
      </c>
      <c r="L567" s="11">
        <v>0</v>
      </c>
    </row>
    <row r="568" spans="1:12" x14ac:dyDescent="0.25">
      <c r="A568" s="11" t="s">
        <v>613</v>
      </c>
      <c r="B568" s="11">
        <v>0</v>
      </c>
      <c r="C568" s="11">
        <v>0.25</v>
      </c>
      <c r="D568" s="11">
        <v>0</v>
      </c>
      <c r="E568" s="11">
        <v>0</v>
      </c>
      <c r="F568" s="11">
        <v>1</v>
      </c>
      <c r="G568" s="11">
        <v>1</v>
      </c>
      <c r="H568" s="11"/>
      <c r="I568" s="11"/>
      <c r="J568" s="11">
        <v>0.5</v>
      </c>
      <c r="K568" s="11">
        <v>1</v>
      </c>
      <c r="L568" s="11">
        <v>0</v>
      </c>
    </row>
    <row r="569" spans="1:12" x14ac:dyDescent="0.25">
      <c r="A569" s="11" t="s">
        <v>614</v>
      </c>
      <c r="B569" s="11">
        <v>0</v>
      </c>
      <c r="C569" s="11">
        <v>0.25</v>
      </c>
      <c r="D569" s="11">
        <v>0</v>
      </c>
      <c r="E569" s="11">
        <v>0</v>
      </c>
      <c r="F569" s="11">
        <v>1</v>
      </c>
      <c r="G569" s="11">
        <v>1</v>
      </c>
      <c r="H569" s="11"/>
      <c r="I569" s="11"/>
      <c r="J569" s="11">
        <v>1</v>
      </c>
      <c r="K569" s="11">
        <v>1</v>
      </c>
      <c r="L569" s="11">
        <v>0</v>
      </c>
    </row>
    <row r="570" spans="1:12" x14ac:dyDescent="0.25">
      <c r="A570" s="11" t="s">
        <v>615</v>
      </c>
      <c r="B570" s="11">
        <v>0</v>
      </c>
      <c r="C570" s="11">
        <v>0.25</v>
      </c>
      <c r="D570" s="11">
        <v>0</v>
      </c>
      <c r="E570" s="11">
        <v>0</v>
      </c>
      <c r="F570" s="11">
        <v>1</v>
      </c>
      <c r="G570" s="11">
        <v>1</v>
      </c>
      <c r="H570" s="11"/>
      <c r="I570" s="11"/>
      <c r="J570" s="11">
        <v>0.5</v>
      </c>
      <c r="K570" s="11">
        <v>0.5</v>
      </c>
      <c r="L570" s="11">
        <v>0</v>
      </c>
    </row>
    <row r="571" spans="1:12" x14ac:dyDescent="0.25">
      <c r="A571" s="11" t="s">
        <v>616</v>
      </c>
      <c r="B571" s="11">
        <v>0</v>
      </c>
      <c r="C571" s="11">
        <v>0.25</v>
      </c>
      <c r="D571" s="11">
        <v>0</v>
      </c>
      <c r="E571" s="11">
        <v>0</v>
      </c>
      <c r="F571" s="11">
        <v>1</v>
      </c>
      <c r="G571" s="11">
        <v>1</v>
      </c>
      <c r="H571" s="11"/>
      <c r="I571" s="11"/>
      <c r="J571" s="11">
        <v>0.5</v>
      </c>
      <c r="K571" s="11">
        <v>1</v>
      </c>
      <c r="L571" s="11">
        <v>0</v>
      </c>
    </row>
    <row r="572" spans="1:12" x14ac:dyDescent="0.25">
      <c r="A572" s="11" t="s">
        <v>1</v>
      </c>
      <c r="B572" s="11">
        <v>0</v>
      </c>
      <c r="C572" s="11">
        <v>0.25</v>
      </c>
      <c r="D572" s="11">
        <v>0</v>
      </c>
      <c r="E572" s="11">
        <v>0</v>
      </c>
      <c r="F572" s="11">
        <v>9</v>
      </c>
      <c r="G572" s="11">
        <v>18</v>
      </c>
      <c r="H572" s="11"/>
      <c r="I572" s="11">
        <v>5</v>
      </c>
      <c r="J572" s="11">
        <v>1</v>
      </c>
      <c r="K572" s="11">
        <v>0.5</v>
      </c>
      <c r="L572" s="11">
        <v>0</v>
      </c>
    </row>
    <row r="573" spans="1:12" x14ac:dyDescent="0.25">
      <c r="A573" s="11" t="s">
        <v>617</v>
      </c>
      <c r="B573" s="11">
        <v>0</v>
      </c>
      <c r="C573" s="11">
        <v>1</v>
      </c>
      <c r="D573" s="11">
        <v>0</v>
      </c>
      <c r="E573" s="11">
        <v>0</v>
      </c>
      <c r="F573" s="11">
        <v>3</v>
      </c>
      <c r="G573" s="11">
        <v>4</v>
      </c>
      <c r="H573" s="11"/>
      <c r="I573" s="11"/>
      <c r="J573" s="11">
        <v>1</v>
      </c>
      <c r="K573" s="11">
        <v>0.5</v>
      </c>
      <c r="L573" s="11">
        <v>0</v>
      </c>
    </row>
    <row r="574" spans="1:12" x14ac:dyDescent="0.25">
      <c r="A574" s="11" t="s">
        <v>252</v>
      </c>
      <c r="B574" s="11">
        <v>1</v>
      </c>
      <c r="C574" s="11">
        <v>1</v>
      </c>
      <c r="D574" s="11">
        <v>0</v>
      </c>
      <c r="E574" s="11">
        <v>0</v>
      </c>
      <c r="F574" s="11">
        <v>2</v>
      </c>
      <c r="G574" s="11">
        <v>1</v>
      </c>
      <c r="H574" s="11"/>
      <c r="I574" s="11"/>
      <c r="J574" s="11">
        <v>0.5</v>
      </c>
      <c r="K574" s="11">
        <v>0.5</v>
      </c>
      <c r="L574" s="11">
        <v>0</v>
      </c>
    </row>
    <row r="575" spans="1:12" x14ac:dyDescent="0.25">
      <c r="A575" s="11" t="s">
        <v>253</v>
      </c>
      <c r="B575" s="11">
        <v>0</v>
      </c>
      <c r="C575" s="11">
        <v>1</v>
      </c>
      <c r="D575" s="11">
        <v>0</v>
      </c>
      <c r="E575" s="11">
        <v>0</v>
      </c>
      <c r="F575" s="11">
        <v>2</v>
      </c>
      <c r="G575" s="11">
        <v>1</v>
      </c>
      <c r="H575" s="11"/>
      <c r="I575" s="11"/>
      <c r="J575" s="11">
        <v>0.5</v>
      </c>
      <c r="K575" s="11">
        <v>1</v>
      </c>
      <c r="L575" s="11">
        <v>0</v>
      </c>
    </row>
    <row r="576" spans="1:12" x14ac:dyDescent="0.25">
      <c r="A576" s="11" t="s">
        <v>618</v>
      </c>
      <c r="B576" s="11">
        <v>0</v>
      </c>
      <c r="C576" s="11">
        <v>1</v>
      </c>
      <c r="D576" s="11">
        <v>0</v>
      </c>
      <c r="E576" s="11">
        <v>0</v>
      </c>
      <c r="F576" s="11">
        <v>2</v>
      </c>
      <c r="G576" s="11">
        <v>0</v>
      </c>
      <c r="H576" s="11"/>
      <c r="I576" s="11"/>
      <c r="J576" s="11">
        <v>0.5</v>
      </c>
      <c r="K576" s="11">
        <v>1</v>
      </c>
      <c r="L576" s="11">
        <v>0</v>
      </c>
    </row>
    <row r="577" spans="1:12" x14ac:dyDescent="0.25">
      <c r="A577" s="11" t="s">
        <v>619</v>
      </c>
      <c r="B577" s="11">
        <v>0</v>
      </c>
      <c r="C577" s="11">
        <v>1</v>
      </c>
      <c r="D577" s="11">
        <v>1</v>
      </c>
      <c r="E577" s="11">
        <v>0</v>
      </c>
      <c r="F577" s="11">
        <v>0</v>
      </c>
      <c r="G577" s="11">
        <v>0</v>
      </c>
      <c r="H577" s="11"/>
      <c r="I577" s="11"/>
      <c r="J577" s="11">
        <v>0.5</v>
      </c>
      <c r="K577" s="11">
        <v>1</v>
      </c>
      <c r="L577" s="11">
        <v>0</v>
      </c>
    </row>
    <row r="578" spans="1:12" x14ac:dyDescent="0.25">
      <c r="A578" s="11" t="s">
        <v>620</v>
      </c>
      <c r="B578" s="11">
        <v>1</v>
      </c>
      <c r="C578" s="11">
        <v>0.25</v>
      </c>
      <c r="D578" s="11">
        <v>0</v>
      </c>
      <c r="E578" s="11">
        <v>0</v>
      </c>
      <c r="F578" s="11">
        <v>2</v>
      </c>
      <c r="G578" s="11">
        <v>1</v>
      </c>
      <c r="H578" s="11"/>
      <c r="I578" s="11">
        <v>3</v>
      </c>
      <c r="J578" s="11">
        <v>0.75</v>
      </c>
      <c r="K578" s="11">
        <v>1</v>
      </c>
      <c r="L578" s="11">
        <v>0</v>
      </c>
    </row>
    <row r="579" spans="1:12" x14ac:dyDescent="0.25">
      <c r="A579" s="11" t="s">
        <v>621</v>
      </c>
      <c r="B579" s="11">
        <v>0</v>
      </c>
      <c r="C579" s="11">
        <v>1</v>
      </c>
      <c r="D579" s="11">
        <v>1</v>
      </c>
      <c r="E579" s="11">
        <v>0</v>
      </c>
      <c r="F579" s="11">
        <v>0</v>
      </c>
      <c r="G579" s="11">
        <v>0</v>
      </c>
      <c r="H579" s="11"/>
      <c r="I579" s="11"/>
      <c r="J579" s="11">
        <v>0.5</v>
      </c>
      <c r="K579" s="11">
        <v>1</v>
      </c>
      <c r="L579" s="11">
        <v>0</v>
      </c>
    </row>
    <row r="580" spans="1:12" x14ac:dyDescent="0.25">
      <c r="A580" s="11" t="s">
        <v>622</v>
      </c>
      <c r="B580" s="11">
        <v>1</v>
      </c>
      <c r="C580" s="11">
        <v>1</v>
      </c>
      <c r="D580" s="11">
        <v>0</v>
      </c>
      <c r="E580" s="11">
        <v>0</v>
      </c>
      <c r="F580" s="11">
        <v>8</v>
      </c>
      <c r="G580" s="11">
        <v>0</v>
      </c>
      <c r="H580" s="11"/>
      <c r="I580" s="11"/>
      <c r="J580" s="11">
        <v>0.5</v>
      </c>
      <c r="K580" s="11">
        <v>1</v>
      </c>
      <c r="L580" s="11">
        <v>0</v>
      </c>
    </row>
    <row r="581" spans="1:12" x14ac:dyDescent="0.25">
      <c r="A581" s="11" t="s">
        <v>623</v>
      </c>
      <c r="B581" s="11">
        <v>0</v>
      </c>
      <c r="C581" s="11">
        <v>1</v>
      </c>
      <c r="D581" s="11">
        <v>0</v>
      </c>
      <c r="E581" s="11">
        <v>0</v>
      </c>
      <c r="F581" s="11">
        <v>4</v>
      </c>
      <c r="G581" s="11">
        <v>7</v>
      </c>
      <c r="H581" s="11"/>
      <c r="I581" s="11">
        <v>3</v>
      </c>
      <c r="J581" s="11">
        <v>1</v>
      </c>
      <c r="K581" s="11">
        <v>0.5</v>
      </c>
      <c r="L581" s="11">
        <v>0</v>
      </c>
    </row>
    <row r="582" spans="1:12" x14ac:dyDescent="0.25">
      <c r="A582" s="11" t="s">
        <v>624</v>
      </c>
      <c r="B582" s="11">
        <v>0</v>
      </c>
      <c r="C582" s="11">
        <v>0.25</v>
      </c>
      <c r="D582" s="11">
        <v>0</v>
      </c>
      <c r="E582" s="11">
        <v>0</v>
      </c>
      <c r="F582" s="11">
        <v>1</v>
      </c>
      <c r="G582" s="11">
        <v>1</v>
      </c>
      <c r="H582" s="11"/>
      <c r="I582" s="11"/>
      <c r="J582" s="11">
        <v>0.5</v>
      </c>
      <c r="K582" s="11">
        <v>1</v>
      </c>
      <c r="L582" s="11">
        <v>0</v>
      </c>
    </row>
    <row r="583" spans="1:12" x14ac:dyDescent="0.25">
      <c r="A583" s="11" t="s">
        <v>625</v>
      </c>
      <c r="B583" s="11">
        <v>0</v>
      </c>
      <c r="C583" s="11">
        <v>1</v>
      </c>
      <c r="D583" s="11">
        <v>0</v>
      </c>
      <c r="E583" s="11">
        <v>0</v>
      </c>
      <c r="F583" s="11">
        <v>6</v>
      </c>
      <c r="G583" s="11">
        <v>13</v>
      </c>
      <c r="H583" s="11"/>
      <c r="I583" s="11">
        <v>4</v>
      </c>
      <c r="J583" s="11">
        <v>0.75</v>
      </c>
      <c r="K583" s="11">
        <v>0.5</v>
      </c>
      <c r="L583" s="11">
        <v>0</v>
      </c>
    </row>
    <row r="584" spans="1:12" x14ac:dyDescent="0.25">
      <c r="A584" s="11" t="s">
        <v>254</v>
      </c>
      <c r="B584" s="11">
        <v>0</v>
      </c>
      <c r="C584" s="11">
        <v>1</v>
      </c>
      <c r="D584" s="11">
        <v>0</v>
      </c>
      <c r="E584" s="11">
        <v>0</v>
      </c>
      <c r="F584" s="11">
        <v>8</v>
      </c>
      <c r="G584" s="11">
        <v>11</v>
      </c>
      <c r="H584" s="11"/>
      <c r="I584" s="11">
        <v>5</v>
      </c>
      <c r="J584" s="11">
        <v>0.75</v>
      </c>
      <c r="K584" s="11">
        <v>0.5</v>
      </c>
      <c r="L584" s="11">
        <v>0</v>
      </c>
    </row>
    <row r="585" spans="1:12" x14ac:dyDescent="0.25">
      <c r="A585" s="11" t="s">
        <v>255</v>
      </c>
      <c r="B585" s="11">
        <v>0</v>
      </c>
      <c r="C585" s="11">
        <v>1</v>
      </c>
      <c r="D585" s="11">
        <v>0</v>
      </c>
      <c r="E585" s="11">
        <v>0</v>
      </c>
      <c r="F585" s="11">
        <v>1</v>
      </c>
      <c r="G585" s="11">
        <v>1</v>
      </c>
      <c r="H585" s="11"/>
      <c r="I585" s="11"/>
      <c r="J585" s="11">
        <v>0.5</v>
      </c>
      <c r="K585" s="11">
        <v>0.5</v>
      </c>
      <c r="L585" s="11">
        <v>0</v>
      </c>
    </row>
    <row r="586" spans="1:12" x14ac:dyDescent="0.25">
      <c r="A586" s="11" t="s">
        <v>256</v>
      </c>
      <c r="B586" s="11">
        <v>0</v>
      </c>
      <c r="C586" s="11">
        <v>1</v>
      </c>
      <c r="D586" s="11">
        <v>0</v>
      </c>
      <c r="E586" s="11">
        <v>0</v>
      </c>
      <c r="F586" s="11">
        <v>9</v>
      </c>
      <c r="G586" s="11">
        <v>15</v>
      </c>
      <c r="H586" s="11"/>
      <c r="I586" s="11">
        <v>2</v>
      </c>
      <c r="J586" s="11">
        <v>0.75</v>
      </c>
      <c r="K586" s="11">
        <v>0.5</v>
      </c>
      <c r="L586" s="11">
        <v>0</v>
      </c>
    </row>
    <row r="587" spans="1:12" x14ac:dyDescent="0.25">
      <c r="A587" s="11" t="s">
        <v>257</v>
      </c>
      <c r="B587" s="11">
        <v>0</v>
      </c>
      <c r="C587" s="11">
        <v>1</v>
      </c>
      <c r="D587" s="11">
        <v>0</v>
      </c>
      <c r="E587" s="11">
        <v>0</v>
      </c>
      <c r="F587" s="11">
        <v>5</v>
      </c>
      <c r="G587" s="11">
        <v>14</v>
      </c>
      <c r="H587" s="11"/>
      <c r="I587" s="11">
        <v>2</v>
      </c>
      <c r="J587" s="11">
        <v>0.5</v>
      </c>
      <c r="K587" s="11">
        <v>0.5</v>
      </c>
      <c r="L587" s="11">
        <v>0</v>
      </c>
    </row>
    <row r="588" spans="1:12" x14ac:dyDescent="0.25">
      <c r="A588" s="11" t="s">
        <v>258</v>
      </c>
      <c r="B588" s="11">
        <v>0</v>
      </c>
      <c r="C588" s="11">
        <v>1</v>
      </c>
      <c r="D588" s="11">
        <v>0</v>
      </c>
      <c r="E588" s="11">
        <v>0</v>
      </c>
      <c r="F588" s="11">
        <v>4</v>
      </c>
      <c r="G588" s="11">
        <v>6</v>
      </c>
      <c r="H588" s="11"/>
      <c r="I588" s="11">
        <v>1</v>
      </c>
      <c r="J588" s="11">
        <v>0.5</v>
      </c>
      <c r="K588" s="11">
        <v>0.5</v>
      </c>
      <c r="L588" s="11">
        <v>0</v>
      </c>
    </row>
    <row r="589" spans="1:12" x14ac:dyDescent="0.25">
      <c r="A589" s="11" t="s">
        <v>259</v>
      </c>
      <c r="B589" s="11">
        <v>0</v>
      </c>
      <c r="C589" s="11">
        <v>0.25</v>
      </c>
      <c r="D589" s="11">
        <v>0</v>
      </c>
      <c r="E589" s="11">
        <v>0</v>
      </c>
      <c r="F589" s="11">
        <v>2</v>
      </c>
      <c r="G589" s="11">
        <v>0</v>
      </c>
      <c r="H589" s="11"/>
      <c r="I589" s="11"/>
      <c r="J589" s="11">
        <v>0.5</v>
      </c>
      <c r="K589" s="11">
        <v>1</v>
      </c>
      <c r="L589" s="11">
        <v>0</v>
      </c>
    </row>
    <row r="590" spans="1:12" x14ac:dyDescent="0.25">
      <c r="A590" s="11" t="s">
        <v>260</v>
      </c>
      <c r="B590" s="11">
        <v>0</v>
      </c>
      <c r="C590" s="11">
        <v>1</v>
      </c>
      <c r="D590" s="11">
        <v>0</v>
      </c>
      <c r="E590" s="11">
        <v>0</v>
      </c>
      <c r="F590" s="11">
        <v>2</v>
      </c>
      <c r="G590" s="11">
        <v>3</v>
      </c>
      <c r="H590" s="11"/>
      <c r="I590" s="11"/>
      <c r="J590" s="11">
        <v>0.5</v>
      </c>
      <c r="K590" s="11">
        <v>1</v>
      </c>
      <c r="L590" s="11">
        <v>0</v>
      </c>
    </row>
    <row r="591" spans="1:12" x14ac:dyDescent="0.25">
      <c r="A591" s="11" t="s">
        <v>626</v>
      </c>
      <c r="B591" s="11">
        <v>0</v>
      </c>
      <c r="C591" s="11">
        <v>1</v>
      </c>
      <c r="D591" s="11">
        <v>0</v>
      </c>
      <c r="E591" s="11">
        <v>0</v>
      </c>
      <c r="F591" s="11">
        <v>5</v>
      </c>
      <c r="G591" s="11">
        <v>0</v>
      </c>
      <c r="H591" s="11"/>
      <c r="I591" s="11"/>
      <c r="J591" s="11">
        <v>0.5</v>
      </c>
      <c r="K591" s="11">
        <v>1</v>
      </c>
      <c r="L591" s="11">
        <v>0</v>
      </c>
    </row>
    <row r="592" spans="1:12" x14ac:dyDescent="0.25">
      <c r="A592" s="11" t="s">
        <v>627</v>
      </c>
      <c r="B592" s="11">
        <v>0</v>
      </c>
      <c r="C592" s="11">
        <v>1</v>
      </c>
      <c r="D592" s="11">
        <v>0</v>
      </c>
      <c r="E592" s="11">
        <v>0</v>
      </c>
      <c r="F592" s="11">
        <v>0</v>
      </c>
      <c r="G592" s="11">
        <v>0</v>
      </c>
      <c r="H592" s="11"/>
      <c r="I592" s="11">
        <v>3</v>
      </c>
      <c r="J592" s="11">
        <v>0.5</v>
      </c>
      <c r="K592" s="11">
        <v>1</v>
      </c>
      <c r="L592" s="11">
        <v>0</v>
      </c>
    </row>
    <row r="593" spans="1:12" x14ac:dyDescent="0.25">
      <c r="A593" s="11" t="s">
        <v>23</v>
      </c>
      <c r="B593" s="11">
        <v>0</v>
      </c>
      <c r="C593" s="11">
        <v>1</v>
      </c>
      <c r="D593" s="11">
        <v>1</v>
      </c>
      <c r="E593" s="11">
        <v>0</v>
      </c>
      <c r="F593" s="11">
        <v>2</v>
      </c>
      <c r="G593" s="11">
        <v>2</v>
      </c>
      <c r="H593" s="11"/>
      <c r="I593" s="11">
        <v>1</v>
      </c>
      <c r="J593" s="11">
        <v>0.75</v>
      </c>
      <c r="K593" s="11">
        <v>1</v>
      </c>
      <c r="L593" s="11">
        <v>0</v>
      </c>
    </row>
    <row r="594" spans="1:12" x14ac:dyDescent="0.25">
      <c r="A594" s="11" t="s">
        <v>628</v>
      </c>
      <c r="B594" s="11">
        <v>0</v>
      </c>
      <c r="C594" s="11">
        <v>1</v>
      </c>
      <c r="D594" s="11">
        <v>1</v>
      </c>
      <c r="E594" s="11">
        <v>0</v>
      </c>
      <c r="F594" s="11">
        <v>9</v>
      </c>
      <c r="G594" s="11">
        <v>0</v>
      </c>
      <c r="H594" s="11"/>
      <c r="I594" s="11">
        <v>1</v>
      </c>
      <c r="J594" s="11">
        <v>0.75</v>
      </c>
      <c r="K594" s="11">
        <v>1</v>
      </c>
      <c r="L594" s="11">
        <v>0</v>
      </c>
    </row>
    <row r="595" spans="1:12" x14ac:dyDescent="0.25">
      <c r="A595" s="11" t="s">
        <v>261</v>
      </c>
      <c r="B595" s="11">
        <v>0</v>
      </c>
      <c r="C595" s="11">
        <v>0.25</v>
      </c>
      <c r="D595" s="11">
        <v>0</v>
      </c>
      <c r="E595" s="11">
        <v>0</v>
      </c>
      <c r="F595" s="11">
        <v>7</v>
      </c>
      <c r="G595" s="11">
        <v>13</v>
      </c>
      <c r="H595" s="11"/>
      <c r="I595" s="11">
        <v>2</v>
      </c>
      <c r="J595" s="11">
        <v>0.5</v>
      </c>
      <c r="K595" s="11">
        <v>0.5</v>
      </c>
      <c r="L595" s="11">
        <v>0</v>
      </c>
    </row>
    <row r="596" spans="1:12" x14ac:dyDescent="0.25">
      <c r="A596" s="11" t="s">
        <v>262</v>
      </c>
      <c r="B596" s="11">
        <v>0</v>
      </c>
      <c r="C596" s="11">
        <v>1</v>
      </c>
      <c r="D596" s="11">
        <v>0</v>
      </c>
      <c r="E596" s="11">
        <v>0</v>
      </c>
      <c r="F596" s="11">
        <v>1</v>
      </c>
      <c r="G596" s="11">
        <v>1</v>
      </c>
      <c r="H596" s="11"/>
      <c r="I596" s="11">
        <v>1</v>
      </c>
      <c r="J596" s="11">
        <v>0.5</v>
      </c>
      <c r="K596" s="11">
        <v>0.5</v>
      </c>
      <c r="L596" s="11">
        <v>0</v>
      </c>
    </row>
    <row r="597" spans="1:12" x14ac:dyDescent="0.25">
      <c r="A597" s="11" t="s">
        <v>263</v>
      </c>
      <c r="B597" s="11">
        <v>0</v>
      </c>
      <c r="C597" s="11">
        <v>0.25</v>
      </c>
      <c r="D597" s="11">
        <v>0</v>
      </c>
      <c r="E597" s="11">
        <v>0</v>
      </c>
      <c r="F597" s="11">
        <v>5</v>
      </c>
      <c r="G597" s="11">
        <v>10</v>
      </c>
      <c r="H597" s="11"/>
      <c r="I597" s="11">
        <v>1</v>
      </c>
      <c r="J597" s="11">
        <v>0.5</v>
      </c>
      <c r="K597" s="11">
        <v>0.5</v>
      </c>
      <c r="L597" s="11">
        <v>0</v>
      </c>
    </row>
    <row r="598" spans="1:12" x14ac:dyDescent="0.25">
      <c r="A598" s="11" t="s">
        <v>264</v>
      </c>
      <c r="B598" s="11">
        <v>0</v>
      </c>
      <c r="C598" s="11">
        <v>0.25</v>
      </c>
      <c r="D598" s="11">
        <v>0</v>
      </c>
      <c r="E598" s="11">
        <v>0</v>
      </c>
      <c r="F598" s="11">
        <v>4</v>
      </c>
      <c r="G598" s="11">
        <v>15</v>
      </c>
      <c r="H598" s="11"/>
      <c r="I598" s="11"/>
      <c r="J598" s="11">
        <v>0.5</v>
      </c>
      <c r="K598" s="11">
        <v>0.5</v>
      </c>
      <c r="L598" s="11">
        <v>0</v>
      </c>
    </row>
    <row r="599" spans="1:12" x14ac:dyDescent="0.25">
      <c r="A599" s="11" t="s">
        <v>629</v>
      </c>
      <c r="B599" s="11">
        <v>0</v>
      </c>
      <c r="C599" s="11">
        <v>0.25</v>
      </c>
      <c r="D599" s="11">
        <v>0</v>
      </c>
      <c r="E599" s="11">
        <v>0</v>
      </c>
      <c r="F599" s="11">
        <v>2</v>
      </c>
      <c r="G599" s="11">
        <v>0</v>
      </c>
      <c r="H599" s="11"/>
      <c r="I599" s="11"/>
      <c r="J599" s="11">
        <v>0.5</v>
      </c>
      <c r="K599" s="11">
        <v>0.5</v>
      </c>
      <c r="L599" s="11">
        <v>0</v>
      </c>
    </row>
    <row r="600" spans="1:12" x14ac:dyDescent="0.25">
      <c r="A600" s="11" t="s">
        <v>265</v>
      </c>
      <c r="B600" s="11">
        <v>0</v>
      </c>
      <c r="C600" s="11">
        <v>1</v>
      </c>
      <c r="D600" s="11">
        <v>0</v>
      </c>
      <c r="E600" s="11">
        <v>0</v>
      </c>
      <c r="F600" s="11">
        <v>1</v>
      </c>
      <c r="G600" s="11">
        <v>1</v>
      </c>
      <c r="H600" s="11"/>
      <c r="I600" s="11"/>
      <c r="J600" s="11">
        <v>0.5</v>
      </c>
      <c r="K600" s="11">
        <v>0.5</v>
      </c>
      <c r="L600" s="11">
        <v>0</v>
      </c>
    </row>
    <row r="601" spans="1:12" x14ac:dyDescent="0.25">
      <c r="A601" s="11" t="s">
        <v>265</v>
      </c>
      <c r="B601" s="11">
        <v>0</v>
      </c>
      <c r="C601" s="11">
        <v>1</v>
      </c>
      <c r="D601" s="11">
        <v>0</v>
      </c>
      <c r="E601" s="11">
        <v>0</v>
      </c>
      <c r="F601" s="11">
        <v>1</v>
      </c>
      <c r="G601" s="11">
        <v>1</v>
      </c>
      <c r="H601" s="11"/>
      <c r="I601" s="11"/>
      <c r="J601" s="11">
        <v>0.5</v>
      </c>
      <c r="K601" s="11">
        <v>0.5</v>
      </c>
      <c r="L601" s="11">
        <v>0</v>
      </c>
    </row>
    <row r="602" spans="1:12" x14ac:dyDescent="0.25">
      <c r="A602" s="11" t="s">
        <v>266</v>
      </c>
      <c r="B602" s="11">
        <v>0</v>
      </c>
      <c r="C602" s="11">
        <v>1</v>
      </c>
      <c r="D602" s="11">
        <v>0</v>
      </c>
      <c r="E602" s="11">
        <v>0</v>
      </c>
      <c r="F602" s="11">
        <v>5</v>
      </c>
      <c r="G602" s="11">
        <v>10</v>
      </c>
      <c r="H602" s="11"/>
      <c r="I602" s="11"/>
      <c r="J602" s="11">
        <v>0.5</v>
      </c>
      <c r="K602" s="11">
        <v>0.5</v>
      </c>
      <c r="L602" s="11">
        <v>0</v>
      </c>
    </row>
    <row r="603" spans="1:12" x14ac:dyDescent="0.25">
      <c r="A603" s="11" t="s">
        <v>630</v>
      </c>
      <c r="B603" s="11">
        <v>0</v>
      </c>
      <c r="C603" s="11">
        <v>0.25</v>
      </c>
      <c r="D603" s="11">
        <v>0</v>
      </c>
      <c r="E603" s="11">
        <v>0</v>
      </c>
      <c r="F603" s="11">
        <v>2</v>
      </c>
      <c r="G603" s="11">
        <v>0</v>
      </c>
      <c r="H603" s="11"/>
      <c r="I603" s="11"/>
      <c r="J603" s="11">
        <v>0.5</v>
      </c>
      <c r="K603" s="11">
        <v>0.5</v>
      </c>
      <c r="L603" s="11">
        <v>0</v>
      </c>
    </row>
    <row r="604" spans="1:12" x14ac:dyDescent="0.25">
      <c r="A604" s="11" t="s">
        <v>631</v>
      </c>
      <c r="B604" s="11">
        <v>0</v>
      </c>
      <c r="C604" s="11">
        <v>0.25</v>
      </c>
      <c r="D604" s="11">
        <v>0</v>
      </c>
      <c r="E604" s="11">
        <v>0</v>
      </c>
      <c r="F604" s="11">
        <v>1</v>
      </c>
      <c r="G604" s="11">
        <v>1</v>
      </c>
      <c r="H604" s="11"/>
      <c r="I604" s="11"/>
      <c r="J604" s="11">
        <v>0.5</v>
      </c>
      <c r="K604" s="11">
        <v>0.5</v>
      </c>
      <c r="L604" s="11">
        <v>0</v>
      </c>
    </row>
    <row r="605" spans="1:12" x14ac:dyDescent="0.25">
      <c r="A605" s="11" t="s">
        <v>640</v>
      </c>
      <c r="B605" s="11">
        <v>0</v>
      </c>
      <c r="C605" s="11">
        <v>0.25</v>
      </c>
      <c r="D605" s="11">
        <v>0</v>
      </c>
      <c r="E605" s="11">
        <v>0</v>
      </c>
      <c r="F605" s="11">
        <v>1</v>
      </c>
      <c r="G605" s="11">
        <v>1</v>
      </c>
      <c r="H605" s="11"/>
      <c r="I605" s="11"/>
      <c r="J605" s="11">
        <v>0.75</v>
      </c>
      <c r="K605" s="11">
        <v>1</v>
      </c>
      <c r="L605" s="11">
        <v>0</v>
      </c>
    </row>
    <row r="606" spans="1:12" x14ac:dyDescent="0.25">
      <c r="A606" s="11" t="s">
        <v>641</v>
      </c>
      <c r="B606" s="11">
        <v>1</v>
      </c>
      <c r="C606" s="11">
        <v>0.25</v>
      </c>
      <c r="D606" s="11">
        <v>0</v>
      </c>
      <c r="E606" s="11">
        <v>0</v>
      </c>
      <c r="F606" s="11">
        <v>2</v>
      </c>
      <c r="G606" s="11">
        <v>1</v>
      </c>
      <c r="H606" s="11"/>
      <c r="I606" s="11"/>
      <c r="J606" s="11">
        <v>0.75</v>
      </c>
      <c r="K606" s="11">
        <v>1</v>
      </c>
      <c r="L606" s="11">
        <v>0</v>
      </c>
    </row>
    <row r="607" spans="1:12" x14ac:dyDescent="0.25">
      <c r="A607" s="11" t="s">
        <v>3</v>
      </c>
      <c r="B607" s="11">
        <v>1</v>
      </c>
      <c r="C607" s="11">
        <v>0.25</v>
      </c>
      <c r="D607" s="11">
        <v>0</v>
      </c>
      <c r="E607" s="11">
        <v>0</v>
      </c>
      <c r="F607" s="11">
        <v>1</v>
      </c>
      <c r="G607" s="11">
        <v>1</v>
      </c>
      <c r="H607" s="11"/>
      <c r="I607" s="11"/>
      <c r="J607" s="11">
        <v>0.75</v>
      </c>
      <c r="K607" s="11">
        <v>0.5</v>
      </c>
      <c r="L607" s="11">
        <v>0</v>
      </c>
    </row>
    <row r="608" spans="1:12" x14ac:dyDescent="0.25">
      <c r="A608" s="11" t="s">
        <v>2</v>
      </c>
      <c r="B608" s="11">
        <v>1</v>
      </c>
      <c r="C608" s="11">
        <v>0.25</v>
      </c>
      <c r="D608" s="11">
        <v>0</v>
      </c>
      <c r="E608" s="11">
        <v>0</v>
      </c>
      <c r="F608" s="11">
        <v>1</v>
      </c>
      <c r="G608" s="11">
        <v>1</v>
      </c>
      <c r="H608" s="11"/>
      <c r="I608" s="11"/>
      <c r="J608" s="11">
        <v>0.75</v>
      </c>
      <c r="K608" s="11">
        <v>1</v>
      </c>
      <c r="L608" s="1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B11" sqref="B11"/>
    </sheetView>
  </sheetViews>
  <sheetFormatPr defaultRowHeight="15" x14ac:dyDescent="0.25"/>
  <cols>
    <col min="1" max="1" width="20.5703125" bestFit="1" customWidth="1"/>
  </cols>
  <sheetData>
    <row r="1" spans="1:2" x14ac:dyDescent="0.25">
      <c r="A1" t="s">
        <v>41</v>
      </c>
      <c r="B1" t="s">
        <v>52</v>
      </c>
    </row>
    <row r="2" spans="1:2" x14ac:dyDescent="0.25">
      <c r="A2" t="s">
        <v>22</v>
      </c>
      <c r="B2">
        <v>0.8</v>
      </c>
    </row>
    <row r="3" spans="1:2" x14ac:dyDescent="0.25">
      <c r="A3" t="s">
        <v>0</v>
      </c>
      <c r="B3">
        <v>0.6</v>
      </c>
    </row>
    <row r="4" spans="1:2" x14ac:dyDescent="0.25">
      <c r="A4" t="s">
        <v>4</v>
      </c>
      <c r="B4">
        <v>0.6</v>
      </c>
    </row>
    <row r="5" spans="1:2" x14ac:dyDescent="0.25">
      <c r="A5" t="s">
        <v>31</v>
      </c>
      <c r="B5">
        <v>1.5</v>
      </c>
    </row>
    <row r="6" spans="1:2" x14ac:dyDescent="0.25">
      <c r="A6" t="s">
        <v>28</v>
      </c>
      <c r="B6">
        <v>1.2</v>
      </c>
    </row>
    <row r="10" spans="1:2" x14ac:dyDescent="0.25">
      <c r="A10" t="s">
        <v>647</v>
      </c>
      <c r="B10">
        <f>ROWS(v_data!$A$3:$A$1000)-COUNTIF(v_data!$A$3:$A$1000,"")</f>
        <v>37</v>
      </c>
    </row>
    <row r="11" spans="1:2" x14ac:dyDescent="0.25">
      <c r="A11" t="s">
        <v>648</v>
      </c>
      <c r="B11">
        <f>COLUMNS(v_data!$B$2:$AX$2)-COUNTIF(v_data!$B$2:$AX$2,"")</f>
        <v>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00"/>
  <sheetViews>
    <sheetView workbookViewId="0">
      <selection activeCell="D32" sqref="D32"/>
    </sheetView>
  </sheetViews>
  <sheetFormatPr defaultRowHeight="15" x14ac:dyDescent="0.25"/>
  <cols>
    <col min="1" max="1" width="31.28515625" style="22" customWidth="1"/>
    <col min="2" max="16384" width="9.140625" style="22"/>
  </cols>
  <sheetData>
    <row r="1" spans="1:2" ht="24.75" customHeight="1" x14ac:dyDescent="0.25">
      <c r="A1" s="21" t="s">
        <v>53</v>
      </c>
      <c r="B1" s="21" t="s">
        <v>61</v>
      </c>
    </row>
    <row r="2" spans="1:2" x14ac:dyDescent="0.25">
      <c r="A2" s="23" t="s">
        <v>32</v>
      </c>
      <c r="B2" s="23">
        <v>0.5</v>
      </c>
    </row>
    <row r="3" spans="1:2" x14ac:dyDescent="0.25">
      <c r="A3" s="23" t="s">
        <v>38</v>
      </c>
      <c r="B3" s="23">
        <v>1.5</v>
      </c>
    </row>
    <row r="4" spans="1:2" x14ac:dyDescent="0.25">
      <c r="A4" s="23" t="s">
        <v>9</v>
      </c>
      <c r="B4" s="23">
        <v>1.5</v>
      </c>
    </row>
    <row r="5" spans="1:2" x14ac:dyDescent="0.25">
      <c r="A5" s="23" t="s">
        <v>8</v>
      </c>
      <c r="B5" s="23">
        <v>1.5</v>
      </c>
    </row>
    <row r="6" spans="1:2" x14ac:dyDescent="0.25">
      <c r="A6" s="23" t="s">
        <v>3</v>
      </c>
      <c r="B6" s="23">
        <v>2</v>
      </c>
    </row>
    <row r="7" spans="1:2" x14ac:dyDescent="0.25">
      <c r="A7" s="23" t="s">
        <v>39</v>
      </c>
      <c r="B7" s="23">
        <v>3</v>
      </c>
    </row>
    <row r="8" spans="1:2" x14ac:dyDescent="0.25">
      <c r="A8" s="23" t="s">
        <v>1</v>
      </c>
      <c r="B8" s="23">
        <v>5</v>
      </c>
    </row>
    <row r="9" spans="1:2" x14ac:dyDescent="0.25">
      <c r="A9" s="23" t="s">
        <v>36</v>
      </c>
      <c r="B9" s="23">
        <v>5</v>
      </c>
    </row>
    <row r="10" spans="1:2" x14ac:dyDescent="0.25">
      <c r="A10" s="23" t="s">
        <v>37</v>
      </c>
      <c r="B10" s="23">
        <v>5</v>
      </c>
    </row>
    <row r="11" spans="1:2" x14ac:dyDescent="0.25">
      <c r="A11" s="23" t="s">
        <v>40</v>
      </c>
      <c r="B11" s="23">
        <v>5</v>
      </c>
    </row>
    <row r="12" spans="1:2" x14ac:dyDescent="0.25">
      <c r="A12" s="23" t="s">
        <v>11</v>
      </c>
      <c r="B12" s="23">
        <v>10</v>
      </c>
    </row>
    <row r="13" spans="1:2" x14ac:dyDescent="0.25">
      <c r="A13" s="23" t="s">
        <v>25</v>
      </c>
      <c r="B13" s="23">
        <v>12</v>
      </c>
    </row>
    <row r="14" spans="1:2" x14ac:dyDescent="0.25">
      <c r="A14" s="23" t="s">
        <v>7</v>
      </c>
      <c r="B14" s="23">
        <v>13</v>
      </c>
    </row>
    <row r="15" spans="1:2" x14ac:dyDescent="0.25">
      <c r="A15" s="23" t="s">
        <v>2</v>
      </c>
      <c r="B15" s="23">
        <v>14.5</v>
      </c>
    </row>
    <row r="16" spans="1:2" x14ac:dyDescent="0.25">
      <c r="A16" s="23" t="s">
        <v>5</v>
      </c>
      <c r="B16" s="23">
        <v>17</v>
      </c>
    </row>
    <row r="17" spans="1:2" x14ac:dyDescent="0.25">
      <c r="A17" s="23" t="s">
        <v>20</v>
      </c>
      <c r="B17" s="23">
        <v>18</v>
      </c>
    </row>
    <row r="18" spans="1:2" x14ac:dyDescent="0.25">
      <c r="A18" s="23" t="s">
        <v>21</v>
      </c>
      <c r="B18" s="23">
        <v>18</v>
      </c>
    </row>
    <row r="19" spans="1:2" x14ac:dyDescent="0.25">
      <c r="A19" s="24" t="s">
        <v>23</v>
      </c>
      <c r="B19" s="23">
        <v>19.5</v>
      </c>
    </row>
    <row r="20" spans="1:2" x14ac:dyDescent="0.25">
      <c r="A20" s="24" t="s">
        <v>24</v>
      </c>
      <c r="B20" s="23">
        <v>19.5</v>
      </c>
    </row>
    <row r="21" spans="1:2" x14ac:dyDescent="0.25">
      <c r="A21" s="24" t="s">
        <v>34</v>
      </c>
      <c r="B21" s="23">
        <v>20</v>
      </c>
    </row>
    <row r="22" spans="1:2" x14ac:dyDescent="0.25">
      <c r="A22" s="24" t="s">
        <v>13</v>
      </c>
      <c r="B22" s="23">
        <v>21</v>
      </c>
    </row>
    <row r="23" spans="1:2" x14ac:dyDescent="0.25">
      <c r="A23" s="24" t="s">
        <v>27</v>
      </c>
      <c r="B23" s="23">
        <v>24</v>
      </c>
    </row>
    <row r="24" spans="1:2" x14ac:dyDescent="0.25">
      <c r="A24" s="24" t="s">
        <v>17</v>
      </c>
      <c r="B24" s="23">
        <v>30</v>
      </c>
    </row>
    <row r="25" spans="1:2" x14ac:dyDescent="0.25">
      <c r="A25" s="24" t="s">
        <v>16</v>
      </c>
      <c r="B25" s="23">
        <v>35</v>
      </c>
    </row>
    <row r="26" spans="1:2" x14ac:dyDescent="0.25">
      <c r="A26" s="23" t="s">
        <v>12</v>
      </c>
      <c r="B26" s="23">
        <v>40</v>
      </c>
    </row>
    <row r="27" spans="1:2" x14ac:dyDescent="0.25">
      <c r="A27" s="22" t="s">
        <v>256</v>
      </c>
      <c r="B27" s="24">
        <v>40</v>
      </c>
    </row>
    <row r="28" spans="1:2" x14ac:dyDescent="0.25">
      <c r="A28" s="23" t="s">
        <v>26</v>
      </c>
      <c r="B28" s="23">
        <v>42</v>
      </c>
    </row>
    <row r="29" spans="1:2" x14ac:dyDescent="0.25">
      <c r="A29" s="23" t="s">
        <v>19</v>
      </c>
      <c r="B29" s="23">
        <v>42</v>
      </c>
    </row>
    <row r="30" spans="1:2" x14ac:dyDescent="0.25">
      <c r="A30" s="23" t="s">
        <v>14</v>
      </c>
      <c r="B30" s="23">
        <v>50</v>
      </c>
    </row>
    <row r="31" spans="1:2" x14ac:dyDescent="0.25">
      <c r="A31" s="23" t="s">
        <v>35</v>
      </c>
      <c r="B31" s="23">
        <v>51</v>
      </c>
    </row>
    <row r="32" spans="1:2" x14ac:dyDescent="0.25">
      <c r="A32" s="23" t="s">
        <v>33</v>
      </c>
      <c r="B32" s="23">
        <v>54</v>
      </c>
    </row>
    <row r="33" spans="1:2" x14ac:dyDescent="0.25">
      <c r="A33" s="23" t="s">
        <v>30</v>
      </c>
      <c r="B33" s="23">
        <v>60</v>
      </c>
    </row>
    <row r="34" spans="1:2" x14ac:dyDescent="0.25">
      <c r="A34" s="23" t="s">
        <v>29</v>
      </c>
      <c r="B34" s="23">
        <v>60</v>
      </c>
    </row>
    <row r="35" spans="1:2" x14ac:dyDescent="0.25">
      <c r="A35" s="23" t="s">
        <v>15</v>
      </c>
      <c r="B35" s="23">
        <v>65</v>
      </c>
    </row>
    <row r="36" spans="1:2" x14ac:dyDescent="0.25">
      <c r="A36" s="23" t="s">
        <v>18</v>
      </c>
      <c r="B36" s="23">
        <v>66</v>
      </c>
    </row>
    <row r="37" spans="1:2" x14ac:dyDescent="0.25">
      <c r="A37" s="23" t="s">
        <v>6</v>
      </c>
      <c r="B37" s="23">
        <v>77</v>
      </c>
    </row>
    <row r="38" spans="1:2" x14ac:dyDescent="0.25">
      <c r="A38" s="23" t="s">
        <v>10</v>
      </c>
      <c r="B38" s="23">
        <v>112</v>
      </c>
    </row>
    <row r="39" spans="1:2" x14ac:dyDescent="0.25">
      <c r="A39" s="23"/>
      <c r="B39" s="23"/>
    </row>
    <row r="40" spans="1:2" x14ac:dyDescent="0.25">
      <c r="A40" s="23"/>
      <c r="B40" s="23"/>
    </row>
    <row r="41" spans="1:2" x14ac:dyDescent="0.25">
      <c r="A41" s="23"/>
      <c r="B41" s="23"/>
    </row>
    <row r="42" spans="1:2" x14ac:dyDescent="0.25">
      <c r="A42" s="23"/>
      <c r="B42" s="23"/>
    </row>
    <row r="43" spans="1:2" x14ac:dyDescent="0.25">
      <c r="A43" s="23"/>
      <c r="B43" s="23"/>
    </row>
    <row r="44" spans="1:2" x14ac:dyDescent="0.25">
      <c r="A44" s="23"/>
      <c r="B44" s="23"/>
    </row>
    <row r="45" spans="1:2" x14ac:dyDescent="0.25">
      <c r="A45" s="23"/>
      <c r="B45" s="23"/>
    </row>
    <row r="46" spans="1:2" x14ac:dyDescent="0.25">
      <c r="A46" s="23"/>
      <c r="B46" s="23"/>
    </row>
    <row r="47" spans="1:2" x14ac:dyDescent="0.25">
      <c r="A47" s="23"/>
      <c r="B47" s="23"/>
    </row>
    <row r="48" spans="1:2" x14ac:dyDescent="0.25">
      <c r="A48" s="23"/>
      <c r="B48" s="23"/>
    </row>
    <row r="49" spans="1:2" x14ac:dyDescent="0.25">
      <c r="A49" s="23"/>
      <c r="B49" s="23"/>
    </row>
    <row r="50" spans="1:2" x14ac:dyDescent="0.25">
      <c r="A50" s="23"/>
      <c r="B50" s="23"/>
    </row>
    <row r="51" spans="1:2" x14ac:dyDescent="0.25">
      <c r="A51" s="23"/>
      <c r="B51" s="23"/>
    </row>
    <row r="52" spans="1:2" x14ac:dyDescent="0.25">
      <c r="A52" s="23"/>
      <c r="B52" s="23"/>
    </row>
    <row r="53" spans="1:2" x14ac:dyDescent="0.25">
      <c r="A53" s="23"/>
      <c r="B53" s="23"/>
    </row>
    <row r="54" spans="1:2" x14ac:dyDescent="0.25">
      <c r="A54" s="23"/>
      <c r="B54" s="23"/>
    </row>
    <row r="55" spans="1:2" x14ac:dyDescent="0.25">
      <c r="A55" s="23"/>
      <c r="B55" s="23"/>
    </row>
    <row r="56" spans="1:2" x14ac:dyDescent="0.25">
      <c r="A56" s="23"/>
      <c r="B56" s="23"/>
    </row>
    <row r="57" spans="1:2" x14ac:dyDescent="0.25">
      <c r="A57" s="23"/>
      <c r="B57" s="23"/>
    </row>
    <row r="58" spans="1:2" x14ac:dyDescent="0.25">
      <c r="A58" s="23"/>
      <c r="B58" s="23"/>
    </row>
    <row r="59" spans="1:2" x14ac:dyDescent="0.25">
      <c r="A59" s="23"/>
      <c r="B59" s="23"/>
    </row>
    <row r="60" spans="1:2" x14ac:dyDescent="0.25">
      <c r="A60" s="23"/>
      <c r="B60" s="23"/>
    </row>
    <row r="61" spans="1:2" x14ac:dyDescent="0.25">
      <c r="A61" s="23"/>
      <c r="B61" s="23"/>
    </row>
    <row r="62" spans="1:2" x14ac:dyDescent="0.25">
      <c r="A62" s="23"/>
      <c r="B62" s="23"/>
    </row>
    <row r="63" spans="1:2" x14ac:dyDescent="0.25">
      <c r="A63" s="23"/>
      <c r="B63" s="23"/>
    </row>
    <row r="64" spans="1:2" x14ac:dyDescent="0.25">
      <c r="A64" s="23"/>
      <c r="B64" s="23"/>
    </row>
    <row r="65" spans="1:2" x14ac:dyDescent="0.25">
      <c r="A65" s="23"/>
      <c r="B65" s="23"/>
    </row>
    <row r="66" spans="1:2" x14ac:dyDescent="0.25">
      <c r="A66" s="23"/>
      <c r="B66" s="23"/>
    </row>
    <row r="67" spans="1:2" x14ac:dyDescent="0.25">
      <c r="A67" s="23"/>
      <c r="B67" s="23"/>
    </row>
    <row r="68" spans="1:2" x14ac:dyDescent="0.25">
      <c r="A68" s="23"/>
      <c r="B68" s="23"/>
    </row>
    <row r="69" spans="1:2" x14ac:dyDescent="0.25">
      <c r="A69" s="23"/>
      <c r="B69" s="23"/>
    </row>
    <row r="70" spans="1:2" x14ac:dyDescent="0.25">
      <c r="A70" s="23"/>
      <c r="B70" s="23"/>
    </row>
    <row r="71" spans="1:2" x14ac:dyDescent="0.25">
      <c r="A71" s="23"/>
      <c r="B71" s="23"/>
    </row>
    <row r="72" spans="1:2" x14ac:dyDescent="0.25">
      <c r="A72" s="23"/>
      <c r="B72" s="23"/>
    </row>
    <row r="73" spans="1:2" x14ac:dyDescent="0.25">
      <c r="A73" s="23"/>
      <c r="B73" s="23"/>
    </row>
    <row r="74" spans="1:2" x14ac:dyDescent="0.25">
      <c r="A74" s="23"/>
      <c r="B74" s="23"/>
    </row>
    <row r="75" spans="1:2" x14ac:dyDescent="0.25">
      <c r="A75" s="23"/>
      <c r="B75" s="23"/>
    </row>
    <row r="76" spans="1:2" x14ac:dyDescent="0.25">
      <c r="A76" s="23"/>
      <c r="B76" s="23"/>
    </row>
    <row r="77" spans="1:2" x14ac:dyDescent="0.25">
      <c r="A77" s="23"/>
      <c r="B77" s="23"/>
    </row>
    <row r="78" spans="1:2" x14ac:dyDescent="0.25">
      <c r="A78" s="23"/>
      <c r="B78" s="23"/>
    </row>
    <row r="79" spans="1:2" x14ac:dyDescent="0.25">
      <c r="A79" s="23"/>
      <c r="B79" s="23"/>
    </row>
    <row r="80" spans="1:2" x14ac:dyDescent="0.25">
      <c r="A80" s="23"/>
      <c r="B80" s="23"/>
    </row>
    <row r="81" spans="1:2" x14ac:dyDescent="0.25">
      <c r="A81" s="23"/>
      <c r="B81" s="23"/>
    </row>
    <row r="82" spans="1:2" x14ac:dyDescent="0.25">
      <c r="A82" s="23"/>
      <c r="B82" s="23"/>
    </row>
    <row r="83" spans="1:2" x14ac:dyDescent="0.25">
      <c r="A83" s="23"/>
      <c r="B83" s="23"/>
    </row>
    <row r="84" spans="1:2" x14ac:dyDescent="0.25">
      <c r="A84" s="23"/>
      <c r="B84" s="23"/>
    </row>
    <row r="85" spans="1:2" x14ac:dyDescent="0.25">
      <c r="A85" s="23"/>
      <c r="B85" s="23"/>
    </row>
    <row r="86" spans="1:2" x14ac:dyDescent="0.25">
      <c r="A86" s="23"/>
      <c r="B86" s="23"/>
    </row>
    <row r="87" spans="1:2" x14ac:dyDescent="0.25">
      <c r="A87" s="23"/>
      <c r="B87" s="23"/>
    </row>
    <row r="88" spans="1:2" x14ac:dyDescent="0.25">
      <c r="A88" s="23"/>
      <c r="B88" s="23"/>
    </row>
    <row r="89" spans="1:2" x14ac:dyDescent="0.25">
      <c r="A89" s="23"/>
      <c r="B89" s="23"/>
    </row>
    <row r="90" spans="1:2" x14ac:dyDescent="0.25">
      <c r="A90" s="23"/>
      <c r="B90" s="23"/>
    </row>
    <row r="91" spans="1:2" x14ac:dyDescent="0.25">
      <c r="A91" s="23"/>
      <c r="B91" s="23"/>
    </row>
    <row r="92" spans="1:2" x14ac:dyDescent="0.25">
      <c r="A92" s="23"/>
      <c r="B92" s="23"/>
    </row>
    <row r="93" spans="1:2" x14ac:dyDescent="0.25">
      <c r="A93" s="23"/>
      <c r="B93" s="23"/>
    </row>
    <row r="94" spans="1:2" x14ac:dyDescent="0.25">
      <c r="A94" s="23"/>
      <c r="B94" s="23"/>
    </row>
    <row r="95" spans="1:2" x14ac:dyDescent="0.25">
      <c r="A95" s="23"/>
      <c r="B95" s="23"/>
    </row>
    <row r="96" spans="1:2" x14ac:dyDescent="0.25">
      <c r="A96" s="23"/>
      <c r="B96" s="23"/>
    </row>
    <row r="97" spans="1:2" x14ac:dyDescent="0.25">
      <c r="A97" s="23"/>
      <c r="B97" s="23"/>
    </row>
    <row r="98" spans="1:2" x14ac:dyDescent="0.25">
      <c r="A98" s="23"/>
      <c r="B98" s="23"/>
    </row>
    <row r="99" spans="1:2" x14ac:dyDescent="0.25">
      <c r="A99" s="23"/>
      <c r="B99" s="23"/>
    </row>
    <row r="100" spans="1:2" x14ac:dyDescent="0.25">
      <c r="A100" s="23"/>
      <c r="B100" s="23"/>
    </row>
    <row r="101" spans="1:2" x14ac:dyDescent="0.25">
      <c r="A101" s="23"/>
      <c r="B101" s="23"/>
    </row>
    <row r="102" spans="1:2" x14ac:dyDescent="0.25">
      <c r="A102" s="23"/>
      <c r="B102" s="23"/>
    </row>
    <row r="103" spans="1:2" x14ac:dyDescent="0.25">
      <c r="A103" s="23"/>
      <c r="B103" s="23"/>
    </row>
    <row r="104" spans="1:2" x14ac:dyDescent="0.25">
      <c r="A104" s="23"/>
      <c r="B104" s="23"/>
    </row>
    <row r="105" spans="1:2" x14ac:dyDescent="0.25">
      <c r="A105" s="23"/>
      <c r="B105" s="23"/>
    </row>
    <row r="106" spans="1:2" x14ac:dyDescent="0.25">
      <c r="A106" s="23"/>
      <c r="B106" s="23"/>
    </row>
    <row r="107" spans="1:2" x14ac:dyDescent="0.25">
      <c r="A107" s="23"/>
      <c r="B107" s="23"/>
    </row>
    <row r="108" spans="1:2" x14ac:dyDescent="0.25">
      <c r="A108" s="23"/>
      <c r="B108" s="23"/>
    </row>
    <row r="109" spans="1:2" x14ac:dyDescent="0.25">
      <c r="A109" s="23"/>
      <c r="B109" s="23"/>
    </row>
    <row r="110" spans="1:2" x14ac:dyDescent="0.25">
      <c r="A110" s="23"/>
      <c r="B110" s="23"/>
    </row>
    <row r="111" spans="1:2" x14ac:dyDescent="0.25">
      <c r="A111" s="23"/>
      <c r="B111" s="23"/>
    </row>
    <row r="112" spans="1:2" x14ac:dyDescent="0.25">
      <c r="A112" s="23"/>
      <c r="B112" s="23"/>
    </row>
    <row r="113" spans="1:2" x14ac:dyDescent="0.25">
      <c r="A113" s="23"/>
      <c r="B113" s="23"/>
    </row>
    <row r="114" spans="1:2" x14ac:dyDescent="0.25">
      <c r="A114" s="23"/>
      <c r="B114" s="23"/>
    </row>
    <row r="115" spans="1:2" x14ac:dyDescent="0.25">
      <c r="A115" s="23"/>
      <c r="B115" s="23"/>
    </row>
    <row r="116" spans="1:2" x14ac:dyDescent="0.25">
      <c r="A116" s="23"/>
      <c r="B116" s="23"/>
    </row>
    <row r="117" spans="1:2" x14ac:dyDescent="0.25">
      <c r="A117" s="23"/>
      <c r="B117" s="23"/>
    </row>
    <row r="118" spans="1:2" x14ac:dyDescent="0.25">
      <c r="A118" s="23"/>
      <c r="B118" s="23"/>
    </row>
    <row r="119" spans="1:2" x14ac:dyDescent="0.25">
      <c r="A119" s="23"/>
      <c r="B119" s="23"/>
    </row>
    <row r="120" spans="1:2" x14ac:dyDescent="0.25">
      <c r="A120" s="23"/>
      <c r="B120" s="23"/>
    </row>
    <row r="121" spans="1:2" x14ac:dyDescent="0.25">
      <c r="A121" s="23"/>
      <c r="B121" s="23"/>
    </row>
    <row r="122" spans="1:2" x14ac:dyDescent="0.25">
      <c r="A122" s="23"/>
      <c r="B122" s="23"/>
    </row>
    <row r="123" spans="1:2" x14ac:dyDescent="0.25">
      <c r="A123" s="23"/>
      <c r="B123" s="23"/>
    </row>
    <row r="124" spans="1:2" x14ac:dyDescent="0.25">
      <c r="A124" s="23"/>
      <c r="B124" s="23"/>
    </row>
    <row r="125" spans="1:2" x14ac:dyDescent="0.25">
      <c r="A125" s="23"/>
      <c r="B125" s="23"/>
    </row>
    <row r="126" spans="1:2" x14ac:dyDescent="0.25">
      <c r="A126" s="23"/>
      <c r="B126" s="23"/>
    </row>
    <row r="127" spans="1:2" x14ac:dyDescent="0.25">
      <c r="A127" s="23"/>
      <c r="B127" s="23"/>
    </row>
    <row r="128" spans="1:2" x14ac:dyDescent="0.25">
      <c r="A128" s="23"/>
      <c r="B128" s="23"/>
    </row>
    <row r="129" spans="1:2" x14ac:dyDescent="0.25">
      <c r="A129" s="23"/>
      <c r="B129" s="23"/>
    </row>
    <row r="130" spans="1:2" x14ac:dyDescent="0.25">
      <c r="A130" s="23"/>
      <c r="B130" s="23"/>
    </row>
    <row r="131" spans="1:2" x14ac:dyDescent="0.25">
      <c r="A131" s="23"/>
      <c r="B131" s="23"/>
    </row>
    <row r="132" spans="1:2" x14ac:dyDescent="0.25">
      <c r="A132" s="23"/>
      <c r="B132" s="23"/>
    </row>
    <row r="133" spans="1:2" x14ac:dyDescent="0.25">
      <c r="A133" s="23"/>
      <c r="B133" s="23"/>
    </row>
    <row r="134" spans="1:2" x14ac:dyDescent="0.25">
      <c r="A134" s="23"/>
      <c r="B134" s="23"/>
    </row>
    <row r="135" spans="1:2" x14ac:dyDescent="0.25">
      <c r="A135" s="23"/>
      <c r="B135" s="23"/>
    </row>
    <row r="136" spans="1:2" x14ac:dyDescent="0.25">
      <c r="A136" s="23"/>
      <c r="B136" s="23"/>
    </row>
    <row r="137" spans="1:2" x14ac:dyDescent="0.25">
      <c r="A137" s="23"/>
      <c r="B137" s="23"/>
    </row>
    <row r="138" spans="1:2" x14ac:dyDescent="0.25">
      <c r="A138" s="23"/>
      <c r="B138" s="23"/>
    </row>
    <row r="139" spans="1:2" x14ac:dyDescent="0.25">
      <c r="A139" s="23"/>
      <c r="B139" s="23"/>
    </row>
    <row r="140" spans="1:2" x14ac:dyDescent="0.25">
      <c r="A140" s="23"/>
      <c r="B140" s="23"/>
    </row>
    <row r="141" spans="1:2" x14ac:dyDescent="0.25">
      <c r="A141" s="23"/>
      <c r="B141" s="23"/>
    </row>
    <row r="142" spans="1:2" x14ac:dyDescent="0.25">
      <c r="A142" s="23"/>
      <c r="B142" s="23"/>
    </row>
    <row r="143" spans="1:2" x14ac:dyDescent="0.25">
      <c r="A143" s="23"/>
      <c r="B143" s="23"/>
    </row>
    <row r="144" spans="1:2" x14ac:dyDescent="0.25">
      <c r="A144" s="23"/>
      <c r="B144" s="23"/>
    </row>
    <row r="145" spans="1:2" x14ac:dyDescent="0.25">
      <c r="A145" s="23"/>
      <c r="B145" s="23"/>
    </row>
    <row r="146" spans="1:2" x14ac:dyDescent="0.25">
      <c r="A146" s="23"/>
      <c r="B146" s="23"/>
    </row>
    <row r="147" spans="1:2" x14ac:dyDescent="0.25">
      <c r="A147" s="23"/>
      <c r="B147" s="23"/>
    </row>
    <row r="148" spans="1:2" x14ac:dyDescent="0.25">
      <c r="A148" s="23"/>
      <c r="B148" s="23"/>
    </row>
    <row r="149" spans="1:2" x14ac:dyDescent="0.25">
      <c r="A149" s="23"/>
      <c r="B149" s="23"/>
    </row>
    <row r="150" spans="1:2" x14ac:dyDescent="0.25">
      <c r="A150" s="23"/>
      <c r="B150" s="23"/>
    </row>
    <row r="151" spans="1:2" x14ac:dyDescent="0.25">
      <c r="A151" s="23"/>
      <c r="B151" s="23"/>
    </row>
    <row r="152" spans="1:2" x14ac:dyDescent="0.25">
      <c r="A152" s="23"/>
      <c r="B152" s="23"/>
    </row>
    <row r="153" spans="1:2" x14ac:dyDescent="0.25">
      <c r="A153" s="23"/>
      <c r="B153" s="23"/>
    </row>
    <row r="154" spans="1:2" x14ac:dyDescent="0.25">
      <c r="A154" s="23"/>
      <c r="B154" s="23"/>
    </row>
    <row r="155" spans="1:2" x14ac:dyDescent="0.25">
      <c r="A155" s="23"/>
      <c r="B155" s="23"/>
    </row>
    <row r="156" spans="1:2" x14ac:dyDescent="0.25">
      <c r="A156" s="23"/>
      <c r="B156" s="23"/>
    </row>
    <row r="157" spans="1:2" x14ac:dyDescent="0.25">
      <c r="A157" s="23"/>
      <c r="B157" s="23"/>
    </row>
    <row r="158" spans="1:2" x14ac:dyDescent="0.25">
      <c r="A158" s="23"/>
      <c r="B158" s="23"/>
    </row>
    <row r="159" spans="1:2" x14ac:dyDescent="0.25">
      <c r="A159" s="23"/>
      <c r="B159" s="23"/>
    </row>
    <row r="160" spans="1:2" x14ac:dyDescent="0.25">
      <c r="A160" s="23"/>
      <c r="B160" s="23"/>
    </row>
    <row r="161" spans="1:2" x14ac:dyDescent="0.25">
      <c r="A161" s="23"/>
      <c r="B161" s="23"/>
    </row>
    <row r="162" spans="1:2" x14ac:dyDescent="0.25">
      <c r="A162" s="23"/>
      <c r="B162" s="23"/>
    </row>
    <row r="163" spans="1:2" x14ac:dyDescent="0.25">
      <c r="A163" s="23"/>
      <c r="B163" s="23"/>
    </row>
    <row r="164" spans="1:2" x14ac:dyDescent="0.25">
      <c r="A164" s="23"/>
      <c r="B164" s="23"/>
    </row>
    <row r="165" spans="1:2" x14ac:dyDescent="0.25">
      <c r="A165" s="23"/>
      <c r="B165" s="23"/>
    </row>
    <row r="166" spans="1:2" x14ac:dyDescent="0.25">
      <c r="A166" s="23"/>
      <c r="B166" s="23"/>
    </row>
    <row r="167" spans="1:2" x14ac:dyDescent="0.25">
      <c r="A167" s="23"/>
      <c r="B167" s="23"/>
    </row>
    <row r="168" spans="1:2" x14ac:dyDescent="0.25">
      <c r="A168" s="23"/>
      <c r="B168" s="23"/>
    </row>
    <row r="169" spans="1:2" x14ac:dyDescent="0.25">
      <c r="A169" s="23"/>
      <c r="B169" s="23"/>
    </row>
    <row r="170" spans="1:2" x14ac:dyDescent="0.25">
      <c r="A170" s="23"/>
      <c r="B170" s="23"/>
    </row>
    <row r="171" spans="1:2" x14ac:dyDescent="0.25">
      <c r="A171" s="23"/>
      <c r="B171" s="23"/>
    </row>
    <row r="172" spans="1:2" x14ac:dyDescent="0.25">
      <c r="A172" s="23"/>
      <c r="B172" s="23"/>
    </row>
    <row r="173" spans="1:2" x14ac:dyDescent="0.25">
      <c r="A173" s="23"/>
      <c r="B173" s="23"/>
    </row>
    <row r="174" spans="1:2" x14ac:dyDescent="0.25">
      <c r="A174" s="23"/>
      <c r="B174" s="23"/>
    </row>
    <row r="175" spans="1:2" x14ac:dyDescent="0.25">
      <c r="A175" s="23"/>
      <c r="B175" s="23"/>
    </row>
    <row r="176" spans="1:2" x14ac:dyDescent="0.25">
      <c r="A176" s="23"/>
      <c r="B176" s="23"/>
    </row>
    <row r="177" spans="1:2" x14ac:dyDescent="0.25">
      <c r="A177" s="23"/>
      <c r="B177" s="23"/>
    </row>
    <row r="178" spans="1:2" x14ac:dyDescent="0.25">
      <c r="A178" s="23"/>
      <c r="B178" s="23"/>
    </row>
    <row r="179" spans="1:2" x14ac:dyDescent="0.25">
      <c r="A179" s="23"/>
      <c r="B179" s="23"/>
    </row>
    <row r="180" spans="1:2" x14ac:dyDescent="0.25">
      <c r="A180" s="23"/>
      <c r="B180" s="23"/>
    </row>
    <row r="181" spans="1:2" x14ac:dyDescent="0.25">
      <c r="A181" s="23"/>
      <c r="B181" s="23"/>
    </row>
    <row r="182" spans="1:2" x14ac:dyDescent="0.25">
      <c r="A182" s="23"/>
      <c r="B182" s="23"/>
    </row>
    <row r="183" spans="1:2" x14ac:dyDescent="0.25">
      <c r="A183" s="23"/>
      <c r="B183" s="23"/>
    </row>
    <row r="184" spans="1:2" x14ac:dyDescent="0.25">
      <c r="A184" s="23"/>
      <c r="B184" s="23"/>
    </row>
    <row r="185" spans="1:2" x14ac:dyDescent="0.25">
      <c r="A185" s="23"/>
      <c r="B185" s="23"/>
    </row>
    <row r="186" spans="1:2" x14ac:dyDescent="0.25">
      <c r="A186" s="23"/>
      <c r="B186" s="23"/>
    </row>
    <row r="187" spans="1:2" x14ac:dyDescent="0.25">
      <c r="A187" s="23"/>
      <c r="B187" s="23"/>
    </row>
    <row r="188" spans="1:2" x14ac:dyDescent="0.25">
      <c r="A188" s="23"/>
      <c r="B188" s="23"/>
    </row>
    <row r="189" spans="1:2" x14ac:dyDescent="0.25">
      <c r="A189" s="23"/>
      <c r="B189" s="23"/>
    </row>
    <row r="190" spans="1:2" x14ac:dyDescent="0.25">
      <c r="A190" s="23"/>
      <c r="B190" s="23"/>
    </row>
    <row r="191" spans="1:2" x14ac:dyDescent="0.25">
      <c r="A191" s="23"/>
      <c r="B191" s="23"/>
    </row>
    <row r="192" spans="1:2" x14ac:dyDescent="0.25">
      <c r="A192" s="23"/>
      <c r="B192" s="23"/>
    </row>
    <row r="193" spans="1:2" x14ac:dyDescent="0.25">
      <c r="A193" s="23"/>
      <c r="B193" s="23"/>
    </row>
    <row r="194" spans="1:2" x14ac:dyDescent="0.25">
      <c r="A194" s="23"/>
      <c r="B194" s="23"/>
    </row>
    <row r="195" spans="1:2" x14ac:dyDescent="0.25">
      <c r="A195" s="23"/>
      <c r="B195" s="23"/>
    </row>
    <row r="196" spans="1:2" x14ac:dyDescent="0.25">
      <c r="A196" s="23"/>
      <c r="B196" s="23"/>
    </row>
    <row r="197" spans="1:2" x14ac:dyDescent="0.25">
      <c r="A197" s="23"/>
      <c r="B197" s="23"/>
    </row>
    <row r="198" spans="1:2" x14ac:dyDescent="0.25">
      <c r="A198" s="23"/>
      <c r="B198" s="23"/>
    </row>
    <row r="199" spans="1:2" x14ac:dyDescent="0.25">
      <c r="A199" s="23"/>
      <c r="B199" s="23"/>
    </row>
    <row r="200" spans="1:2" x14ac:dyDescent="0.25">
      <c r="A200" s="23"/>
      <c r="B200" s="23"/>
    </row>
    <row r="201" spans="1:2" x14ac:dyDescent="0.25">
      <c r="A201" s="23"/>
      <c r="B201" s="23"/>
    </row>
    <row r="202" spans="1:2" x14ac:dyDescent="0.25">
      <c r="A202" s="23"/>
      <c r="B202" s="23"/>
    </row>
    <row r="203" spans="1:2" x14ac:dyDescent="0.25">
      <c r="A203" s="23"/>
      <c r="B203" s="23"/>
    </row>
    <row r="204" spans="1:2" x14ac:dyDescent="0.25">
      <c r="A204" s="23"/>
      <c r="B204" s="23"/>
    </row>
    <row r="205" spans="1:2" x14ac:dyDescent="0.25">
      <c r="A205" s="23"/>
      <c r="B205" s="23"/>
    </row>
    <row r="206" spans="1:2" x14ac:dyDescent="0.25">
      <c r="A206" s="23"/>
      <c r="B206" s="23"/>
    </row>
    <row r="207" spans="1:2" x14ac:dyDescent="0.25">
      <c r="A207" s="23"/>
      <c r="B207" s="23"/>
    </row>
    <row r="208" spans="1:2" x14ac:dyDescent="0.25">
      <c r="A208" s="23"/>
      <c r="B208" s="23"/>
    </row>
    <row r="209" spans="1:2" x14ac:dyDescent="0.25">
      <c r="A209" s="23"/>
      <c r="B209" s="23"/>
    </row>
    <row r="210" spans="1:2" x14ac:dyDescent="0.25">
      <c r="A210" s="23"/>
      <c r="B210" s="23"/>
    </row>
    <row r="211" spans="1:2" x14ac:dyDescent="0.25">
      <c r="A211" s="23"/>
      <c r="B211" s="23"/>
    </row>
    <row r="212" spans="1:2" x14ac:dyDescent="0.25">
      <c r="A212" s="23"/>
      <c r="B212" s="23"/>
    </row>
    <row r="213" spans="1:2" x14ac:dyDescent="0.25">
      <c r="A213" s="23"/>
      <c r="B213" s="23"/>
    </row>
    <row r="214" spans="1:2" x14ac:dyDescent="0.25">
      <c r="A214" s="23"/>
      <c r="B214" s="23"/>
    </row>
    <row r="215" spans="1:2" x14ac:dyDescent="0.25">
      <c r="A215" s="23"/>
      <c r="B215" s="23"/>
    </row>
    <row r="216" spans="1:2" x14ac:dyDescent="0.25">
      <c r="A216" s="23"/>
      <c r="B216" s="23"/>
    </row>
    <row r="217" spans="1:2" x14ac:dyDescent="0.25">
      <c r="A217" s="23"/>
      <c r="B217" s="23"/>
    </row>
    <row r="218" spans="1:2" x14ac:dyDescent="0.25">
      <c r="A218" s="23"/>
      <c r="B218" s="23"/>
    </row>
    <row r="219" spans="1:2" x14ac:dyDescent="0.25">
      <c r="A219" s="23"/>
      <c r="B219" s="23"/>
    </row>
    <row r="220" spans="1:2" x14ac:dyDescent="0.25">
      <c r="A220" s="23"/>
      <c r="B220" s="23"/>
    </row>
    <row r="221" spans="1:2" x14ac:dyDescent="0.25">
      <c r="A221" s="23"/>
      <c r="B221" s="23"/>
    </row>
    <row r="222" spans="1:2" x14ac:dyDescent="0.25">
      <c r="A222" s="23"/>
      <c r="B222" s="23"/>
    </row>
    <row r="223" spans="1:2" x14ac:dyDescent="0.25">
      <c r="A223" s="23"/>
      <c r="B223" s="23"/>
    </row>
    <row r="224" spans="1:2" x14ac:dyDescent="0.25">
      <c r="A224" s="23"/>
      <c r="B224" s="23"/>
    </row>
    <row r="225" spans="1:2" x14ac:dyDescent="0.25">
      <c r="A225" s="23"/>
      <c r="B225" s="23"/>
    </row>
    <row r="226" spans="1:2" x14ac:dyDescent="0.25">
      <c r="A226" s="23"/>
      <c r="B226" s="23"/>
    </row>
    <row r="227" spans="1:2" x14ac:dyDescent="0.25">
      <c r="A227" s="23"/>
      <c r="B227" s="23"/>
    </row>
    <row r="228" spans="1:2" x14ac:dyDescent="0.25">
      <c r="A228" s="23"/>
      <c r="B228" s="23"/>
    </row>
    <row r="229" spans="1:2" x14ac:dyDescent="0.25">
      <c r="A229" s="23"/>
      <c r="B229" s="23"/>
    </row>
    <row r="230" spans="1:2" x14ac:dyDescent="0.25">
      <c r="A230" s="23"/>
      <c r="B230" s="23"/>
    </row>
    <row r="231" spans="1:2" x14ac:dyDescent="0.25">
      <c r="A231" s="23"/>
      <c r="B231" s="23"/>
    </row>
    <row r="232" spans="1:2" x14ac:dyDescent="0.25">
      <c r="A232" s="23"/>
      <c r="B232" s="23"/>
    </row>
    <row r="233" spans="1:2" x14ac:dyDescent="0.25">
      <c r="A233" s="23"/>
      <c r="B233" s="23"/>
    </row>
    <row r="234" spans="1:2" x14ac:dyDescent="0.25">
      <c r="A234" s="23"/>
      <c r="B234" s="23"/>
    </row>
    <row r="235" spans="1:2" x14ac:dyDescent="0.25">
      <c r="A235" s="23"/>
      <c r="B235" s="23"/>
    </row>
    <row r="236" spans="1:2" x14ac:dyDescent="0.25">
      <c r="A236" s="23"/>
      <c r="B236" s="23"/>
    </row>
    <row r="237" spans="1:2" x14ac:dyDescent="0.25">
      <c r="A237" s="23"/>
      <c r="B237" s="23"/>
    </row>
    <row r="238" spans="1:2" x14ac:dyDescent="0.25">
      <c r="A238" s="23"/>
      <c r="B238" s="23"/>
    </row>
    <row r="239" spans="1:2" x14ac:dyDescent="0.25">
      <c r="A239" s="23"/>
      <c r="B239" s="23"/>
    </row>
    <row r="240" spans="1:2" x14ac:dyDescent="0.25">
      <c r="A240" s="23"/>
      <c r="B240" s="23"/>
    </row>
    <row r="241" spans="1:2" x14ac:dyDescent="0.25">
      <c r="A241" s="23"/>
      <c r="B241" s="23"/>
    </row>
    <row r="242" spans="1:2" x14ac:dyDescent="0.25">
      <c r="A242" s="23"/>
      <c r="B242" s="23"/>
    </row>
    <row r="243" spans="1:2" x14ac:dyDescent="0.25">
      <c r="A243" s="23"/>
      <c r="B243" s="23"/>
    </row>
    <row r="244" spans="1:2" x14ac:dyDescent="0.25">
      <c r="A244" s="23"/>
      <c r="B244" s="23"/>
    </row>
    <row r="245" spans="1:2" x14ac:dyDescent="0.25">
      <c r="A245" s="23"/>
      <c r="B245" s="23"/>
    </row>
    <row r="246" spans="1:2" x14ac:dyDescent="0.25">
      <c r="A246" s="23"/>
      <c r="B246" s="23"/>
    </row>
    <row r="247" spans="1:2" x14ac:dyDescent="0.25">
      <c r="A247" s="23"/>
      <c r="B247" s="23"/>
    </row>
    <row r="248" spans="1:2" x14ac:dyDescent="0.25">
      <c r="A248" s="23"/>
      <c r="B248" s="23"/>
    </row>
    <row r="249" spans="1:2" x14ac:dyDescent="0.25">
      <c r="A249" s="23"/>
      <c r="B249" s="23"/>
    </row>
    <row r="250" spans="1:2" x14ac:dyDescent="0.25">
      <c r="A250" s="23"/>
      <c r="B250" s="23"/>
    </row>
    <row r="251" spans="1:2" x14ac:dyDescent="0.25">
      <c r="A251" s="23"/>
      <c r="B251" s="23"/>
    </row>
    <row r="252" spans="1:2" x14ac:dyDescent="0.25">
      <c r="A252" s="23"/>
      <c r="B252" s="23"/>
    </row>
    <row r="253" spans="1:2" x14ac:dyDescent="0.25">
      <c r="A253" s="23"/>
      <c r="B253" s="23"/>
    </row>
    <row r="254" spans="1:2" x14ac:dyDescent="0.25">
      <c r="A254" s="23"/>
      <c r="B254" s="23"/>
    </row>
    <row r="255" spans="1:2" x14ac:dyDescent="0.25">
      <c r="A255" s="23"/>
      <c r="B255" s="23"/>
    </row>
    <row r="256" spans="1:2" x14ac:dyDescent="0.25">
      <c r="A256" s="23"/>
      <c r="B256" s="23"/>
    </row>
    <row r="257" spans="1:2" x14ac:dyDescent="0.25">
      <c r="A257" s="23"/>
      <c r="B257" s="23"/>
    </row>
    <row r="258" spans="1:2" x14ac:dyDescent="0.25">
      <c r="A258" s="23"/>
      <c r="B258" s="23"/>
    </row>
    <row r="259" spans="1:2" x14ac:dyDescent="0.25">
      <c r="A259" s="23"/>
      <c r="B259" s="23"/>
    </row>
    <row r="260" spans="1:2" x14ac:dyDescent="0.25">
      <c r="A260" s="23"/>
      <c r="B260" s="23"/>
    </row>
    <row r="261" spans="1:2" x14ac:dyDescent="0.25">
      <c r="A261" s="23"/>
      <c r="B261" s="23"/>
    </row>
    <row r="262" spans="1:2" x14ac:dyDescent="0.25">
      <c r="A262" s="23"/>
      <c r="B262" s="23"/>
    </row>
    <row r="263" spans="1:2" x14ac:dyDescent="0.25">
      <c r="A263" s="23"/>
      <c r="B263" s="23"/>
    </row>
    <row r="264" spans="1:2" x14ac:dyDescent="0.25">
      <c r="A264" s="23"/>
      <c r="B264" s="23"/>
    </row>
    <row r="265" spans="1:2" x14ac:dyDescent="0.25">
      <c r="A265" s="23"/>
      <c r="B265" s="23"/>
    </row>
    <row r="266" spans="1:2" x14ac:dyDescent="0.25">
      <c r="A266" s="23"/>
      <c r="B266" s="23"/>
    </row>
    <row r="267" spans="1:2" x14ac:dyDescent="0.25">
      <c r="A267" s="23"/>
      <c r="B267" s="23"/>
    </row>
    <row r="268" spans="1:2" x14ac:dyDescent="0.25">
      <c r="A268" s="23"/>
      <c r="B268" s="23"/>
    </row>
    <row r="269" spans="1:2" x14ac:dyDescent="0.25">
      <c r="A269" s="23"/>
      <c r="B269" s="23"/>
    </row>
    <row r="270" spans="1:2" x14ac:dyDescent="0.25">
      <c r="A270" s="23"/>
      <c r="B270" s="23"/>
    </row>
    <row r="271" spans="1:2" x14ac:dyDescent="0.25">
      <c r="A271" s="23"/>
      <c r="B271" s="23"/>
    </row>
    <row r="272" spans="1:2" x14ac:dyDescent="0.25">
      <c r="A272" s="23"/>
      <c r="B272" s="23"/>
    </row>
    <row r="273" spans="1:2" x14ac:dyDescent="0.25">
      <c r="A273" s="23"/>
      <c r="B273" s="23"/>
    </row>
    <row r="274" spans="1:2" x14ac:dyDescent="0.25">
      <c r="A274" s="23"/>
      <c r="B274" s="23"/>
    </row>
    <row r="275" spans="1:2" x14ac:dyDescent="0.25">
      <c r="A275" s="23"/>
      <c r="B275" s="23"/>
    </row>
    <row r="276" spans="1:2" x14ac:dyDescent="0.25">
      <c r="A276" s="23"/>
      <c r="B276" s="23"/>
    </row>
    <row r="277" spans="1:2" x14ac:dyDescent="0.25">
      <c r="A277" s="23"/>
      <c r="B277" s="23"/>
    </row>
    <row r="278" spans="1:2" x14ac:dyDescent="0.25">
      <c r="A278" s="23"/>
      <c r="B278" s="23"/>
    </row>
    <row r="279" spans="1:2" x14ac:dyDescent="0.25">
      <c r="A279" s="23"/>
      <c r="B279" s="23"/>
    </row>
    <row r="280" spans="1:2" x14ac:dyDescent="0.25">
      <c r="A280" s="23"/>
      <c r="B280" s="23"/>
    </row>
    <row r="281" spans="1:2" x14ac:dyDescent="0.25">
      <c r="A281" s="23"/>
      <c r="B281" s="23"/>
    </row>
    <row r="282" spans="1:2" x14ac:dyDescent="0.25">
      <c r="A282" s="23"/>
      <c r="B282" s="23"/>
    </row>
    <row r="283" spans="1:2" x14ac:dyDescent="0.25">
      <c r="A283" s="23"/>
      <c r="B283" s="23"/>
    </row>
    <row r="284" spans="1:2" x14ac:dyDescent="0.25">
      <c r="A284" s="23"/>
      <c r="B284" s="23"/>
    </row>
    <row r="285" spans="1:2" x14ac:dyDescent="0.25">
      <c r="A285" s="23"/>
      <c r="B285" s="23"/>
    </row>
    <row r="286" spans="1:2" x14ac:dyDescent="0.25">
      <c r="A286" s="23"/>
      <c r="B286" s="23"/>
    </row>
    <row r="287" spans="1:2" x14ac:dyDescent="0.25">
      <c r="A287" s="23"/>
      <c r="B287" s="23"/>
    </row>
    <row r="288" spans="1:2" x14ac:dyDescent="0.25">
      <c r="A288" s="23"/>
      <c r="B288" s="23"/>
    </row>
    <row r="289" spans="1:2" x14ac:dyDescent="0.25">
      <c r="A289" s="23"/>
      <c r="B289" s="23"/>
    </row>
    <row r="290" spans="1:2" x14ac:dyDescent="0.25">
      <c r="A290" s="23"/>
      <c r="B290" s="23"/>
    </row>
    <row r="291" spans="1:2" x14ac:dyDescent="0.25">
      <c r="A291" s="23"/>
      <c r="B291" s="23"/>
    </row>
    <row r="292" spans="1:2" x14ac:dyDescent="0.25">
      <c r="A292" s="23"/>
      <c r="B292" s="23"/>
    </row>
    <row r="293" spans="1:2" x14ac:dyDescent="0.25">
      <c r="A293" s="23"/>
      <c r="B293" s="23"/>
    </row>
    <row r="294" spans="1:2" x14ac:dyDescent="0.25">
      <c r="A294" s="23"/>
      <c r="B294" s="23"/>
    </row>
    <row r="295" spans="1:2" x14ac:dyDescent="0.25">
      <c r="A295" s="23"/>
      <c r="B295" s="23"/>
    </row>
    <row r="296" spans="1:2" x14ac:dyDescent="0.25">
      <c r="A296" s="23"/>
      <c r="B296" s="23"/>
    </row>
    <row r="297" spans="1:2" x14ac:dyDescent="0.25">
      <c r="A297" s="23"/>
      <c r="B297" s="23"/>
    </row>
    <row r="298" spans="1:2" x14ac:dyDescent="0.25">
      <c r="A298" s="23"/>
      <c r="B298" s="23"/>
    </row>
    <row r="299" spans="1:2" x14ac:dyDescent="0.25">
      <c r="A299" s="23"/>
      <c r="B299" s="23"/>
    </row>
    <row r="300" spans="1:2" x14ac:dyDescent="0.25">
      <c r="A300" s="23"/>
      <c r="B300" s="23"/>
    </row>
    <row r="301" spans="1:2" x14ac:dyDescent="0.25">
      <c r="A301" s="23"/>
      <c r="B301" s="23"/>
    </row>
    <row r="302" spans="1:2" x14ac:dyDescent="0.25">
      <c r="A302" s="23"/>
      <c r="B302" s="23"/>
    </row>
    <row r="303" spans="1:2" x14ac:dyDescent="0.25">
      <c r="A303" s="23"/>
      <c r="B303" s="23"/>
    </row>
    <row r="304" spans="1:2" x14ac:dyDescent="0.25">
      <c r="A304" s="23"/>
      <c r="B304" s="23"/>
    </row>
    <row r="305" spans="1:2" x14ac:dyDescent="0.25">
      <c r="A305" s="23"/>
      <c r="B305" s="23"/>
    </row>
    <row r="306" spans="1:2" x14ac:dyDescent="0.25">
      <c r="A306" s="23"/>
      <c r="B306" s="23"/>
    </row>
    <row r="307" spans="1:2" x14ac:dyDescent="0.25">
      <c r="A307" s="23"/>
      <c r="B307" s="23"/>
    </row>
    <row r="308" spans="1:2" x14ac:dyDescent="0.25">
      <c r="A308" s="23"/>
      <c r="B308" s="23"/>
    </row>
    <row r="309" spans="1:2" x14ac:dyDescent="0.25">
      <c r="A309" s="23"/>
      <c r="B309" s="23"/>
    </row>
    <row r="310" spans="1:2" x14ac:dyDescent="0.25">
      <c r="A310" s="23"/>
      <c r="B310" s="23"/>
    </row>
    <row r="311" spans="1:2" x14ac:dyDescent="0.25">
      <c r="A311" s="23"/>
      <c r="B311" s="23"/>
    </row>
    <row r="312" spans="1:2" x14ac:dyDescent="0.25">
      <c r="A312" s="23"/>
      <c r="B312" s="23"/>
    </row>
    <row r="313" spans="1:2" x14ac:dyDescent="0.25">
      <c r="A313" s="23"/>
      <c r="B313" s="23"/>
    </row>
    <row r="314" spans="1:2" x14ac:dyDescent="0.25">
      <c r="A314" s="23"/>
      <c r="B314" s="23"/>
    </row>
    <row r="315" spans="1:2" x14ac:dyDescent="0.25">
      <c r="A315" s="23"/>
      <c r="B315" s="23"/>
    </row>
    <row r="316" spans="1:2" x14ac:dyDescent="0.25">
      <c r="A316" s="23"/>
      <c r="B316" s="23"/>
    </row>
    <row r="317" spans="1:2" x14ac:dyDescent="0.25">
      <c r="A317" s="23"/>
      <c r="B317" s="23"/>
    </row>
    <row r="318" spans="1:2" x14ac:dyDescent="0.25">
      <c r="A318" s="23"/>
      <c r="B318" s="23"/>
    </row>
    <row r="319" spans="1:2" x14ac:dyDescent="0.25">
      <c r="A319" s="23"/>
      <c r="B319" s="23"/>
    </row>
    <row r="320" spans="1:2" x14ac:dyDescent="0.25">
      <c r="A320" s="23"/>
      <c r="B320" s="23"/>
    </row>
    <row r="321" spans="1:2" x14ac:dyDescent="0.25">
      <c r="A321" s="23"/>
      <c r="B321" s="23"/>
    </row>
    <row r="322" spans="1:2" x14ac:dyDescent="0.25">
      <c r="A322" s="23"/>
      <c r="B322" s="23"/>
    </row>
    <row r="323" spans="1:2" x14ac:dyDescent="0.25">
      <c r="A323" s="23"/>
      <c r="B323" s="23"/>
    </row>
    <row r="324" spans="1:2" x14ac:dyDescent="0.25">
      <c r="A324" s="23"/>
      <c r="B324" s="23"/>
    </row>
    <row r="325" spans="1:2" x14ac:dyDescent="0.25">
      <c r="A325" s="23"/>
      <c r="B325" s="23"/>
    </row>
    <row r="326" spans="1:2" x14ac:dyDescent="0.25">
      <c r="A326" s="23"/>
      <c r="B326" s="23"/>
    </row>
    <row r="327" spans="1:2" x14ac:dyDescent="0.25">
      <c r="A327" s="23"/>
      <c r="B327" s="23"/>
    </row>
    <row r="328" spans="1:2" x14ac:dyDescent="0.25">
      <c r="A328" s="23"/>
      <c r="B328" s="23"/>
    </row>
    <row r="329" spans="1:2" x14ac:dyDescent="0.25">
      <c r="A329" s="23"/>
      <c r="B329" s="23"/>
    </row>
    <row r="330" spans="1:2" x14ac:dyDescent="0.25">
      <c r="A330" s="23"/>
      <c r="B330" s="23"/>
    </row>
    <row r="331" spans="1:2" x14ac:dyDescent="0.25">
      <c r="A331" s="23"/>
      <c r="B331" s="23"/>
    </row>
    <row r="332" spans="1:2" x14ac:dyDescent="0.25">
      <c r="A332" s="23"/>
      <c r="B332" s="23"/>
    </row>
    <row r="333" spans="1:2" x14ac:dyDescent="0.25">
      <c r="A333" s="23"/>
      <c r="B333" s="23"/>
    </row>
    <row r="334" spans="1:2" x14ac:dyDescent="0.25">
      <c r="A334" s="23"/>
      <c r="B334" s="23"/>
    </row>
    <row r="335" spans="1:2" x14ac:dyDescent="0.25">
      <c r="A335" s="23"/>
      <c r="B335" s="23"/>
    </row>
    <row r="336" spans="1:2" x14ac:dyDescent="0.25">
      <c r="A336" s="23"/>
      <c r="B336" s="23"/>
    </row>
    <row r="337" spans="1:2" x14ac:dyDescent="0.25">
      <c r="A337" s="23"/>
      <c r="B337" s="23"/>
    </row>
    <row r="338" spans="1:2" x14ac:dyDescent="0.25">
      <c r="A338" s="23"/>
      <c r="B338" s="23"/>
    </row>
    <row r="339" spans="1:2" x14ac:dyDescent="0.25">
      <c r="A339" s="23"/>
      <c r="B339" s="23"/>
    </row>
    <row r="340" spans="1:2" x14ac:dyDescent="0.25">
      <c r="A340" s="23"/>
      <c r="B340" s="23"/>
    </row>
    <row r="341" spans="1:2" x14ac:dyDescent="0.25">
      <c r="A341" s="23"/>
      <c r="B341" s="23"/>
    </row>
    <row r="342" spans="1:2" x14ac:dyDescent="0.25">
      <c r="A342" s="23"/>
      <c r="B342" s="23"/>
    </row>
    <row r="343" spans="1:2" x14ac:dyDescent="0.25">
      <c r="A343" s="23"/>
      <c r="B343" s="23"/>
    </row>
    <row r="344" spans="1:2" x14ac:dyDescent="0.25">
      <c r="A344" s="23"/>
      <c r="B344" s="23"/>
    </row>
    <row r="345" spans="1:2" x14ac:dyDescent="0.25">
      <c r="A345" s="23"/>
      <c r="B345" s="23"/>
    </row>
    <row r="346" spans="1:2" x14ac:dyDescent="0.25">
      <c r="A346" s="23"/>
      <c r="B346" s="23"/>
    </row>
    <row r="347" spans="1:2" x14ac:dyDescent="0.25">
      <c r="A347" s="23"/>
      <c r="B347" s="23"/>
    </row>
    <row r="348" spans="1:2" x14ac:dyDescent="0.25">
      <c r="A348" s="23"/>
      <c r="B348" s="23"/>
    </row>
    <row r="349" spans="1:2" x14ac:dyDescent="0.25">
      <c r="A349" s="23"/>
      <c r="B349" s="23"/>
    </row>
    <row r="350" spans="1:2" x14ac:dyDescent="0.25">
      <c r="A350" s="23"/>
      <c r="B350" s="23"/>
    </row>
    <row r="351" spans="1:2" x14ac:dyDescent="0.25">
      <c r="A351" s="23"/>
      <c r="B351" s="23"/>
    </row>
    <row r="352" spans="1:2" x14ac:dyDescent="0.25">
      <c r="A352" s="23"/>
      <c r="B352" s="23"/>
    </row>
    <row r="353" spans="1:2" x14ac:dyDescent="0.25">
      <c r="A353" s="23"/>
      <c r="B353" s="23"/>
    </row>
    <row r="354" spans="1:2" x14ac:dyDescent="0.25">
      <c r="A354" s="23"/>
      <c r="B354" s="23"/>
    </row>
    <row r="355" spans="1:2" x14ac:dyDescent="0.25">
      <c r="A355" s="23"/>
      <c r="B355" s="23"/>
    </row>
    <row r="356" spans="1:2" x14ac:dyDescent="0.25">
      <c r="A356" s="23"/>
      <c r="B356" s="23"/>
    </row>
    <row r="357" spans="1:2" x14ac:dyDescent="0.25">
      <c r="A357" s="23"/>
      <c r="B357" s="23"/>
    </row>
    <row r="358" spans="1:2" x14ac:dyDescent="0.25">
      <c r="A358" s="23"/>
      <c r="B358" s="23"/>
    </row>
    <row r="359" spans="1:2" x14ac:dyDescent="0.25">
      <c r="A359" s="23"/>
      <c r="B359" s="23"/>
    </row>
    <row r="360" spans="1:2" x14ac:dyDescent="0.25">
      <c r="A360" s="23"/>
      <c r="B360" s="23"/>
    </row>
    <row r="361" spans="1:2" x14ac:dyDescent="0.25">
      <c r="A361" s="23"/>
      <c r="B361" s="23"/>
    </row>
    <row r="362" spans="1:2" x14ac:dyDescent="0.25">
      <c r="A362" s="23"/>
      <c r="B362" s="23"/>
    </row>
    <row r="363" spans="1:2" x14ac:dyDescent="0.25">
      <c r="A363" s="23"/>
      <c r="B363" s="23"/>
    </row>
    <row r="364" spans="1:2" x14ac:dyDescent="0.25">
      <c r="A364" s="23"/>
      <c r="B364" s="23"/>
    </row>
    <row r="365" spans="1:2" x14ac:dyDescent="0.25">
      <c r="A365" s="23"/>
      <c r="B365" s="23"/>
    </row>
    <row r="366" spans="1:2" x14ac:dyDescent="0.25">
      <c r="A366" s="23"/>
      <c r="B366" s="23"/>
    </row>
    <row r="367" spans="1:2" x14ac:dyDescent="0.25">
      <c r="A367" s="23"/>
      <c r="B367" s="23"/>
    </row>
    <row r="368" spans="1:2" x14ac:dyDescent="0.25">
      <c r="A368" s="23"/>
      <c r="B368" s="23"/>
    </row>
    <row r="369" spans="1:2" x14ac:dyDescent="0.25">
      <c r="A369" s="23"/>
      <c r="B369" s="23"/>
    </row>
    <row r="370" spans="1:2" x14ac:dyDescent="0.25">
      <c r="A370" s="23"/>
      <c r="B370" s="23"/>
    </row>
    <row r="371" spans="1:2" x14ac:dyDescent="0.25">
      <c r="A371" s="23"/>
      <c r="B371" s="23"/>
    </row>
    <row r="372" spans="1:2" x14ac:dyDescent="0.25">
      <c r="A372" s="23"/>
      <c r="B372" s="23"/>
    </row>
    <row r="373" spans="1:2" x14ac:dyDescent="0.25">
      <c r="A373" s="23"/>
      <c r="B373" s="23"/>
    </row>
    <row r="374" spans="1:2" x14ac:dyDescent="0.25">
      <c r="A374" s="23"/>
      <c r="B374" s="23"/>
    </row>
    <row r="375" spans="1:2" x14ac:dyDescent="0.25">
      <c r="A375" s="23"/>
      <c r="B375" s="23"/>
    </row>
    <row r="376" spans="1:2" x14ac:dyDescent="0.25">
      <c r="A376" s="23"/>
      <c r="B376" s="23"/>
    </row>
    <row r="377" spans="1:2" x14ac:dyDescent="0.25">
      <c r="A377" s="23"/>
      <c r="B377" s="23"/>
    </row>
    <row r="378" spans="1:2" x14ac:dyDescent="0.25">
      <c r="A378" s="23"/>
      <c r="B378" s="23"/>
    </row>
    <row r="379" spans="1:2" x14ac:dyDescent="0.25">
      <c r="A379" s="23"/>
      <c r="B379" s="23"/>
    </row>
    <row r="380" spans="1:2" x14ac:dyDescent="0.25">
      <c r="A380" s="23"/>
      <c r="B380" s="23"/>
    </row>
    <row r="381" spans="1:2" x14ac:dyDescent="0.25">
      <c r="A381" s="23"/>
      <c r="B381" s="23"/>
    </row>
    <row r="382" spans="1:2" x14ac:dyDescent="0.25">
      <c r="A382" s="23"/>
      <c r="B382" s="23"/>
    </row>
    <row r="383" spans="1:2" x14ac:dyDescent="0.25">
      <c r="A383" s="23"/>
      <c r="B383" s="23"/>
    </row>
    <row r="384" spans="1:2" x14ac:dyDescent="0.25">
      <c r="A384" s="23"/>
      <c r="B384" s="23"/>
    </row>
    <row r="385" spans="1:2" x14ac:dyDescent="0.25">
      <c r="A385" s="23"/>
      <c r="B385" s="23"/>
    </row>
    <row r="386" spans="1:2" x14ac:dyDescent="0.25">
      <c r="A386" s="23"/>
      <c r="B386" s="23"/>
    </row>
    <row r="387" spans="1:2" x14ac:dyDescent="0.25">
      <c r="A387" s="23"/>
      <c r="B387" s="23"/>
    </row>
    <row r="388" spans="1:2" x14ac:dyDescent="0.25">
      <c r="A388" s="23"/>
      <c r="B388" s="23"/>
    </row>
    <row r="389" spans="1:2" x14ac:dyDescent="0.25">
      <c r="A389" s="23"/>
      <c r="B389" s="23"/>
    </row>
    <row r="390" spans="1:2" x14ac:dyDescent="0.25">
      <c r="A390" s="23"/>
      <c r="B390" s="23"/>
    </row>
    <row r="391" spans="1:2" x14ac:dyDescent="0.25">
      <c r="A391" s="23"/>
      <c r="B391" s="23"/>
    </row>
    <row r="392" spans="1:2" x14ac:dyDescent="0.25">
      <c r="A392" s="23"/>
      <c r="B392" s="23"/>
    </row>
    <row r="393" spans="1:2" x14ac:dyDescent="0.25">
      <c r="A393" s="23"/>
      <c r="B393" s="23"/>
    </row>
    <row r="394" spans="1:2" x14ac:dyDescent="0.25">
      <c r="A394" s="23"/>
      <c r="B394" s="23"/>
    </row>
    <row r="395" spans="1:2" x14ac:dyDescent="0.25">
      <c r="A395" s="23"/>
      <c r="B395" s="23"/>
    </row>
    <row r="396" spans="1:2" x14ac:dyDescent="0.25">
      <c r="A396" s="23"/>
      <c r="B396" s="23"/>
    </row>
    <row r="397" spans="1:2" x14ac:dyDescent="0.25">
      <c r="A397" s="23"/>
      <c r="B397" s="23"/>
    </row>
    <row r="398" spans="1:2" x14ac:dyDescent="0.25">
      <c r="A398" s="23"/>
      <c r="B398" s="23"/>
    </row>
    <row r="399" spans="1:2" x14ac:dyDescent="0.25">
      <c r="A399" s="23"/>
      <c r="B399" s="23"/>
    </row>
    <row r="400" spans="1:2" x14ac:dyDescent="0.25">
      <c r="A400" s="23"/>
      <c r="B400" s="23"/>
    </row>
    <row r="401" spans="1:2" x14ac:dyDescent="0.25">
      <c r="A401" s="23"/>
      <c r="B401" s="23"/>
    </row>
    <row r="402" spans="1:2" x14ac:dyDescent="0.25">
      <c r="A402" s="23"/>
      <c r="B402" s="23"/>
    </row>
    <row r="403" spans="1:2" x14ac:dyDescent="0.25">
      <c r="A403" s="23"/>
      <c r="B403" s="23"/>
    </row>
    <row r="404" spans="1:2" x14ac:dyDescent="0.25">
      <c r="A404" s="23"/>
      <c r="B404" s="23"/>
    </row>
    <row r="405" spans="1:2" x14ac:dyDescent="0.25">
      <c r="A405" s="23"/>
      <c r="B405" s="23"/>
    </row>
    <row r="406" spans="1:2" x14ac:dyDescent="0.25">
      <c r="A406" s="23"/>
      <c r="B406" s="23"/>
    </row>
    <row r="407" spans="1:2" x14ac:dyDescent="0.25">
      <c r="A407" s="23"/>
      <c r="B407" s="23"/>
    </row>
    <row r="408" spans="1:2" x14ac:dyDescent="0.25">
      <c r="A408" s="23"/>
      <c r="B408" s="23"/>
    </row>
    <row r="409" spans="1:2" x14ac:dyDescent="0.25">
      <c r="A409" s="23"/>
      <c r="B409" s="23"/>
    </row>
    <row r="410" spans="1:2" x14ac:dyDescent="0.25">
      <c r="A410" s="23"/>
      <c r="B410" s="23"/>
    </row>
    <row r="411" spans="1:2" x14ac:dyDescent="0.25">
      <c r="A411" s="23"/>
      <c r="B411" s="23"/>
    </row>
    <row r="412" spans="1:2" x14ac:dyDescent="0.25">
      <c r="A412" s="23"/>
      <c r="B412" s="23"/>
    </row>
    <row r="413" spans="1:2" x14ac:dyDescent="0.25">
      <c r="A413" s="23"/>
      <c r="B413" s="23"/>
    </row>
    <row r="414" spans="1:2" x14ac:dyDescent="0.25">
      <c r="A414" s="23"/>
      <c r="B414" s="23"/>
    </row>
    <row r="415" spans="1:2" x14ac:dyDescent="0.25">
      <c r="A415" s="23"/>
      <c r="B415" s="23"/>
    </row>
    <row r="416" spans="1:2" x14ac:dyDescent="0.25">
      <c r="A416" s="23"/>
      <c r="B416" s="23"/>
    </row>
    <row r="417" spans="1:2" x14ac:dyDescent="0.25">
      <c r="A417" s="23"/>
      <c r="B417" s="23"/>
    </row>
    <row r="418" spans="1:2" x14ac:dyDescent="0.25">
      <c r="A418" s="23"/>
      <c r="B418" s="23"/>
    </row>
    <row r="419" spans="1:2" x14ac:dyDescent="0.25">
      <c r="A419" s="23"/>
      <c r="B419" s="23"/>
    </row>
    <row r="420" spans="1:2" x14ac:dyDescent="0.25">
      <c r="A420" s="23"/>
      <c r="B420" s="23"/>
    </row>
    <row r="421" spans="1:2" x14ac:dyDescent="0.25">
      <c r="A421" s="23"/>
      <c r="B421" s="23"/>
    </row>
    <row r="422" spans="1:2" x14ac:dyDescent="0.25">
      <c r="A422" s="23"/>
      <c r="B422" s="23"/>
    </row>
    <row r="423" spans="1:2" x14ac:dyDescent="0.25">
      <c r="A423" s="23"/>
      <c r="B423" s="23"/>
    </row>
    <row r="424" spans="1:2" x14ac:dyDescent="0.25">
      <c r="A424" s="23"/>
      <c r="B424" s="23"/>
    </row>
    <row r="425" spans="1:2" x14ac:dyDescent="0.25">
      <c r="A425" s="23"/>
      <c r="B425" s="23"/>
    </row>
    <row r="426" spans="1:2" x14ac:dyDescent="0.25">
      <c r="A426" s="23"/>
      <c r="B426" s="23"/>
    </row>
    <row r="427" spans="1:2" x14ac:dyDescent="0.25">
      <c r="A427" s="23"/>
      <c r="B427" s="23"/>
    </row>
    <row r="428" spans="1:2" x14ac:dyDescent="0.25">
      <c r="A428" s="23"/>
      <c r="B428" s="23"/>
    </row>
    <row r="429" spans="1:2" x14ac:dyDescent="0.25">
      <c r="A429" s="23"/>
      <c r="B429" s="23"/>
    </row>
    <row r="430" spans="1:2" x14ac:dyDescent="0.25">
      <c r="A430" s="23"/>
      <c r="B430" s="23"/>
    </row>
    <row r="431" spans="1:2" x14ac:dyDescent="0.25">
      <c r="A431" s="23"/>
      <c r="B431" s="23"/>
    </row>
    <row r="432" spans="1:2" x14ac:dyDescent="0.25">
      <c r="A432" s="23"/>
      <c r="B432" s="23"/>
    </row>
    <row r="433" spans="1:2" x14ac:dyDescent="0.25">
      <c r="A433" s="23"/>
      <c r="B433" s="23"/>
    </row>
    <row r="434" spans="1:2" x14ac:dyDescent="0.25">
      <c r="A434" s="23"/>
      <c r="B434" s="23"/>
    </row>
    <row r="435" spans="1:2" x14ac:dyDescent="0.25">
      <c r="A435" s="23"/>
      <c r="B435" s="23"/>
    </row>
    <row r="436" spans="1:2" x14ac:dyDescent="0.25">
      <c r="A436" s="23"/>
      <c r="B436" s="23"/>
    </row>
    <row r="437" spans="1:2" x14ac:dyDescent="0.25">
      <c r="A437" s="23"/>
      <c r="B437" s="23"/>
    </row>
    <row r="438" spans="1:2" x14ac:dyDescent="0.25">
      <c r="A438" s="23"/>
      <c r="B438" s="23"/>
    </row>
    <row r="439" spans="1:2" x14ac:dyDescent="0.25">
      <c r="A439" s="23"/>
      <c r="B439" s="23"/>
    </row>
    <row r="440" spans="1:2" x14ac:dyDescent="0.25">
      <c r="A440" s="23"/>
      <c r="B440" s="23"/>
    </row>
    <row r="441" spans="1:2" x14ac:dyDescent="0.25">
      <c r="A441" s="23"/>
      <c r="B441" s="23"/>
    </row>
    <row r="442" spans="1:2" x14ac:dyDescent="0.25">
      <c r="A442" s="23"/>
      <c r="B442" s="23"/>
    </row>
    <row r="443" spans="1:2" x14ac:dyDescent="0.25">
      <c r="A443" s="23"/>
      <c r="B443" s="23"/>
    </row>
    <row r="444" spans="1:2" x14ac:dyDescent="0.25">
      <c r="A444" s="23"/>
      <c r="B444" s="23"/>
    </row>
    <row r="445" spans="1:2" x14ac:dyDescent="0.25">
      <c r="A445" s="23"/>
      <c r="B445" s="23"/>
    </row>
    <row r="446" spans="1:2" x14ac:dyDescent="0.25">
      <c r="A446" s="23"/>
      <c r="B446" s="23"/>
    </row>
    <row r="447" spans="1:2" x14ac:dyDescent="0.25">
      <c r="A447" s="23"/>
      <c r="B447" s="23"/>
    </row>
    <row r="448" spans="1:2" x14ac:dyDescent="0.25">
      <c r="A448" s="23"/>
      <c r="B448" s="23"/>
    </row>
    <row r="449" spans="1:2" x14ac:dyDescent="0.25">
      <c r="A449" s="23"/>
      <c r="B449" s="23"/>
    </row>
    <row r="450" spans="1:2" x14ac:dyDescent="0.25">
      <c r="A450" s="23"/>
      <c r="B450" s="23"/>
    </row>
    <row r="451" spans="1:2" x14ac:dyDescent="0.25">
      <c r="A451" s="23"/>
      <c r="B451" s="23"/>
    </row>
    <row r="452" spans="1:2" x14ac:dyDescent="0.25">
      <c r="A452" s="23"/>
      <c r="B452" s="23"/>
    </row>
    <row r="453" spans="1:2" x14ac:dyDescent="0.25">
      <c r="A453" s="23"/>
      <c r="B453" s="23"/>
    </row>
    <row r="454" spans="1:2" x14ac:dyDescent="0.25">
      <c r="A454" s="23"/>
      <c r="B454" s="23"/>
    </row>
    <row r="455" spans="1:2" x14ac:dyDescent="0.25">
      <c r="A455" s="23"/>
      <c r="B455" s="23"/>
    </row>
    <row r="456" spans="1:2" x14ac:dyDescent="0.25">
      <c r="A456" s="23"/>
      <c r="B456" s="23"/>
    </row>
    <row r="457" spans="1:2" x14ac:dyDescent="0.25">
      <c r="A457" s="23"/>
      <c r="B457" s="23"/>
    </row>
    <row r="458" spans="1:2" x14ac:dyDescent="0.25">
      <c r="A458" s="23"/>
      <c r="B458" s="23"/>
    </row>
    <row r="459" spans="1:2" x14ac:dyDescent="0.25">
      <c r="A459" s="23"/>
      <c r="B459" s="23"/>
    </row>
    <row r="460" spans="1:2" x14ac:dyDescent="0.25">
      <c r="A460" s="23"/>
      <c r="B460" s="23"/>
    </row>
    <row r="461" spans="1:2" x14ac:dyDescent="0.25">
      <c r="A461" s="23"/>
      <c r="B461" s="23"/>
    </row>
    <row r="462" spans="1:2" x14ac:dyDescent="0.25">
      <c r="A462" s="23"/>
      <c r="B462" s="23"/>
    </row>
    <row r="463" spans="1:2" x14ac:dyDescent="0.25">
      <c r="A463" s="23"/>
      <c r="B463" s="23"/>
    </row>
    <row r="464" spans="1:2" x14ac:dyDescent="0.25">
      <c r="A464" s="23"/>
      <c r="B464" s="23"/>
    </row>
    <row r="465" spans="1:2" x14ac:dyDescent="0.25">
      <c r="A465" s="23"/>
      <c r="B465" s="23"/>
    </row>
    <row r="466" spans="1:2" x14ac:dyDescent="0.25">
      <c r="A466" s="23"/>
      <c r="B466" s="23"/>
    </row>
    <row r="467" spans="1:2" x14ac:dyDescent="0.25">
      <c r="A467" s="23"/>
      <c r="B467" s="23"/>
    </row>
    <row r="468" spans="1:2" x14ac:dyDescent="0.25">
      <c r="A468" s="23"/>
      <c r="B468" s="23"/>
    </row>
    <row r="469" spans="1:2" x14ac:dyDescent="0.25">
      <c r="A469" s="23"/>
      <c r="B469" s="23"/>
    </row>
    <row r="470" spans="1:2" x14ac:dyDescent="0.25">
      <c r="A470" s="23"/>
      <c r="B470" s="23"/>
    </row>
    <row r="471" spans="1:2" x14ac:dyDescent="0.25">
      <c r="A471" s="23"/>
      <c r="B471" s="23"/>
    </row>
    <row r="472" spans="1:2" x14ac:dyDescent="0.25">
      <c r="A472" s="23"/>
      <c r="B472" s="23"/>
    </row>
    <row r="473" spans="1:2" x14ac:dyDescent="0.25">
      <c r="A473" s="23"/>
      <c r="B473" s="23"/>
    </row>
    <row r="474" spans="1:2" x14ac:dyDescent="0.25">
      <c r="A474" s="23"/>
      <c r="B474" s="23"/>
    </row>
    <row r="475" spans="1:2" x14ac:dyDescent="0.25">
      <c r="A475" s="23"/>
      <c r="B475" s="23"/>
    </row>
    <row r="476" spans="1:2" x14ac:dyDescent="0.25">
      <c r="A476" s="23"/>
      <c r="B476" s="23"/>
    </row>
    <row r="477" spans="1:2" x14ac:dyDescent="0.25">
      <c r="A477" s="23"/>
      <c r="B477" s="23"/>
    </row>
    <row r="478" spans="1:2" x14ac:dyDescent="0.25">
      <c r="A478" s="23"/>
      <c r="B478" s="23"/>
    </row>
    <row r="479" spans="1:2" x14ac:dyDescent="0.25">
      <c r="A479" s="23"/>
      <c r="B479" s="23"/>
    </row>
    <row r="480" spans="1:2" x14ac:dyDescent="0.25">
      <c r="A480" s="23"/>
      <c r="B480" s="23"/>
    </row>
    <row r="481" spans="1:2" x14ac:dyDescent="0.25">
      <c r="A481" s="23"/>
      <c r="B481" s="23"/>
    </row>
    <row r="482" spans="1:2" x14ac:dyDescent="0.25">
      <c r="A482" s="23"/>
      <c r="B482" s="23"/>
    </row>
    <row r="483" spans="1:2" x14ac:dyDescent="0.25">
      <c r="A483" s="23"/>
      <c r="B483" s="23"/>
    </row>
    <row r="484" spans="1:2" x14ac:dyDescent="0.25">
      <c r="A484" s="23"/>
      <c r="B484" s="23"/>
    </row>
    <row r="485" spans="1:2" x14ac:dyDescent="0.25">
      <c r="A485" s="23"/>
      <c r="B485" s="23"/>
    </row>
    <row r="486" spans="1:2" x14ac:dyDescent="0.25">
      <c r="A486" s="23"/>
      <c r="B486" s="23"/>
    </row>
    <row r="487" spans="1:2" x14ac:dyDescent="0.25">
      <c r="A487" s="23"/>
      <c r="B487" s="23"/>
    </row>
    <row r="488" spans="1:2" x14ac:dyDescent="0.25">
      <c r="A488" s="23"/>
      <c r="B488" s="23"/>
    </row>
    <row r="489" spans="1:2" x14ac:dyDescent="0.25">
      <c r="A489" s="23"/>
      <c r="B489" s="23"/>
    </row>
    <row r="490" spans="1:2" x14ac:dyDescent="0.25">
      <c r="A490" s="23"/>
      <c r="B490" s="23"/>
    </row>
    <row r="491" spans="1:2" x14ac:dyDescent="0.25">
      <c r="A491" s="23"/>
      <c r="B491" s="23"/>
    </row>
    <row r="492" spans="1:2" x14ac:dyDescent="0.25">
      <c r="A492" s="23"/>
      <c r="B492" s="23"/>
    </row>
    <row r="493" spans="1:2" x14ac:dyDescent="0.25">
      <c r="A493" s="23"/>
      <c r="B493" s="23"/>
    </row>
    <row r="494" spans="1:2" x14ac:dyDescent="0.25">
      <c r="A494" s="23"/>
      <c r="B494" s="23"/>
    </row>
    <row r="495" spans="1:2" x14ac:dyDescent="0.25">
      <c r="A495" s="23"/>
      <c r="B495" s="23"/>
    </row>
    <row r="496" spans="1:2" x14ac:dyDescent="0.25">
      <c r="A496" s="23"/>
      <c r="B496" s="23"/>
    </row>
    <row r="497" spans="1:2" x14ac:dyDescent="0.25">
      <c r="A497" s="23"/>
      <c r="B497" s="23"/>
    </row>
    <row r="498" spans="1:2" x14ac:dyDescent="0.25">
      <c r="A498" s="23"/>
      <c r="B498" s="23"/>
    </row>
    <row r="499" spans="1:2" x14ac:dyDescent="0.25">
      <c r="A499" s="23"/>
      <c r="B499" s="23"/>
    </row>
    <row r="500" spans="1:2" ht="15.75" customHeight="1" x14ac:dyDescent="0.25">
      <c r="A500" s="23"/>
      <c r="B500" s="23"/>
    </row>
    <row r="501" spans="1:2" ht="15.75" customHeight="1" x14ac:dyDescent="0.25">
      <c r="A501" s="23"/>
      <c r="B501" s="23"/>
    </row>
    <row r="502" spans="1:2" ht="15.75" customHeight="1" x14ac:dyDescent="0.25">
      <c r="A502" s="23"/>
      <c r="B502" s="23"/>
    </row>
    <row r="503" spans="1:2" ht="15.75" customHeight="1" x14ac:dyDescent="0.25">
      <c r="A503" s="23"/>
      <c r="B503" s="23"/>
    </row>
    <row r="504" spans="1:2" ht="15.75" customHeight="1" x14ac:dyDescent="0.25">
      <c r="A504" s="23"/>
      <c r="B504" s="23"/>
    </row>
    <row r="505" spans="1:2" ht="15.75" customHeight="1" x14ac:dyDescent="0.25">
      <c r="A505" s="23"/>
      <c r="B505" s="23"/>
    </row>
    <row r="506" spans="1:2" ht="15.75" customHeight="1" x14ac:dyDescent="0.25">
      <c r="A506" s="23"/>
      <c r="B506" s="23"/>
    </row>
    <row r="507" spans="1:2" ht="15.75" customHeight="1" x14ac:dyDescent="0.25">
      <c r="A507" s="23"/>
      <c r="B507" s="23"/>
    </row>
    <row r="508" spans="1:2" ht="15.75" customHeight="1" x14ac:dyDescent="0.25">
      <c r="A508" s="23"/>
      <c r="B508" s="23"/>
    </row>
    <row r="509" spans="1:2" ht="15.75" customHeight="1" x14ac:dyDescent="0.25">
      <c r="A509" s="23"/>
      <c r="B509" s="23"/>
    </row>
    <row r="510" spans="1:2" ht="15.75" customHeight="1" x14ac:dyDescent="0.25">
      <c r="A510" s="23"/>
      <c r="B510" s="23"/>
    </row>
    <row r="511" spans="1:2" ht="15.75" customHeight="1" x14ac:dyDescent="0.25">
      <c r="A511" s="23"/>
      <c r="B511" s="23"/>
    </row>
    <row r="512" spans="1:2" ht="15.75" customHeight="1" x14ac:dyDescent="0.25">
      <c r="A512" s="23"/>
      <c r="B512" s="23"/>
    </row>
    <row r="513" spans="1:2" ht="15.75" customHeight="1" x14ac:dyDescent="0.25">
      <c r="A513" s="23"/>
      <c r="B513" s="23"/>
    </row>
    <row r="514" spans="1:2" ht="15.75" customHeight="1" x14ac:dyDescent="0.25">
      <c r="A514" s="23"/>
      <c r="B514" s="23"/>
    </row>
    <row r="515" spans="1:2" ht="15.75" customHeight="1" x14ac:dyDescent="0.25">
      <c r="A515" s="23"/>
      <c r="B515" s="23"/>
    </row>
    <row r="516" spans="1:2" ht="15.75" customHeight="1" x14ac:dyDescent="0.25">
      <c r="A516" s="23"/>
      <c r="B516" s="23"/>
    </row>
    <row r="517" spans="1:2" ht="15.75" customHeight="1" x14ac:dyDescent="0.25">
      <c r="A517" s="23"/>
      <c r="B517" s="23"/>
    </row>
    <row r="518" spans="1:2" ht="15.75" customHeight="1" x14ac:dyDescent="0.25">
      <c r="A518" s="23"/>
      <c r="B518" s="23"/>
    </row>
    <row r="519" spans="1:2" ht="15.75" customHeight="1" x14ac:dyDescent="0.25">
      <c r="A519" s="23"/>
      <c r="B519" s="23"/>
    </row>
    <row r="520" spans="1:2" ht="15.75" customHeight="1" x14ac:dyDescent="0.25">
      <c r="A520" s="23"/>
      <c r="B520" s="23"/>
    </row>
    <row r="521" spans="1:2" ht="15.75" customHeight="1" x14ac:dyDescent="0.25">
      <c r="A521" s="23"/>
      <c r="B521" s="23"/>
    </row>
    <row r="522" spans="1:2" ht="15.75" customHeight="1" x14ac:dyDescent="0.25">
      <c r="A522" s="23"/>
      <c r="B522" s="23"/>
    </row>
    <row r="523" spans="1:2" ht="15.75" customHeight="1" x14ac:dyDescent="0.25">
      <c r="A523" s="23"/>
      <c r="B523" s="23"/>
    </row>
    <row r="524" spans="1:2" ht="15.75" customHeight="1" x14ac:dyDescent="0.25">
      <c r="A524" s="23"/>
      <c r="B524" s="23"/>
    </row>
    <row r="525" spans="1:2" ht="15.75" customHeight="1" x14ac:dyDescent="0.25">
      <c r="A525" s="23"/>
      <c r="B525" s="23"/>
    </row>
    <row r="526" spans="1:2" ht="15.75" customHeight="1" x14ac:dyDescent="0.25">
      <c r="A526" s="23"/>
      <c r="B526" s="23"/>
    </row>
    <row r="527" spans="1:2" ht="15.75" customHeight="1" x14ac:dyDescent="0.25">
      <c r="A527" s="23"/>
      <c r="B527" s="23"/>
    </row>
    <row r="528" spans="1:2" ht="15.75" customHeight="1" x14ac:dyDescent="0.25">
      <c r="A528" s="23"/>
      <c r="B528" s="23"/>
    </row>
    <row r="529" spans="1:2" ht="15.75" customHeight="1" x14ac:dyDescent="0.25">
      <c r="A529" s="23"/>
      <c r="B529" s="23"/>
    </row>
    <row r="530" spans="1:2" ht="15.75" customHeight="1" x14ac:dyDescent="0.25">
      <c r="A530" s="23"/>
      <c r="B530" s="23"/>
    </row>
    <row r="531" spans="1:2" ht="15.75" customHeight="1" x14ac:dyDescent="0.25">
      <c r="A531" s="23"/>
      <c r="B531" s="23"/>
    </row>
    <row r="532" spans="1:2" ht="15.75" customHeight="1" x14ac:dyDescent="0.25">
      <c r="A532" s="23"/>
      <c r="B532" s="23"/>
    </row>
    <row r="533" spans="1:2" ht="15.75" customHeight="1" x14ac:dyDescent="0.25">
      <c r="A533" s="23"/>
      <c r="B533" s="23"/>
    </row>
    <row r="534" spans="1:2" ht="15.75" customHeight="1" x14ac:dyDescent="0.25">
      <c r="A534" s="23"/>
      <c r="B534" s="23"/>
    </row>
    <row r="535" spans="1:2" ht="15.75" customHeight="1" x14ac:dyDescent="0.25">
      <c r="A535" s="23"/>
      <c r="B535" s="23"/>
    </row>
    <row r="536" spans="1:2" ht="15.75" customHeight="1" x14ac:dyDescent="0.25">
      <c r="A536" s="23"/>
      <c r="B536" s="23"/>
    </row>
    <row r="537" spans="1:2" ht="15.75" customHeight="1" x14ac:dyDescent="0.25">
      <c r="A537" s="23"/>
      <c r="B537" s="23"/>
    </row>
    <row r="538" spans="1:2" ht="15.75" customHeight="1" x14ac:dyDescent="0.25">
      <c r="A538" s="23"/>
      <c r="B538" s="23"/>
    </row>
    <row r="539" spans="1:2" ht="15.75" customHeight="1" x14ac:dyDescent="0.25">
      <c r="A539" s="23"/>
      <c r="B539" s="23"/>
    </row>
    <row r="540" spans="1:2" ht="15.75" customHeight="1" x14ac:dyDescent="0.25">
      <c r="A540" s="23"/>
      <c r="B540" s="23"/>
    </row>
    <row r="541" spans="1:2" ht="15.75" customHeight="1" x14ac:dyDescent="0.25">
      <c r="A541" s="23"/>
      <c r="B541" s="23"/>
    </row>
    <row r="542" spans="1:2" ht="15.75" customHeight="1" x14ac:dyDescent="0.25">
      <c r="A542" s="23"/>
      <c r="B542" s="23"/>
    </row>
    <row r="543" spans="1:2" ht="15.75" customHeight="1" x14ac:dyDescent="0.25">
      <c r="A543" s="23"/>
      <c r="B543" s="23"/>
    </row>
    <row r="544" spans="1:2" ht="15.75" customHeight="1" x14ac:dyDescent="0.25">
      <c r="A544" s="23"/>
      <c r="B544" s="23"/>
    </row>
    <row r="545" spans="1:2" ht="15.75" customHeight="1" x14ac:dyDescent="0.25">
      <c r="A545" s="23"/>
      <c r="B545" s="23"/>
    </row>
    <row r="546" spans="1:2" ht="15.75" customHeight="1" x14ac:dyDescent="0.25">
      <c r="A546" s="23"/>
      <c r="B546" s="23"/>
    </row>
    <row r="547" spans="1:2" ht="15.75" customHeight="1" x14ac:dyDescent="0.25">
      <c r="A547" s="23"/>
      <c r="B547" s="23"/>
    </row>
    <row r="548" spans="1:2" ht="15.75" customHeight="1" x14ac:dyDescent="0.25">
      <c r="A548" s="23"/>
      <c r="B548" s="23"/>
    </row>
    <row r="549" spans="1:2" ht="15.75" customHeight="1" x14ac:dyDescent="0.25">
      <c r="A549" s="23"/>
      <c r="B549" s="23"/>
    </row>
    <row r="550" spans="1:2" ht="15.75" customHeight="1" x14ac:dyDescent="0.25">
      <c r="A550" s="23"/>
      <c r="B550" s="23"/>
    </row>
    <row r="551" spans="1:2" ht="15.75" customHeight="1" x14ac:dyDescent="0.25">
      <c r="A551" s="23"/>
      <c r="B551" s="23"/>
    </row>
    <row r="552" spans="1:2" ht="15.75" customHeight="1" x14ac:dyDescent="0.25">
      <c r="A552" s="23"/>
      <c r="B552" s="23"/>
    </row>
    <row r="553" spans="1:2" ht="15.75" customHeight="1" x14ac:dyDescent="0.25">
      <c r="A553" s="23"/>
      <c r="B553" s="23"/>
    </row>
    <row r="554" spans="1:2" ht="15.75" customHeight="1" x14ac:dyDescent="0.25">
      <c r="A554" s="23"/>
      <c r="B554" s="23"/>
    </row>
    <row r="555" spans="1:2" ht="15.75" customHeight="1" x14ac:dyDescent="0.25">
      <c r="A555" s="23"/>
      <c r="B555" s="23"/>
    </row>
    <row r="556" spans="1:2" ht="15.75" customHeight="1" x14ac:dyDescent="0.25">
      <c r="A556" s="23"/>
      <c r="B556" s="23"/>
    </row>
    <row r="557" spans="1:2" ht="15.75" customHeight="1" x14ac:dyDescent="0.25">
      <c r="A557" s="23"/>
      <c r="B557" s="23"/>
    </row>
    <row r="558" spans="1:2" ht="15.75" customHeight="1" x14ac:dyDescent="0.25">
      <c r="A558" s="23"/>
      <c r="B558" s="23"/>
    </row>
    <row r="559" spans="1:2" ht="15.75" customHeight="1" x14ac:dyDescent="0.25">
      <c r="A559" s="23"/>
      <c r="B559" s="23"/>
    </row>
    <row r="560" spans="1:2" ht="15.75" customHeight="1" x14ac:dyDescent="0.25">
      <c r="A560" s="23"/>
      <c r="B560" s="23"/>
    </row>
    <row r="561" spans="1:2" ht="15.75" customHeight="1" x14ac:dyDescent="0.25">
      <c r="A561" s="23"/>
      <c r="B561" s="23"/>
    </row>
    <row r="562" spans="1:2" ht="15.75" customHeight="1" x14ac:dyDescent="0.25">
      <c r="A562" s="23"/>
      <c r="B562" s="23"/>
    </row>
    <row r="563" spans="1:2" ht="15.75" customHeight="1" x14ac:dyDescent="0.25">
      <c r="A563" s="23"/>
      <c r="B563" s="23"/>
    </row>
    <row r="564" spans="1:2" ht="15.75" customHeight="1" x14ac:dyDescent="0.25">
      <c r="A564" s="23"/>
      <c r="B564" s="23"/>
    </row>
    <row r="565" spans="1:2" ht="15.75" customHeight="1" x14ac:dyDescent="0.25">
      <c r="A565" s="23"/>
      <c r="B565" s="23"/>
    </row>
    <row r="566" spans="1:2" ht="15.75" customHeight="1" x14ac:dyDescent="0.25">
      <c r="A566" s="23"/>
      <c r="B566" s="23"/>
    </row>
    <row r="567" spans="1:2" ht="15.75" customHeight="1" x14ac:dyDescent="0.25">
      <c r="A567" s="23"/>
      <c r="B567" s="23"/>
    </row>
    <row r="568" spans="1:2" ht="15.75" customHeight="1" x14ac:dyDescent="0.25">
      <c r="A568" s="23"/>
      <c r="B568" s="23"/>
    </row>
    <row r="569" spans="1:2" ht="15.75" customHeight="1" x14ac:dyDescent="0.25">
      <c r="A569" s="23"/>
      <c r="B569" s="23"/>
    </row>
    <row r="570" spans="1:2" ht="15.75" customHeight="1" x14ac:dyDescent="0.25">
      <c r="A570" s="23"/>
      <c r="B570" s="23"/>
    </row>
    <row r="571" spans="1:2" ht="15.75" customHeight="1" x14ac:dyDescent="0.25">
      <c r="A571" s="23"/>
      <c r="B571" s="23"/>
    </row>
    <row r="572" spans="1:2" ht="15.75" customHeight="1" x14ac:dyDescent="0.25">
      <c r="A572" s="23"/>
      <c r="B572" s="23"/>
    </row>
    <row r="573" spans="1:2" ht="15.75" customHeight="1" x14ac:dyDescent="0.25">
      <c r="A573" s="23"/>
      <c r="B573" s="23"/>
    </row>
    <row r="574" spans="1:2" ht="15.75" customHeight="1" x14ac:dyDescent="0.25">
      <c r="A574" s="23"/>
      <c r="B574" s="23"/>
    </row>
    <row r="575" spans="1:2" ht="15.75" customHeight="1" x14ac:dyDescent="0.25">
      <c r="A575" s="23"/>
      <c r="B575" s="23"/>
    </row>
    <row r="576" spans="1:2" ht="15.75" customHeight="1" x14ac:dyDescent="0.25">
      <c r="A576" s="23"/>
      <c r="B576" s="23"/>
    </row>
    <row r="577" spans="1:2" ht="15.75" customHeight="1" x14ac:dyDescent="0.25">
      <c r="A577" s="23"/>
      <c r="B577" s="23"/>
    </row>
    <row r="578" spans="1:2" ht="15.75" customHeight="1" x14ac:dyDescent="0.25">
      <c r="A578" s="23"/>
      <c r="B578" s="23"/>
    </row>
    <row r="579" spans="1:2" ht="15.75" customHeight="1" x14ac:dyDescent="0.25">
      <c r="A579" s="23"/>
      <c r="B579" s="23"/>
    </row>
    <row r="580" spans="1:2" ht="15.75" customHeight="1" x14ac:dyDescent="0.25">
      <c r="A580" s="23"/>
      <c r="B580" s="23"/>
    </row>
    <row r="581" spans="1:2" ht="15.75" customHeight="1" x14ac:dyDescent="0.25">
      <c r="A581" s="23"/>
      <c r="B581" s="23"/>
    </row>
    <row r="582" spans="1:2" ht="15.75" customHeight="1" x14ac:dyDescent="0.25">
      <c r="A582" s="23"/>
      <c r="B582" s="23"/>
    </row>
    <row r="583" spans="1:2" ht="15.75" customHeight="1" x14ac:dyDescent="0.25">
      <c r="A583" s="23"/>
      <c r="B583" s="23"/>
    </row>
    <row r="584" spans="1:2" ht="15.75" customHeight="1" x14ac:dyDescent="0.25">
      <c r="A584" s="23"/>
      <c r="B584" s="23"/>
    </row>
    <row r="585" spans="1:2" ht="15.75" customHeight="1" x14ac:dyDescent="0.25">
      <c r="A585" s="23"/>
      <c r="B585" s="23"/>
    </row>
    <row r="586" spans="1:2" ht="15.75" customHeight="1" x14ac:dyDescent="0.25">
      <c r="A586" s="23"/>
      <c r="B586" s="23"/>
    </row>
    <row r="587" spans="1:2" ht="15.75" customHeight="1" x14ac:dyDescent="0.25">
      <c r="A587" s="23"/>
      <c r="B587" s="23"/>
    </row>
    <row r="588" spans="1:2" ht="15.75" customHeight="1" x14ac:dyDescent="0.25">
      <c r="A588" s="23"/>
      <c r="B588" s="23"/>
    </row>
    <row r="589" spans="1:2" ht="15.75" customHeight="1" x14ac:dyDescent="0.25">
      <c r="A589" s="23"/>
      <c r="B589" s="23"/>
    </row>
    <row r="590" spans="1:2" ht="15.75" customHeight="1" x14ac:dyDescent="0.25">
      <c r="A590" s="23"/>
      <c r="B590" s="23"/>
    </row>
    <row r="591" spans="1:2" ht="15.75" customHeight="1" x14ac:dyDescent="0.25">
      <c r="A591" s="23"/>
      <c r="B591" s="23"/>
    </row>
    <row r="592" spans="1:2" ht="15.75" customHeight="1" x14ac:dyDescent="0.25">
      <c r="A592" s="23"/>
      <c r="B592" s="23"/>
    </row>
    <row r="593" spans="1:2" ht="15.75" customHeight="1" x14ac:dyDescent="0.25">
      <c r="A593" s="23"/>
      <c r="B593" s="23"/>
    </row>
    <row r="594" spans="1:2" ht="15.75" customHeight="1" x14ac:dyDescent="0.25">
      <c r="A594" s="23"/>
      <c r="B594" s="23"/>
    </row>
    <row r="595" spans="1:2" ht="15.75" customHeight="1" x14ac:dyDescent="0.25">
      <c r="A595" s="23"/>
      <c r="B595" s="23"/>
    </row>
    <row r="596" spans="1:2" ht="15.75" customHeight="1" x14ac:dyDescent="0.25">
      <c r="A596" s="23"/>
      <c r="B596" s="23"/>
    </row>
    <row r="597" spans="1:2" ht="15.75" customHeight="1" x14ac:dyDescent="0.25">
      <c r="A597" s="23"/>
      <c r="B597" s="23"/>
    </row>
    <row r="598" spans="1:2" ht="15.75" customHeight="1" x14ac:dyDescent="0.25">
      <c r="A598" s="23"/>
      <c r="B598" s="23"/>
    </row>
    <row r="599" spans="1:2" ht="15.75" customHeight="1" x14ac:dyDescent="0.25">
      <c r="A599" s="23"/>
      <c r="B599" s="23"/>
    </row>
    <row r="600" spans="1:2" ht="15.75" customHeight="1" x14ac:dyDescent="0.25">
      <c r="A600" s="23"/>
      <c r="B600" s="23"/>
    </row>
    <row r="601" spans="1:2" ht="15.75" customHeight="1" x14ac:dyDescent="0.25">
      <c r="A601" s="23"/>
      <c r="B601" s="23"/>
    </row>
    <row r="602" spans="1:2" ht="15.75" customHeight="1" x14ac:dyDescent="0.25">
      <c r="A602" s="23"/>
      <c r="B602" s="23"/>
    </row>
    <row r="603" spans="1:2" ht="15.75" customHeight="1" x14ac:dyDescent="0.25">
      <c r="A603" s="23"/>
      <c r="B603" s="23"/>
    </row>
    <row r="604" spans="1:2" ht="15.75" customHeight="1" x14ac:dyDescent="0.25">
      <c r="A604" s="23"/>
      <c r="B604" s="23"/>
    </row>
    <row r="605" spans="1:2" ht="15.75" customHeight="1" x14ac:dyDescent="0.25">
      <c r="A605" s="23"/>
      <c r="B605" s="23"/>
    </row>
    <row r="606" spans="1:2" ht="15.75" customHeight="1" x14ac:dyDescent="0.25">
      <c r="A606" s="23"/>
      <c r="B606" s="23"/>
    </row>
    <row r="607" spans="1:2" ht="15.75" customHeight="1" x14ac:dyDescent="0.25">
      <c r="A607" s="23"/>
      <c r="B607" s="23"/>
    </row>
    <row r="608" spans="1:2" ht="15.75" customHeight="1" x14ac:dyDescent="0.25">
      <c r="A608" s="23"/>
      <c r="B608" s="23"/>
    </row>
    <row r="609" spans="1:2" ht="15.75" customHeight="1" x14ac:dyDescent="0.25">
      <c r="A609" s="23"/>
      <c r="B609" s="23"/>
    </row>
    <row r="610" spans="1:2" ht="15.75" customHeight="1" x14ac:dyDescent="0.25">
      <c r="A610" s="23"/>
      <c r="B610" s="23"/>
    </row>
    <row r="611" spans="1:2" ht="15.75" customHeight="1" x14ac:dyDescent="0.25">
      <c r="A611" s="23"/>
      <c r="B611" s="23"/>
    </row>
    <row r="612" spans="1:2" ht="15.75" customHeight="1" x14ac:dyDescent="0.25">
      <c r="A612" s="23"/>
      <c r="B612" s="23"/>
    </row>
    <row r="613" spans="1:2" ht="15.75" customHeight="1" x14ac:dyDescent="0.25">
      <c r="A613" s="23"/>
      <c r="B613" s="23"/>
    </row>
    <row r="614" spans="1:2" ht="15.75" customHeight="1" x14ac:dyDescent="0.25">
      <c r="A614" s="23"/>
      <c r="B614" s="23"/>
    </row>
    <row r="615" spans="1:2" ht="15.75" customHeight="1" x14ac:dyDescent="0.25">
      <c r="A615" s="23"/>
      <c r="B615" s="23"/>
    </row>
    <row r="616" spans="1:2" ht="15.75" customHeight="1" x14ac:dyDescent="0.25">
      <c r="A616" s="23"/>
      <c r="B616" s="23"/>
    </row>
    <row r="617" spans="1:2" ht="15.75" customHeight="1" x14ac:dyDescent="0.25">
      <c r="A617" s="23"/>
      <c r="B617" s="23"/>
    </row>
    <row r="618" spans="1:2" ht="15.75" customHeight="1" x14ac:dyDescent="0.25">
      <c r="A618" s="23"/>
      <c r="B618" s="23"/>
    </row>
    <row r="619" spans="1:2" ht="15.75" customHeight="1" x14ac:dyDescent="0.25">
      <c r="A619" s="23"/>
      <c r="B619" s="23"/>
    </row>
    <row r="620" spans="1:2" ht="15.75" customHeight="1" x14ac:dyDescent="0.25">
      <c r="A620" s="23"/>
      <c r="B620" s="23"/>
    </row>
    <row r="621" spans="1:2" ht="15.75" customHeight="1" x14ac:dyDescent="0.25">
      <c r="A621" s="23"/>
      <c r="B621" s="23"/>
    </row>
    <row r="622" spans="1:2" ht="15.75" customHeight="1" x14ac:dyDescent="0.25">
      <c r="A622" s="23"/>
      <c r="B622" s="23"/>
    </row>
    <row r="623" spans="1:2" ht="15.75" customHeight="1" x14ac:dyDescent="0.25">
      <c r="A623" s="23"/>
      <c r="B623" s="23"/>
    </row>
    <row r="624" spans="1:2" ht="15.75" customHeight="1" x14ac:dyDescent="0.25">
      <c r="A624" s="23"/>
      <c r="B624" s="23"/>
    </row>
    <row r="625" spans="1:2" ht="15.75" customHeight="1" x14ac:dyDescent="0.25">
      <c r="A625" s="23"/>
      <c r="B625" s="23"/>
    </row>
    <row r="626" spans="1:2" ht="15.75" customHeight="1" x14ac:dyDescent="0.25">
      <c r="A626" s="23"/>
      <c r="B626" s="23"/>
    </row>
    <row r="627" spans="1:2" ht="15.75" customHeight="1" x14ac:dyDescent="0.25">
      <c r="A627" s="23"/>
      <c r="B627" s="23"/>
    </row>
    <row r="628" spans="1:2" ht="15.75" customHeight="1" x14ac:dyDescent="0.25">
      <c r="A628" s="23"/>
      <c r="B628" s="23"/>
    </row>
    <row r="629" spans="1:2" ht="15.75" customHeight="1" x14ac:dyDescent="0.25">
      <c r="A629" s="23"/>
      <c r="B629" s="23"/>
    </row>
    <row r="630" spans="1:2" ht="15.75" customHeight="1" x14ac:dyDescent="0.25">
      <c r="A630" s="23"/>
      <c r="B630" s="23"/>
    </row>
    <row r="631" spans="1:2" ht="15.75" customHeight="1" x14ac:dyDescent="0.25">
      <c r="A631" s="23"/>
      <c r="B631" s="23"/>
    </row>
    <row r="632" spans="1:2" ht="15.75" customHeight="1" x14ac:dyDescent="0.25">
      <c r="A632" s="23"/>
      <c r="B632" s="23"/>
    </row>
    <row r="633" spans="1:2" ht="15.75" customHeight="1" x14ac:dyDescent="0.25">
      <c r="A633" s="23"/>
      <c r="B633" s="23"/>
    </row>
    <row r="634" spans="1:2" ht="15.75" customHeight="1" x14ac:dyDescent="0.25">
      <c r="A634" s="23"/>
      <c r="B634" s="23"/>
    </row>
    <row r="635" spans="1:2" ht="15.75" customHeight="1" x14ac:dyDescent="0.25">
      <c r="A635" s="23"/>
      <c r="B635" s="23"/>
    </row>
    <row r="636" spans="1:2" ht="15.75" customHeight="1" x14ac:dyDescent="0.25">
      <c r="A636" s="23"/>
      <c r="B636" s="23"/>
    </row>
    <row r="637" spans="1:2" ht="15.75" customHeight="1" x14ac:dyDescent="0.25">
      <c r="A637" s="23"/>
      <c r="B637" s="23"/>
    </row>
    <row r="638" spans="1:2" ht="15.75" customHeight="1" x14ac:dyDescent="0.25">
      <c r="A638" s="23"/>
      <c r="B638" s="23"/>
    </row>
    <row r="639" spans="1:2" ht="15.75" customHeight="1" x14ac:dyDescent="0.25">
      <c r="A639" s="23"/>
      <c r="B639" s="23"/>
    </row>
    <row r="640" spans="1:2" ht="15.75" customHeight="1" x14ac:dyDescent="0.25">
      <c r="A640" s="23"/>
      <c r="B640" s="23"/>
    </row>
    <row r="641" spans="1:2" ht="15.75" customHeight="1" x14ac:dyDescent="0.25">
      <c r="A641" s="23"/>
      <c r="B641" s="23"/>
    </row>
    <row r="642" spans="1:2" ht="15.75" customHeight="1" x14ac:dyDescent="0.25">
      <c r="A642" s="23"/>
      <c r="B642" s="23"/>
    </row>
    <row r="643" spans="1:2" ht="15.75" customHeight="1" x14ac:dyDescent="0.25">
      <c r="A643" s="23"/>
      <c r="B643" s="23"/>
    </row>
    <row r="644" spans="1:2" ht="15.75" customHeight="1" x14ac:dyDescent="0.25">
      <c r="A644" s="23"/>
      <c r="B644" s="23"/>
    </row>
    <row r="645" spans="1:2" ht="15.75" customHeight="1" x14ac:dyDescent="0.25">
      <c r="A645" s="23"/>
      <c r="B645" s="23"/>
    </row>
    <row r="646" spans="1:2" ht="15.75" customHeight="1" x14ac:dyDescent="0.25">
      <c r="A646" s="23"/>
      <c r="B646" s="23"/>
    </row>
    <row r="647" spans="1:2" ht="15.75" customHeight="1" x14ac:dyDescent="0.25">
      <c r="A647" s="23"/>
      <c r="B647" s="23"/>
    </row>
    <row r="648" spans="1:2" ht="15.75" customHeight="1" x14ac:dyDescent="0.25">
      <c r="A648" s="23"/>
      <c r="B648" s="23"/>
    </row>
    <row r="649" spans="1:2" ht="15.75" customHeight="1" x14ac:dyDescent="0.25">
      <c r="A649" s="23"/>
      <c r="B649" s="23"/>
    </row>
    <row r="650" spans="1:2" ht="15.75" customHeight="1" x14ac:dyDescent="0.25">
      <c r="A650" s="23"/>
      <c r="B650" s="23"/>
    </row>
    <row r="651" spans="1:2" ht="15.75" customHeight="1" x14ac:dyDescent="0.25">
      <c r="A651" s="23"/>
      <c r="B651" s="23"/>
    </row>
    <row r="652" spans="1:2" ht="15.75" customHeight="1" x14ac:dyDescent="0.25">
      <c r="A652" s="23"/>
      <c r="B652" s="23"/>
    </row>
    <row r="653" spans="1:2" ht="15.75" customHeight="1" x14ac:dyDescent="0.25">
      <c r="A653" s="23"/>
      <c r="B653" s="23"/>
    </row>
    <row r="654" spans="1:2" ht="15.75" customHeight="1" x14ac:dyDescent="0.25">
      <c r="A654" s="23"/>
      <c r="B654" s="23"/>
    </row>
    <row r="655" spans="1:2" ht="15.75" customHeight="1" x14ac:dyDescent="0.25">
      <c r="A655" s="23"/>
      <c r="B655" s="23"/>
    </row>
    <row r="656" spans="1:2" ht="15.75" customHeight="1" x14ac:dyDescent="0.25">
      <c r="A656" s="23"/>
      <c r="B656" s="23"/>
    </row>
    <row r="657" spans="1:2" ht="15.75" customHeight="1" x14ac:dyDescent="0.25">
      <c r="A657" s="23"/>
      <c r="B657" s="23"/>
    </row>
    <row r="658" spans="1:2" ht="15.75" customHeight="1" x14ac:dyDescent="0.25">
      <c r="A658" s="23"/>
      <c r="B658" s="23"/>
    </row>
    <row r="659" spans="1:2" ht="15.75" customHeight="1" x14ac:dyDescent="0.25">
      <c r="A659" s="23"/>
      <c r="B659" s="23"/>
    </row>
    <row r="660" spans="1:2" ht="15.75" customHeight="1" x14ac:dyDescent="0.25">
      <c r="A660" s="23"/>
      <c r="B660" s="23"/>
    </row>
    <row r="661" spans="1:2" ht="15.75" customHeight="1" x14ac:dyDescent="0.25">
      <c r="A661" s="23"/>
      <c r="B661" s="23"/>
    </row>
    <row r="662" spans="1:2" ht="15.75" customHeight="1" x14ac:dyDescent="0.25">
      <c r="A662" s="23"/>
      <c r="B662" s="23"/>
    </row>
    <row r="663" spans="1:2" ht="15.75" customHeight="1" x14ac:dyDescent="0.25">
      <c r="A663" s="23"/>
      <c r="B663" s="23"/>
    </row>
    <row r="664" spans="1:2" ht="15.75" customHeight="1" x14ac:dyDescent="0.25">
      <c r="A664" s="23"/>
      <c r="B664" s="23"/>
    </row>
    <row r="665" spans="1:2" ht="15.75" customHeight="1" x14ac:dyDescent="0.25">
      <c r="A665" s="23"/>
      <c r="B665" s="23"/>
    </row>
    <row r="666" spans="1:2" ht="15.75" customHeight="1" x14ac:dyDescent="0.25">
      <c r="A666" s="23"/>
      <c r="B666" s="23"/>
    </row>
    <row r="667" spans="1:2" ht="15.75" customHeight="1" x14ac:dyDescent="0.25">
      <c r="A667" s="23"/>
      <c r="B667" s="23"/>
    </row>
    <row r="668" spans="1:2" ht="15.75" customHeight="1" x14ac:dyDescent="0.25">
      <c r="A668" s="23"/>
      <c r="B668" s="23"/>
    </row>
    <row r="669" spans="1:2" ht="15.75" customHeight="1" x14ac:dyDescent="0.25">
      <c r="A669" s="23"/>
      <c r="B669" s="23"/>
    </row>
    <row r="670" spans="1:2" ht="15.75" customHeight="1" x14ac:dyDescent="0.25">
      <c r="A670" s="23"/>
      <c r="B670" s="23"/>
    </row>
    <row r="671" spans="1:2" ht="15.75" customHeight="1" x14ac:dyDescent="0.25">
      <c r="A671" s="23"/>
      <c r="B671" s="23"/>
    </row>
    <row r="672" spans="1:2" ht="15.75" customHeight="1" x14ac:dyDescent="0.25">
      <c r="A672" s="23"/>
      <c r="B672" s="23"/>
    </row>
    <row r="673" spans="1:2" ht="15.75" customHeight="1" x14ac:dyDescent="0.25">
      <c r="A673" s="23"/>
      <c r="B673" s="23"/>
    </row>
    <row r="674" spans="1:2" ht="15.75" customHeight="1" x14ac:dyDescent="0.25">
      <c r="A674" s="23"/>
      <c r="B674" s="23"/>
    </row>
    <row r="675" spans="1:2" ht="15.75" customHeight="1" x14ac:dyDescent="0.25">
      <c r="A675" s="23"/>
      <c r="B675" s="23"/>
    </row>
    <row r="676" spans="1:2" ht="15.75" customHeight="1" x14ac:dyDescent="0.25">
      <c r="A676" s="23"/>
      <c r="B676" s="23"/>
    </row>
    <row r="677" spans="1:2" ht="15.75" customHeight="1" x14ac:dyDescent="0.25">
      <c r="A677" s="23"/>
      <c r="B677" s="23"/>
    </row>
    <row r="678" spans="1:2" ht="15.75" customHeight="1" x14ac:dyDescent="0.25">
      <c r="A678" s="23"/>
      <c r="B678" s="23"/>
    </row>
    <row r="679" spans="1:2" ht="15.75" customHeight="1" x14ac:dyDescent="0.25">
      <c r="A679" s="23"/>
      <c r="B679" s="23"/>
    </row>
    <row r="680" spans="1:2" ht="15.75" customHeight="1" x14ac:dyDescent="0.25">
      <c r="A680" s="23"/>
      <c r="B680" s="23"/>
    </row>
    <row r="681" spans="1:2" ht="15.75" customHeight="1" x14ac:dyDescent="0.25">
      <c r="A681" s="23"/>
      <c r="B681" s="23"/>
    </row>
    <row r="682" spans="1:2" ht="15.75" customHeight="1" x14ac:dyDescent="0.25">
      <c r="A682" s="23"/>
      <c r="B682" s="23"/>
    </row>
    <row r="683" spans="1:2" ht="15.75" customHeight="1" x14ac:dyDescent="0.25">
      <c r="A683" s="23"/>
      <c r="B683" s="23"/>
    </row>
    <row r="684" spans="1:2" ht="15.75" customHeight="1" x14ac:dyDescent="0.25">
      <c r="A684" s="23"/>
      <c r="B684" s="23"/>
    </row>
    <row r="685" spans="1:2" ht="15.75" customHeight="1" x14ac:dyDescent="0.25">
      <c r="A685" s="23"/>
      <c r="B685" s="23"/>
    </row>
    <row r="686" spans="1:2" ht="15.75" customHeight="1" x14ac:dyDescent="0.25">
      <c r="A686" s="23"/>
      <c r="B686" s="23"/>
    </row>
    <row r="687" spans="1:2" ht="15.75" customHeight="1" x14ac:dyDescent="0.25">
      <c r="A687" s="23"/>
      <c r="B687" s="23"/>
    </row>
    <row r="688" spans="1:2" ht="15.75" customHeight="1" x14ac:dyDescent="0.25">
      <c r="A688" s="23"/>
      <c r="B688" s="23"/>
    </row>
    <row r="689" spans="1:2" ht="15.75" customHeight="1" x14ac:dyDescent="0.25">
      <c r="A689" s="23"/>
      <c r="B689" s="23"/>
    </row>
    <row r="690" spans="1:2" ht="15.75" customHeight="1" x14ac:dyDescent="0.25">
      <c r="A690" s="23"/>
      <c r="B690" s="23"/>
    </row>
    <row r="691" spans="1:2" ht="15.75" customHeight="1" x14ac:dyDescent="0.25">
      <c r="A691" s="23"/>
      <c r="B691" s="23"/>
    </row>
    <row r="692" spans="1:2" ht="15.75" customHeight="1" x14ac:dyDescent="0.25">
      <c r="A692" s="23"/>
      <c r="B692" s="23"/>
    </row>
    <row r="693" spans="1:2" ht="15.75" customHeight="1" x14ac:dyDescent="0.25">
      <c r="A693" s="23"/>
      <c r="B693" s="23"/>
    </row>
    <row r="694" spans="1:2" ht="15.75" customHeight="1" x14ac:dyDescent="0.25">
      <c r="A694" s="23"/>
      <c r="B694" s="23"/>
    </row>
    <row r="695" spans="1:2" ht="15.75" customHeight="1" x14ac:dyDescent="0.25">
      <c r="A695" s="23"/>
      <c r="B695" s="23"/>
    </row>
    <row r="696" spans="1:2" ht="15.75" customHeight="1" x14ac:dyDescent="0.25">
      <c r="A696" s="23"/>
      <c r="B696" s="23"/>
    </row>
    <row r="697" spans="1:2" ht="15.75" customHeight="1" x14ac:dyDescent="0.25">
      <c r="A697" s="23"/>
      <c r="B697" s="23"/>
    </row>
    <row r="698" spans="1:2" ht="15.75" customHeight="1" x14ac:dyDescent="0.25">
      <c r="A698" s="23"/>
      <c r="B698" s="23"/>
    </row>
    <row r="699" spans="1:2" ht="15.75" customHeight="1" x14ac:dyDescent="0.25">
      <c r="A699" s="23"/>
      <c r="B699" s="23"/>
    </row>
    <row r="700" spans="1:2" ht="15.75" customHeight="1" x14ac:dyDescent="0.25">
      <c r="A700" s="23"/>
      <c r="B700" s="23"/>
    </row>
    <row r="701" spans="1:2" ht="15.75" customHeight="1" x14ac:dyDescent="0.25">
      <c r="A701" s="23"/>
      <c r="B701" s="23"/>
    </row>
    <row r="702" spans="1:2" ht="15.75" customHeight="1" x14ac:dyDescent="0.25">
      <c r="A702" s="23"/>
      <c r="B702" s="23"/>
    </row>
    <row r="703" spans="1:2" ht="15.75" customHeight="1" x14ac:dyDescent="0.25">
      <c r="A703" s="23"/>
      <c r="B703" s="23"/>
    </row>
    <row r="704" spans="1:2" ht="15.75" customHeight="1" x14ac:dyDescent="0.25">
      <c r="A704" s="23"/>
      <c r="B704" s="23"/>
    </row>
    <row r="705" spans="1:2" ht="15.75" customHeight="1" x14ac:dyDescent="0.25">
      <c r="A705" s="23"/>
      <c r="B705" s="23"/>
    </row>
    <row r="706" spans="1:2" ht="15.75" customHeight="1" x14ac:dyDescent="0.25">
      <c r="A706" s="23"/>
      <c r="B706" s="23"/>
    </row>
    <row r="707" spans="1:2" ht="15.75" customHeight="1" x14ac:dyDescent="0.25">
      <c r="A707" s="23"/>
      <c r="B707" s="23"/>
    </row>
    <row r="708" spans="1:2" ht="15.75" customHeight="1" x14ac:dyDescent="0.25">
      <c r="A708" s="23"/>
      <c r="B708" s="23"/>
    </row>
    <row r="709" spans="1:2" ht="15.75" customHeight="1" x14ac:dyDescent="0.25">
      <c r="A709" s="23"/>
      <c r="B709" s="23"/>
    </row>
    <row r="710" spans="1:2" ht="15.75" customHeight="1" x14ac:dyDescent="0.25">
      <c r="A710" s="23"/>
      <c r="B710" s="23"/>
    </row>
    <row r="711" spans="1:2" ht="15.75" customHeight="1" x14ac:dyDescent="0.25">
      <c r="A711" s="23"/>
      <c r="B711" s="23"/>
    </row>
    <row r="712" spans="1:2" ht="15.75" customHeight="1" x14ac:dyDescent="0.25">
      <c r="A712" s="23"/>
      <c r="B712" s="23"/>
    </row>
    <row r="713" spans="1:2" ht="15.75" customHeight="1" x14ac:dyDescent="0.25">
      <c r="A713" s="23"/>
      <c r="B713" s="23"/>
    </row>
    <row r="714" spans="1:2" ht="15.75" customHeight="1" x14ac:dyDescent="0.25">
      <c r="A714" s="23"/>
      <c r="B714" s="23"/>
    </row>
    <row r="715" spans="1:2" ht="15.75" customHeight="1" x14ac:dyDescent="0.25">
      <c r="A715" s="23"/>
      <c r="B715" s="23"/>
    </row>
    <row r="716" spans="1:2" ht="15.75" customHeight="1" x14ac:dyDescent="0.25">
      <c r="A716" s="23"/>
      <c r="B716" s="23"/>
    </row>
    <row r="717" spans="1:2" ht="15.75" customHeight="1" x14ac:dyDescent="0.25">
      <c r="A717" s="23"/>
      <c r="B717" s="23"/>
    </row>
    <row r="718" spans="1:2" ht="15.75" customHeight="1" x14ac:dyDescent="0.25">
      <c r="A718" s="23"/>
      <c r="B718" s="23"/>
    </row>
    <row r="719" spans="1:2" ht="15.75" customHeight="1" x14ac:dyDescent="0.25">
      <c r="A719" s="23"/>
      <c r="B719" s="23"/>
    </row>
    <row r="720" spans="1:2" ht="15.75" customHeight="1" x14ac:dyDescent="0.25">
      <c r="A720" s="23"/>
      <c r="B720" s="23"/>
    </row>
    <row r="721" spans="1:2" ht="15.75" customHeight="1" x14ac:dyDescent="0.25">
      <c r="A721" s="23"/>
      <c r="B721" s="23"/>
    </row>
    <row r="722" spans="1:2" ht="15.75" customHeight="1" x14ac:dyDescent="0.25">
      <c r="A722" s="23"/>
      <c r="B722" s="23"/>
    </row>
    <row r="723" spans="1:2" ht="15.75" customHeight="1" x14ac:dyDescent="0.25">
      <c r="A723" s="23"/>
      <c r="B723" s="23"/>
    </row>
    <row r="724" spans="1:2" ht="15.75" customHeight="1" x14ac:dyDescent="0.25">
      <c r="A724" s="23"/>
      <c r="B724" s="23"/>
    </row>
    <row r="725" spans="1:2" ht="15.75" customHeight="1" x14ac:dyDescent="0.25">
      <c r="A725" s="23"/>
      <c r="B725" s="23"/>
    </row>
    <row r="726" spans="1:2" ht="15.75" customHeight="1" x14ac:dyDescent="0.25">
      <c r="A726" s="23"/>
      <c r="B726" s="23"/>
    </row>
    <row r="727" spans="1:2" ht="15.75" customHeight="1" x14ac:dyDescent="0.25">
      <c r="A727" s="23"/>
      <c r="B727" s="23"/>
    </row>
    <row r="728" spans="1:2" ht="15.75" customHeight="1" x14ac:dyDescent="0.25">
      <c r="A728" s="23"/>
      <c r="B728" s="23"/>
    </row>
    <row r="729" spans="1:2" ht="15.75" customHeight="1" x14ac:dyDescent="0.25">
      <c r="A729" s="23"/>
      <c r="B729" s="23"/>
    </row>
    <row r="730" spans="1:2" ht="15.75" customHeight="1" x14ac:dyDescent="0.25">
      <c r="A730" s="23"/>
      <c r="B730" s="23"/>
    </row>
    <row r="731" spans="1:2" ht="15.75" customHeight="1" x14ac:dyDescent="0.25">
      <c r="A731" s="23"/>
      <c r="B731" s="23"/>
    </row>
    <row r="732" spans="1:2" ht="15.75" customHeight="1" x14ac:dyDescent="0.25">
      <c r="A732" s="23"/>
      <c r="B732" s="23"/>
    </row>
    <row r="733" spans="1:2" ht="15.75" customHeight="1" x14ac:dyDescent="0.25">
      <c r="A733" s="23"/>
      <c r="B733" s="23"/>
    </row>
    <row r="734" spans="1:2" ht="15.75" customHeight="1" x14ac:dyDescent="0.25">
      <c r="A734" s="23"/>
      <c r="B734" s="23"/>
    </row>
    <row r="735" spans="1:2" ht="15.75" customHeight="1" x14ac:dyDescent="0.25">
      <c r="A735" s="23"/>
      <c r="B735" s="23"/>
    </row>
    <row r="736" spans="1:2" ht="15.75" customHeight="1" x14ac:dyDescent="0.25">
      <c r="A736" s="23"/>
      <c r="B736" s="23"/>
    </row>
    <row r="737" spans="1:2" ht="15.75" customHeight="1" x14ac:dyDescent="0.25">
      <c r="A737" s="23"/>
      <c r="B737" s="23"/>
    </row>
    <row r="738" spans="1:2" ht="15.75" customHeight="1" x14ac:dyDescent="0.25">
      <c r="A738" s="23"/>
      <c r="B738" s="23"/>
    </row>
    <row r="739" spans="1:2" ht="15.75" customHeight="1" x14ac:dyDescent="0.25">
      <c r="A739" s="23"/>
      <c r="B739" s="23"/>
    </row>
    <row r="740" spans="1:2" ht="15.75" customHeight="1" x14ac:dyDescent="0.25">
      <c r="A740" s="23"/>
      <c r="B740" s="23"/>
    </row>
    <row r="741" spans="1:2" ht="15.75" customHeight="1" x14ac:dyDescent="0.25">
      <c r="A741" s="23"/>
      <c r="B741" s="23"/>
    </row>
    <row r="742" spans="1:2" ht="15.75" customHeight="1" x14ac:dyDescent="0.25">
      <c r="A742" s="23"/>
      <c r="B742" s="23"/>
    </row>
    <row r="743" spans="1:2" ht="15.75" customHeight="1" x14ac:dyDescent="0.25">
      <c r="A743" s="23"/>
      <c r="B743" s="23"/>
    </row>
    <row r="744" spans="1:2" ht="15.75" customHeight="1" x14ac:dyDescent="0.25">
      <c r="A744" s="23"/>
      <c r="B744" s="23"/>
    </row>
    <row r="745" spans="1:2" ht="15.75" customHeight="1" x14ac:dyDescent="0.25">
      <c r="A745" s="23"/>
      <c r="B745" s="23"/>
    </row>
    <row r="746" spans="1:2" ht="15.75" customHeight="1" x14ac:dyDescent="0.25">
      <c r="A746" s="23"/>
      <c r="B746" s="23"/>
    </row>
    <row r="747" spans="1:2" ht="15.75" customHeight="1" x14ac:dyDescent="0.25">
      <c r="A747" s="23"/>
      <c r="B747" s="23"/>
    </row>
    <row r="748" spans="1:2" ht="15.75" customHeight="1" x14ac:dyDescent="0.25">
      <c r="A748" s="23"/>
      <c r="B748" s="23"/>
    </row>
    <row r="749" spans="1:2" ht="15.75" customHeight="1" x14ac:dyDescent="0.25">
      <c r="A749" s="23"/>
      <c r="B749" s="23"/>
    </row>
    <row r="750" spans="1:2" ht="15.75" customHeight="1" x14ac:dyDescent="0.25">
      <c r="A750" s="23"/>
      <c r="B750" s="23"/>
    </row>
    <row r="751" spans="1:2" ht="15.75" customHeight="1" x14ac:dyDescent="0.25">
      <c r="A751" s="23"/>
      <c r="B751" s="23"/>
    </row>
    <row r="752" spans="1:2" ht="15.75" customHeight="1" x14ac:dyDescent="0.25">
      <c r="A752" s="23"/>
      <c r="B752" s="23"/>
    </row>
    <row r="753" spans="1:2" ht="15.75" customHeight="1" x14ac:dyDescent="0.25">
      <c r="A753" s="23"/>
      <c r="B753" s="23"/>
    </row>
    <row r="754" spans="1:2" ht="15.75" customHeight="1" x14ac:dyDescent="0.25">
      <c r="A754" s="23"/>
      <c r="B754" s="23"/>
    </row>
    <row r="755" spans="1:2" ht="15.75" customHeight="1" x14ac:dyDescent="0.25">
      <c r="A755" s="23"/>
      <c r="B755" s="23"/>
    </row>
    <row r="756" spans="1:2" ht="15.75" customHeight="1" x14ac:dyDescent="0.25">
      <c r="A756" s="23"/>
      <c r="B756" s="23"/>
    </row>
    <row r="757" spans="1:2" ht="15.75" customHeight="1" x14ac:dyDescent="0.25">
      <c r="A757" s="23"/>
      <c r="B757" s="23"/>
    </row>
    <row r="758" spans="1:2" ht="15.75" customHeight="1" x14ac:dyDescent="0.25">
      <c r="A758" s="23"/>
      <c r="B758" s="23"/>
    </row>
    <row r="759" spans="1:2" ht="15.75" customHeight="1" x14ac:dyDescent="0.25">
      <c r="A759" s="23"/>
      <c r="B759" s="23"/>
    </row>
    <row r="760" spans="1:2" ht="15.75" customHeight="1" x14ac:dyDescent="0.25">
      <c r="A760" s="23"/>
      <c r="B760" s="23"/>
    </row>
    <row r="761" spans="1:2" ht="15.75" customHeight="1" x14ac:dyDescent="0.25">
      <c r="A761" s="23"/>
      <c r="B761" s="23"/>
    </row>
    <row r="762" spans="1:2" ht="15.75" customHeight="1" x14ac:dyDescent="0.25">
      <c r="A762" s="23"/>
      <c r="B762" s="23"/>
    </row>
    <row r="763" spans="1:2" ht="15.75" customHeight="1" x14ac:dyDescent="0.25">
      <c r="A763" s="23"/>
      <c r="B763" s="23"/>
    </row>
    <row r="764" spans="1:2" ht="15.75" customHeight="1" x14ac:dyDescent="0.25">
      <c r="A764" s="23"/>
      <c r="B764" s="23"/>
    </row>
    <row r="765" spans="1:2" ht="15.75" customHeight="1" x14ac:dyDescent="0.25">
      <c r="A765" s="23"/>
      <c r="B765" s="23"/>
    </row>
    <row r="766" spans="1:2" ht="15.75" customHeight="1" x14ac:dyDescent="0.25">
      <c r="A766" s="23"/>
      <c r="B766" s="23"/>
    </row>
    <row r="767" spans="1:2" ht="15.75" customHeight="1" x14ac:dyDescent="0.25">
      <c r="A767" s="23"/>
      <c r="B767" s="23"/>
    </row>
    <row r="768" spans="1:2" ht="15.75" customHeight="1" x14ac:dyDescent="0.25">
      <c r="A768" s="23"/>
      <c r="B768" s="23"/>
    </row>
    <row r="769" spans="1:2" ht="15.75" customHeight="1" x14ac:dyDescent="0.25">
      <c r="A769" s="23"/>
      <c r="B769" s="23"/>
    </row>
    <row r="770" spans="1:2" ht="15.75" customHeight="1" x14ac:dyDescent="0.25">
      <c r="A770" s="23"/>
      <c r="B770" s="23"/>
    </row>
    <row r="771" spans="1:2" ht="15.75" customHeight="1" x14ac:dyDescent="0.25">
      <c r="A771" s="23"/>
      <c r="B771" s="23"/>
    </row>
    <row r="772" spans="1:2" ht="15.75" customHeight="1" x14ac:dyDescent="0.25">
      <c r="A772" s="23"/>
      <c r="B772" s="23"/>
    </row>
    <row r="773" spans="1:2" ht="15.75" customHeight="1" x14ac:dyDescent="0.25">
      <c r="A773" s="23"/>
      <c r="B773" s="23"/>
    </row>
    <row r="774" spans="1:2" ht="15.75" customHeight="1" x14ac:dyDescent="0.25">
      <c r="A774" s="23"/>
      <c r="B774" s="23"/>
    </row>
    <row r="775" spans="1:2" ht="15.75" customHeight="1" x14ac:dyDescent="0.25">
      <c r="A775" s="23"/>
      <c r="B775" s="23"/>
    </row>
    <row r="776" spans="1:2" ht="15.75" customHeight="1" x14ac:dyDescent="0.25">
      <c r="A776" s="23"/>
      <c r="B776" s="23"/>
    </row>
    <row r="777" spans="1:2" ht="15.75" customHeight="1" x14ac:dyDescent="0.25">
      <c r="A777" s="23"/>
      <c r="B777" s="23"/>
    </row>
    <row r="778" spans="1:2" ht="15.75" customHeight="1" x14ac:dyDescent="0.25">
      <c r="A778" s="23"/>
      <c r="B778" s="23"/>
    </row>
    <row r="779" spans="1:2" ht="15.75" customHeight="1" x14ac:dyDescent="0.25">
      <c r="A779" s="23"/>
      <c r="B779" s="23"/>
    </row>
    <row r="780" spans="1:2" ht="15.75" customHeight="1" x14ac:dyDescent="0.25">
      <c r="A780" s="23"/>
      <c r="B780" s="23"/>
    </row>
    <row r="781" spans="1:2" ht="15.75" customHeight="1" x14ac:dyDescent="0.25">
      <c r="A781" s="23"/>
      <c r="B781" s="23"/>
    </row>
    <row r="782" spans="1:2" ht="15.75" customHeight="1" x14ac:dyDescent="0.25">
      <c r="A782" s="23"/>
      <c r="B782" s="23"/>
    </row>
    <row r="783" spans="1:2" ht="15.75" customHeight="1" x14ac:dyDescent="0.25">
      <c r="A783" s="23"/>
      <c r="B783" s="23"/>
    </row>
    <row r="784" spans="1:2" ht="15.75" customHeight="1" x14ac:dyDescent="0.25">
      <c r="A784" s="23"/>
      <c r="B784" s="23"/>
    </row>
    <row r="785" spans="1:2" ht="15.75" customHeight="1" x14ac:dyDescent="0.25">
      <c r="A785" s="23"/>
      <c r="B785" s="23"/>
    </row>
    <row r="786" spans="1:2" ht="15.75" customHeight="1" x14ac:dyDescent="0.25">
      <c r="A786" s="23"/>
      <c r="B786" s="23"/>
    </row>
    <row r="787" spans="1:2" ht="15.75" customHeight="1" x14ac:dyDescent="0.25">
      <c r="A787" s="23"/>
      <c r="B787" s="23"/>
    </row>
    <row r="788" spans="1:2" ht="15.75" customHeight="1" x14ac:dyDescent="0.25">
      <c r="A788" s="23"/>
      <c r="B788" s="23"/>
    </row>
    <row r="789" spans="1:2" ht="15.75" customHeight="1" x14ac:dyDescent="0.25">
      <c r="A789" s="23"/>
      <c r="B789" s="23"/>
    </row>
    <row r="790" spans="1:2" ht="15.75" customHeight="1" x14ac:dyDescent="0.25">
      <c r="A790" s="23"/>
      <c r="B790" s="23"/>
    </row>
    <row r="791" spans="1:2" ht="15.75" customHeight="1" x14ac:dyDescent="0.25">
      <c r="A791" s="23"/>
      <c r="B791" s="23"/>
    </row>
    <row r="792" spans="1:2" ht="15.75" customHeight="1" x14ac:dyDescent="0.25">
      <c r="A792" s="23"/>
      <c r="B792" s="23"/>
    </row>
    <row r="793" spans="1:2" ht="15.75" customHeight="1" x14ac:dyDescent="0.25">
      <c r="A793" s="23"/>
      <c r="B793" s="23"/>
    </row>
    <row r="794" spans="1:2" ht="15.75" customHeight="1" x14ac:dyDescent="0.25">
      <c r="A794" s="23"/>
      <c r="B794" s="23"/>
    </row>
    <row r="795" spans="1:2" ht="15.75" customHeight="1" x14ac:dyDescent="0.25">
      <c r="A795" s="23"/>
      <c r="B795" s="23"/>
    </row>
    <row r="796" spans="1:2" ht="15.75" customHeight="1" x14ac:dyDescent="0.25">
      <c r="A796" s="23"/>
      <c r="B796" s="23"/>
    </row>
    <row r="797" spans="1:2" ht="15.75" customHeight="1" x14ac:dyDescent="0.25">
      <c r="A797" s="23"/>
      <c r="B797" s="23"/>
    </row>
    <row r="798" spans="1:2" ht="15.75" customHeight="1" x14ac:dyDescent="0.25">
      <c r="A798" s="23"/>
      <c r="B798" s="23"/>
    </row>
    <row r="799" spans="1:2" ht="15.75" customHeight="1" x14ac:dyDescent="0.25">
      <c r="A799" s="23"/>
      <c r="B799" s="23"/>
    </row>
    <row r="800" spans="1:2" ht="15.75" customHeight="1" x14ac:dyDescent="0.25">
      <c r="A800" s="23"/>
      <c r="B800" s="23"/>
    </row>
    <row r="801" spans="1:2" ht="15.75" customHeight="1" x14ac:dyDescent="0.25">
      <c r="A801" s="23"/>
      <c r="B801" s="23"/>
    </row>
    <row r="802" spans="1:2" ht="15.75" customHeight="1" x14ac:dyDescent="0.25">
      <c r="A802" s="23"/>
      <c r="B802" s="23"/>
    </row>
    <row r="803" spans="1:2" ht="15.75" customHeight="1" x14ac:dyDescent="0.25">
      <c r="A803" s="23"/>
      <c r="B803" s="23"/>
    </row>
    <row r="804" spans="1:2" ht="15.75" customHeight="1" x14ac:dyDescent="0.25">
      <c r="A804" s="23"/>
      <c r="B804" s="23"/>
    </row>
    <row r="805" spans="1:2" ht="15.75" customHeight="1" x14ac:dyDescent="0.25">
      <c r="A805" s="23"/>
      <c r="B805" s="23"/>
    </row>
    <row r="806" spans="1:2" ht="15.75" customHeight="1" x14ac:dyDescent="0.25">
      <c r="A806" s="23"/>
      <c r="B806" s="23"/>
    </row>
    <row r="807" spans="1:2" ht="15.75" customHeight="1" x14ac:dyDescent="0.25">
      <c r="A807" s="23"/>
      <c r="B807" s="23"/>
    </row>
    <row r="808" spans="1:2" ht="15.75" customHeight="1" x14ac:dyDescent="0.25">
      <c r="A808" s="23"/>
      <c r="B808" s="23"/>
    </row>
    <row r="809" spans="1:2" ht="15.75" customHeight="1" x14ac:dyDescent="0.25">
      <c r="A809" s="23"/>
      <c r="B809" s="23"/>
    </row>
    <row r="810" spans="1:2" ht="15.75" customHeight="1" x14ac:dyDescent="0.25">
      <c r="A810" s="23"/>
      <c r="B810" s="23"/>
    </row>
    <row r="811" spans="1:2" ht="15.75" customHeight="1" x14ac:dyDescent="0.25">
      <c r="A811" s="23"/>
      <c r="B811" s="23"/>
    </row>
    <row r="812" spans="1:2" ht="15.75" customHeight="1" x14ac:dyDescent="0.25">
      <c r="A812" s="23"/>
      <c r="B812" s="23"/>
    </row>
    <row r="813" spans="1:2" ht="15.75" customHeight="1" x14ac:dyDescent="0.25">
      <c r="A813" s="23"/>
      <c r="B813" s="23"/>
    </row>
    <row r="814" spans="1:2" ht="15.75" customHeight="1" x14ac:dyDescent="0.25">
      <c r="A814" s="23"/>
      <c r="B814" s="23"/>
    </row>
    <row r="815" spans="1:2" ht="15.75" customHeight="1" x14ac:dyDescent="0.25">
      <c r="A815" s="23"/>
      <c r="B815" s="23"/>
    </row>
    <row r="816" spans="1:2" ht="15.75" customHeight="1" x14ac:dyDescent="0.25">
      <c r="A816" s="23"/>
      <c r="B816" s="23"/>
    </row>
    <row r="817" spans="1:2" ht="15.75" customHeight="1" x14ac:dyDescent="0.25">
      <c r="A817" s="23"/>
      <c r="B817" s="23"/>
    </row>
    <row r="818" spans="1:2" ht="15.75" customHeight="1" x14ac:dyDescent="0.25">
      <c r="A818" s="23"/>
      <c r="B818" s="23"/>
    </row>
    <row r="819" spans="1:2" ht="15.75" customHeight="1" x14ac:dyDescent="0.25">
      <c r="A819" s="23"/>
      <c r="B819" s="23"/>
    </row>
    <row r="820" spans="1:2" ht="15.75" customHeight="1" x14ac:dyDescent="0.25">
      <c r="A820" s="23"/>
      <c r="B820" s="23"/>
    </row>
    <row r="821" spans="1:2" ht="15.75" customHeight="1" x14ac:dyDescent="0.25">
      <c r="A821" s="23"/>
      <c r="B821" s="23"/>
    </row>
    <row r="822" spans="1:2" ht="15.75" customHeight="1" x14ac:dyDescent="0.25">
      <c r="A822" s="23"/>
      <c r="B822" s="23"/>
    </row>
    <row r="823" spans="1:2" ht="15.75" customHeight="1" x14ac:dyDescent="0.25">
      <c r="A823" s="23"/>
      <c r="B823" s="23"/>
    </row>
    <row r="824" spans="1:2" ht="15.75" customHeight="1" x14ac:dyDescent="0.25">
      <c r="A824" s="23"/>
      <c r="B824" s="23"/>
    </row>
    <row r="825" spans="1:2" ht="15.75" customHeight="1" x14ac:dyDescent="0.25">
      <c r="A825" s="23"/>
      <c r="B825" s="23"/>
    </row>
    <row r="826" spans="1:2" ht="15.75" customHeight="1" x14ac:dyDescent="0.25">
      <c r="A826" s="23"/>
      <c r="B826" s="23"/>
    </row>
    <row r="827" spans="1:2" ht="15.75" customHeight="1" x14ac:dyDescent="0.25">
      <c r="A827" s="23"/>
      <c r="B827" s="23"/>
    </row>
    <row r="828" spans="1:2" ht="15.75" customHeight="1" x14ac:dyDescent="0.25">
      <c r="A828" s="23"/>
      <c r="B828" s="23"/>
    </row>
    <row r="829" spans="1:2" ht="15.75" customHeight="1" x14ac:dyDescent="0.25">
      <c r="A829" s="23"/>
      <c r="B829" s="23"/>
    </row>
    <row r="830" spans="1:2" ht="15.75" customHeight="1" x14ac:dyDescent="0.25">
      <c r="A830" s="23"/>
      <c r="B830" s="23"/>
    </row>
    <row r="831" spans="1:2" ht="15.75" customHeight="1" x14ac:dyDescent="0.25">
      <c r="A831" s="23"/>
      <c r="B831" s="23"/>
    </row>
    <row r="832" spans="1:2" ht="15.75" customHeight="1" x14ac:dyDescent="0.25">
      <c r="A832" s="23"/>
      <c r="B832" s="23"/>
    </row>
    <row r="833" spans="1:2" ht="15.75" customHeight="1" x14ac:dyDescent="0.25">
      <c r="A833" s="23"/>
      <c r="B833" s="23"/>
    </row>
    <row r="834" spans="1:2" ht="15.75" customHeight="1" x14ac:dyDescent="0.25">
      <c r="A834" s="23"/>
      <c r="B834" s="23"/>
    </row>
    <row r="835" spans="1:2" ht="15.75" customHeight="1" x14ac:dyDescent="0.25">
      <c r="A835" s="23"/>
      <c r="B835" s="23"/>
    </row>
    <row r="836" spans="1:2" ht="15.75" customHeight="1" x14ac:dyDescent="0.25">
      <c r="A836" s="23"/>
      <c r="B836" s="23"/>
    </row>
    <row r="837" spans="1:2" ht="15.75" customHeight="1" x14ac:dyDescent="0.25">
      <c r="A837" s="23"/>
      <c r="B837" s="23"/>
    </row>
    <row r="838" spans="1:2" ht="15.75" customHeight="1" x14ac:dyDescent="0.25">
      <c r="A838" s="23"/>
      <c r="B838" s="23"/>
    </row>
    <row r="839" spans="1:2" ht="15.75" customHeight="1" x14ac:dyDescent="0.25">
      <c r="A839" s="23"/>
      <c r="B839" s="23"/>
    </row>
    <row r="840" spans="1:2" ht="15.75" customHeight="1" x14ac:dyDescent="0.25">
      <c r="A840" s="23"/>
      <c r="B840" s="23"/>
    </row>
    <row r="841" spans="1:2" ht="15.75" customHeight="1" x14ac:dyDescent="0.25">
      <c r="A841" s="23"/>
      <c r="B841" s="23"/>
    </row>
    <row r="842" spans="1:2" ht="15.75" customHeight="1" x14ac:dyDescent="0.25">
      <c r="A842" s="23"/>
      <c r="B842" s="23"/>
    </row>
    <row r="843" spans="1:2" ht="15.75" customHeight="1" x14ac:dyDescent="0.25">
      <c r="A843" s="23"/>
      <c r="B843" s="23"/>
    </row>
    <row r="844" spans="1:2" ht="15.75" customHeight="1" x14ac:dyDescent="0.25">
      <c r="A844" s="23"/>
      <c r="B844" s="23"/>
    </row>
    <row r="845" spans="1:2" ht="15.75" customHeight="1" x14ac:dyDescent="0.25">
      <c r="A845" s="23"/>
      <c r="B845" s="23"/>
    </row>
    <row r="846" spans="1:2" ht="15.75" customHeight="1" x14ac:dyDescent="0.25">
      <c r="A846" s="23"/>
      <c r="B846" s="23"/>
    </row>
    <row r="847" spans="1:2" ht="15.75" customHeight="1" x14ac:dyDescent="0.25">
      <c r="A847" s="23"/>
      <c r="B847" s="23"/>
    </row>
    <row r="848" spans="1:2" ht="15.75" customHeight="1" x14ac:dyDescent="0.25">
      <c r="A848" s="23"/>
      <c r="B848" s="23"/>
    </row>
    <row r="849" spans="1:2" ht="15.75" customHeight="1" x14ac:dyDescent="0.25">
      <c r="A849" s="23"/>
      <c r="B849" s="23"/>
    </row>
    <row r="850" spans="1:2" ht="15.75" customHeight="1" x14ac:dyDescent="0.25">
      <c r="A850" s="23"/>
      <c r="B850" s="23"/>
    </row>
    <row r="851" spans="1:2" ht="15.75" customHeight="1" x14ac:dyDescent="0.25">
      <c r="A851" s="23"/>
      <c r="B851" s="23"/>
    </row>
    <row r="852" spans="1:2" ht="15.75" customHeight="1" x14ac:dyDescent="0.25">
      <c r="A852" s="23"/>
      <c r="B852" s="23"/>
    </row>
    <row r="853" spans="1:2" ht="15.75" customHeight="1" x14ac:dyDescent="0.25">
      <c r="A853" s="23"/>
      <c r="B853" s="23"/>
    </row>
    <row r="854" spans="1:2" ht="15.75" customHeight="1" x14ac:dyDescent="0.25">
      <c r="A854" s="23"/>
      <c r="B854" s="23"/>
    </row>
    <row r="855" spans="1:2" ht="15.75" customHeight="1" x14ac:dyDescent="0.25">
      <c r="A855" s="23"/>
      <c r="B855" s="23"/>
    </row>
    <row r="856" spans="1:2" ht="15.75" customHeight="1" x14ac:dyDescent="0.25">
      <c r="A856" s="23"/>
      <c r="B856" s="23"/>
    </row>
    <row r="857" spans="1:2" ht="15.75" customHeight="1" x14ac:dyDescent="0.25">
      <c r="A857" s="23"/>
      <c r="B857" s="23"/>
    </row>
    <row r="858" spans="1:2" ht="15.75" customHeight="1" x14ac:dyDescent="0.25">
      <c r="A858" s="23"/>
      <c r="B858" s="23"/>
    </row>
    <row r="859" spans="1:2" ht="15.75" customHeight="1" x14ac:dyDescent="0.25">
      <c r="A859" s="23"/>
      <c r="B859" s="23"/>
    </row>
    <row r="860" spans="1:2" ht="15.75" customHeight="1" x14ac:dyDescent="0.25">
      <c r="A860" s="23"/>
      <c r="B860" s="23"/>
    </row>
    <row r="861" spans="1:2" ht="15.75" customHeight="1" x14ac:dyDescent="0.25">
      <c r="A861" s="23"/>
      <c r="B861" s="23"/>
    </row>
    <row r="862" spans="1:2" ht="15.75" customHeight="1" x14ac:dyDescent="0.25">
      <c r="A862" s="23"/>
      <c r="B862" s="23"/>
    </row>
    <row r="863" spans="1:2" ht="15.75" customHeight="1" x14ac:dyDescent="0.25">
      <c r="A863" s="23"/>
      <c r="B863" s="23"/>
    </row>
    <row r="864" spans="1:2" ht="15.75" customHeight="1" x14ac:dyDescent="0.25">
      <c r="A864" s="23"/>
      <c r="B864" s="23"/>
    </row>
    <row r="865" spans="1:2" ht="15.75" customHeight="1" x14ac:dyDescent="0.25">
      <c r="A865" s="23"/>
      <c r="B865" s="23"/>
    </row>
    <row r="866" spans="1:2" ht="15.75" customHeight="1" x14ac:dyDescent="0.25">
      <c r="A866" s="23"/>
      <c r="B866" s="23"/>
    </row>
    <row r="867" spans="1:2" ht="15.75" customHeight="1" x14ac:dyDescent="0.25">
      <c r="A867" s="23"/>
      <c r="B867" s="23"/>
    </row>
    <row r="868" spans="1:2" ht="15.75" customHeight="1" x14ac:dyDescent="0.25">
      <c r="A868" s="23"/>
      <c r="B868" s="23"/>
    </row>
    <row r="869" spans="1:2" ht="15.75" customHeight="1" x14ac:dyDescent="0.25">
      <c r="A869" s="23"/>
      <c r="B869" s="23"/>
    </row>
    <row r="870" spans="1:2" ht="15.75" customHeight="1" x14ac:dyDescent="0.25">
      <c r="A870" s="23"/>
      <c r="B870" s="23"/>
    </row>
    <row r="871" spans="1:2" ht="15.75" customHeight="1" x14ac:dyDescent="0.25">
      <c r="A871" s="23"/>
      <c r="B871" s="23"/>
    </row>
    <row r="872" spans="1:2" ht="15.75" customHeight="1" x14ac:dyDescent="0.25">
      <c r="A872" s="23"/>
      <c r="B872" s="23"/>
    </row>
    <row r="873" spans="1:2" ht="15.75" customHeight="1" x14ac:dyDescent="0.25">
      <c r="A873" s="23"/>
      <c r="B873" s="23"/>
    </row>
    <row r="874" spans="1:2" ht="15.75" customHeight="1" x14ac:dyDescent="0.25">
      <c r="A874" s="23"/>
      <c r="B874" s="23"/>
    </row>
    <row r="875" spans="1:2" ht="15.75" customHeight="1" x14ac:dyDescent="0.25">
      <c r="A875" s="23"/>
      <c r="B875" s="23"/>
    </row>
    <row r="876" spans="1:2" ht="15.75" customHeight="1" x14ac:dyDescent="0.25">
      <c r="A876" s="23"/>
      <c r="B876" s="23"/>
    </row>
    <row r="877" spans="1:2" ht="15.75" customHeight="1" x14ac:dyDescent="0.25">
      <c r="A877" s="23"/>
      <c r="B877" s="23"/>
    </row>
    <row r="878" spans="1:2" ht="15.75" customHeight="1" x14ac:dyDescent="0.25">
      <c r="A878" s="23"/>
      <c r="B878" s="23"/>
    </row>
    <row r="879" spans="1:2" ht="15.75" customHeight="1" x14ac:dyDescent="0.25">
      <c r="A879" s="23"/>
      <c r="B879" s="23"/>
    </row>
    <row r="880" spans="1:2" ht="15.75" customHeight="1" x14ac:dyDescent="0.25">
      <c r="A880" s="23"/>
      <c r="B880" s="23"/>
    </row>
    <row r="881" spans="1:2" ht="15.75" customHeight="1" x14ac:dyDescent="0.25">
      <c r="A881" s="23"/>
      <c r="B881" s="23"/>
    </row>
    <row r="882" spans="1:2" ht="15.75" customHeight="1" x14ac:dyDescent="0.25">
      <c r="A882" s="23"/>
      <c r="B882" s="23"/>
    </row>
    <row r="883" spans="1:2" ht="15.75" customHeight="1" x14ac:dyDescent="0.25">
      <c r="A883" s="23"/>
      <c r="B883" s="23"/>
    </row>
    <row r="884" spans="1:2" ht="15.75" customHeight="1" x14ac:dyDescent="0.25">
      <c r="A884" s="23"/>
      <c r="B884" s="23"/>
    </row>
    <row r="885" spans="1:2" ht="15.75" customHeight="1" x14ac:dyDescent="0.25">
      <c r="A885" s="23"/>
      <c r="B885" s="23"/>
    </row>
    <row r="886" spans="1:2" ht="15.75" customHeight="1" x14ac:dyDescent="0.25">
      <c r="A886" s="23"/>
      <c r="B886" s="23"/>
    </row>
    <row r="887" spans="1:2" ht="15.75" customHeight="1" x14ac:dyDescent="0.25">
      <c r="A887" s="23"/>
      <c r="B887" s="23"/>
    </row>
    <row r="888" spans="1:2" ht="15.75" customHeight="1" x14ac:dyDescent="0.25">
      <c r="A888" s="23"/>
      <c r="B888" s="23"/>
    </row>
    <row r="889" spans="1:2" ht="15.75" customHeight="1" x14ac:dyDescent="0.25">
      <c r="A889" s="23"/>
      <c r="B889" s="23"/>
    </row>
    <row r="890" spans="1:2" ht="15.75" customHeight="1" x14ac:dyDescent="0.25">
      <c r="A890" s="23"/>
      <c r="B890" s="23"/>
    </row>
    <row r="891" spans="1:2" ht="15.75" customHeight="1" x14ac:dyDescent="0.25">
      <c r="A891" s="23"/>
      <c r="B891" s="23"/>
    </row>
    <row r="892" spans="1:2" ht="15.75" customHeight="1" x14ac:dyDescent="0.25">
      <c r="A892" s="23"/>
      <c r="B892" s="23"/>
    </row>
    <row r="893" spans="1:2" ht="15.75" customHeight="1" x14ac:dyDescent="0.25">
      <c r="A893" s="23"/>
      <c r="B893" s="23"/>
    </row>
    <row r="894" spans="1:2" ht="15.75" customHeight="1" x14ac:dyDescent="0.25">
      <c r="A894" s="23"/>
      <c r="B894" s="23"/>
    </row>
    <row r="895" spans="1:2" ht="15.75" customHeight="1" x14ac:dyDescent="0.25">
      <c r="A895" s="23"/>
      <c r="B895" s="23"/>
    </row>
    <row r="896" spans="1:2" ht="15.75" customHeight="1" x14ac:dyDescent="0.25">
      <c r="A896" s="23"/>
      <c r="B896" s="23"/>
    </row>
    <row r="897" spans="1:2" ht="15.75" customHeight="1" x14ac:dyDescent="0.25">
      <c r="A897" s="23"/>
      <c r="B897" s="23"/>
    </row>
    <row r="898" spans="1:2" ht="15.75" customHeight="1" x14ac:dyDescent="0.25">
      <c r="A898" s="23"/>
      <c r="B898" s="23"/>
    </row>
    <row r="899" spans="1:2" ht="15.75" customHeight="1" x14ac:dyDescent="0.25">
      <c r="A899" s="23"/>
      <c r="B899" s="23"/>
    </row>
    <row r="900" spans="1:2" ht="15.75" customHeight="1" x14ac:dyDescent="0.25">
      <c r="A900" s="23"/>
      <c r="B900" s="23"/>
    </row>
    <row r="901" spans="1:2" ht="15.75" customHeight="1" x14ac:dyDescent="0.25">
      <c r="A901" s="23"/>
      <c r="B901" s="23"/>
    </row>
    <row r="902" spans="1:2" ht="15.75" customHeight="1" x14ac:dyDescent="0.25">
      <c r="A902" s="23"/>
      <c r="B902" s="23"/>
    </row>
    <row r="903" spans="1:2" ht="15.75" customHeight="1" x14ac:dyDescent="0.25">
      <c r="A903" s="23"/>
      <c r="B903" s="23"/>
    </row>
    <row r="904" spans="1:2" ht="15.75" customHeight="1" x14ac:dyDescent="0.25">
      <c r="A904" s="23"/>
      <c r="B904" s="23"/>
    </row>
    <row r="905" spans="1:2" ht="15.75" customHeight="1" x14ac:dyDescent="0.25">
      <c r="A905" s="23"/>
      <c r="B905" s="23"/>
    </row>
    <row r="906" spans="1:2" ht="15.75" customHeight="1" x14ac:dyDescent="0.25">
      <c r="A906" s="23"/>
      <c r="B906" s="23"/>
    </row>
    <row r="907" spans="1:2" ht="15.75" customHeight="1" x14ac:dyDescent="0.25">
      <c r="A907" s="23"/>
      <c r="B907" s="23"/>
    </row>
    <row r="908" spans="1:2" ht="15.75" customHeight="1" x14ac:dyDescent="0.25">
      <c r="A908" s="23"/>
      <c r="B908" s="23"/>
    </row>
    <row r="909" spans="1:2" ht="15.75" customHeight="1" x14ac:dyDescent="0.25">
      <c r="A909" s="23"/>
      <c r="B909" s="23"/>
    </row>
    <row r="910" spans="1:2" ht="15.75" customHeight="1" x14ac:dyDescent="0.25">
      <c r="A910" s="23"/>
      <c r="B910" s="23"/>
    </row>
    <row r="911" spans="1:2" ht="15.75" customHeight="1" x14ac:dyDescent="0.25">
      <c r="A911" s="23"/>
      <c r="B911" s="23"/>
    </row>
    <row r="912" spans="1:2" ht="15.75" customHeight="1" x14ac:dyDescent="0.25">
      <c r="A912" s="23"/>
      <c r="B912" s="23"/>
    </row>
    <row r="913" spans="1:2" ht="15.75" customHeight="1" x14ac:dyDescent="0.25">
      <c r="A913" s="23"/>
      <c r="B913" s="23"/>
    </row>
    <row r="914" spans="1:2" ht="15.75" customHeight="1" x14ac:dyDescent="0.25">
      <c r="A914" s="23"/>
      <c r="B914" s="23"/>
    </row>
    <row r="915" spans="1:2" ht="15.75" customHeight="1" x14ac:dyDescent="0.25">
      <c r="A915" s="23"/>
      <c r="B915" s="23"/>
    </row>
    <row r="916" spans="1:2" ht="15.75" customHeight="1" x14ac:dyDescent="0.25">
      <c r="A916" s="23"/>
      <c r="B916" s="23"/>
    </row>
    <row r="917" spans="1:2" ht="15.75" customHeight="1" x14ac:dyDescent="0.25">
      <c r="A917" s="23"/>
      <c r="B917" s="23"/>
    </row>
    <row r="918" spans="1:2" ht="15.75" customHeight="1" x14ac:dyDescent="0.25">
      <c r="A918" s="23"/>
      <c r="B918" s="23"/>
    </row>
    <row r="919" spans="1:2" ht="15.75" customHeight="1" x14ac:dyDescent="0.25">
      <c r="A919" s="23"/>
      <c r="B919" s="23"/>
    </row>
    <row r="920" spans="1:2" ht="15.75" customHeight="1" x14ac:dyDescent="0.25">
      <c r="A920" s="23"/>
      <c r="B920" s="23"/>
    </row>
    <row r="921" spans="1:2" ht="15.75" customHeight="1" x14ac:dyDescent="0.25">
      <c r="A921" s="23"/>
      <c r="B921" s="23"/>
    </row>
    <row r="922" spans="1:2" ht="15.75" customHeight="1" x14ac:dyDescent="0.25">
      <c r="A922" s="23"/>
      <c r="B922" s="23"/>
    </row>
    <row r="923" spans="1:2" ht="15.75" customHeight="1" x14ac:dyDescent="0.25">
      <c r="A923" s="23"/>
      <c r="B923" s="23"/>
    </row>
    <row r="924" spans="1:2" ht="15.75" customHeight="1" x14ac:dyDescent="0.25">
      <c r="A924" s="23"/>
      <c r="B924" s="23"/>
    </row>
    <row r="925" spans="1:2" ht="15.75" customHeight="1" x14ac:dyDescent="0.25">
      <c r="A925" s="23"/>
      <c r="B925" s="23"/>
    </row>
    <row r="926" spans="1:2" ht="15.75" customHeight="1" x14ac:dyDescent="0.25">
      <c r="A926" s="23"/>
      <c r="B926" s="23"/>
    </row>
    <row r="927" spans="1:2" ht="15.75" customHeight="1" x14ac:dyDescent="0.25">
      <c r="A927" s="23"/>
      <c r="B927" s="23"/>
    </row>
    <row r="928" spans="1:2" ht="15.75" customHeight="1" x14ac:dyDescent="0.25">
      <c r="A928" s="23"/>
      <c r="B928" s="23"/>
    </row>
    <row r="929" spans="1:2" ht="15.75" customHeight="1" x14ac:dyDescent="0.25">
      <c r="A929" s="23"/>
      <c r="B929" s="23"/>
    </row>
    <row r="930" spans="1:2" ht="15.75" customHeight="1" x14ac:dyDescent="0.25">
      <c r="A930" s="23"/>
      <c r="B930" s="23"/>
    </row>
    <row r="931" spans="1:2" ht="15.75" customHeight="1" x14ac:dyDescent="0.25">
      <c r="A931" s="23"/>
      <c r="B931" s="23"/>
    </row>
    <row r="932" spans="1:2" ht="15.75" customHeight="1" x14ac:dyDescent="0.25">
      <c r="A932" s="23"/>
      <c r="B932" s="23"/>
    </row>
    <row r="933" spans="1:2" ht="15.75" customHeight="1" x14ac:dyDescent="0.25">
      <c r="A933" s="23"/>
      <c r="B933" s="23"/>
    </row>
    <row r="934" spans="1:2" ht="15.75" customHeight="1" x14ac:dyDescent="0.25">
      <c r="A934" s="23"/>
      <c r="B934" s="23"/>
    </row>
    <row r="935" spans="1:2" ht="15.75" customHeight="1" x14ac:dyDescent="0.25">
      <c r="A935" s="23"/>
      <c r="B935" s="23"/>
    </row>
    <row r="936" spans="1:2" ht="15.75" customHeight="1" x14ac:dyDescent="0.25">
      <c r="A936" s="23"/>
      <c r="B936" s="23"/>
    </row>
    <row r="937" spans="1:2" ht="15.75" customHeight="1" x14ac:dyDescent="0.25">
      <c r="A937" s="23"/>
      <c r="B937" s="23"/>
    </row>
    <row r="938" spans="1:2" ht="15.75" customHeight="1" x14ac:dyDescent="0.25">
      <c r="A938" s="23"/>
      <c r="B938" s="23"/>
    </row>
    <row r="939" spans="1:2" ht="15.75" customHeight="1" x14ac:dyDescent="0.25">
      <c r="A939" s="23"/>
      <c r="B939" s="23"/>
    </row>
    <row r="940" spans="1:2" ht="15.75" customHeight="1" x14ac:dyDescent="0.25">
      <c r="A940" s="23"/>
      <c r="B940" s="23"/>
    </row>
    <row r="941" spans="1:2" ht="15.75" customHeight="1" x14ac:dyDescent="0.25">
      <c r="A941" s="23"/>
      <c r="B941" s="23"/>
    </row>
    <row r="942" spans="1:2" ht="15.75" customHeight="1" x14ac:dyDescent="0.25">
      <c r="A942" s="23"/>
      <c r="B942" s="23"/>
    </row>
    <row r="943" spans="1:2" ht="15.75" customHeight="1" x14ac:dyDescent="0.25">
      <c r="A943" s="23"/>
      <c r="B943" s="23"/>
    </row>
    <row r="944" spans="1:2" ht="15.75" customHeight="1" x14ac:dyDescent="0.25">
      <c r="A944" s="23"/>
      <c r="B944" s="23"/>
    </row>
    <row r="945" spans="1:2" ht="15.75" customHeight="1" x14ac:dyDescent="0.25">
      <c r="A945" s="23"/>
      <c r="B945" s="23"/>
    </row>
    <row r="946" spans="1:2" ht="15.75" customHeight="1" x14ac:dyDescent="0.25">
      <c r="A946" s="23"/>
      <c r="B946" s="23"/>
    </row>
    <row r="947" spans="1:2" ht="15.75" customHeight="1" x14ac:dyDescent="0.25">
      <c r="A947" s="23"/>
      <c r="B947" s="23"/>
    </row>
    <row r="948" spans="1:2" ht="15.75" customHeight="1" x14ac:dyDescent="0.25">
      <c r="A948" s="23"/>
      <c r="B948" s="23"/>
    </row>
    <row r="949" spans="1:2" ht="15.75" customHeight="1" x14ac:dyDescent="0.25">
      <c r="A949" s="23"/>
      <c r="B949" s="23"/>
    </row>
    <row r="950" spans="1:2" ht="15.75" customHeight="1" x14ac:dyDescent="0.25">
      <c r="A950" s="23"/>
      <c r="B950" s="23"/>
    </row>
    <row r="951" spans="1:2" ht="15.75" customHeight="1" x14ac:dyDescent="0.25">
      <c r="A951" s="23"/>
      <c r="B951" s="23"/>
    </row>
    <row r="952" spans="1:2" ht="15.75" customHeight="1" x14ac:dyDescent="0.25">
      <c r="A952" s="23"/>
      <c r="B952" s="23"/>
    </row>
    <row r="953" spans="1:2" ht="15.75" customHeight="1" x14ac:dyDescent="0.25">
      <c r="A953" s="23"/>
      <c r="B953" s="23"/>
    </row>
    <row r="954" spans="1:2" ht="15.75" customHeight="1" x14ac:dyDescent="0.25">
      <c r="A954" s="23"/>
      <c r="B954" s="23"/>
    </row>
    <row r="955" spans="1:2" ht="15.75" customHeight="1" x14ac:dyDescent="0.25">
      <c r="A955" s="23"/>
      <c r="B955" s="23"/>
    </row>
    <row r="956" spans="1:2" ht="15.75" customHeight="1" x14ac:dyDescent="0.25">
      <c r="A956" s="23"/>
      <c r="B956" s="23"/>
    </row>
    <row r="957" spans="1:2" ht="15.75" customHeight="1" x14ac:dyDescent="0.25">
      <c r="A957" s="23"/>
      <c r="B957" s="23"/>
    </row>
    <row r="958" spans="1:2" ht="15.75" customHeight="1" x14ac:dyDescent="0.25">
      <c r="A958" s="23"/>
      <c r="B958" s="23"/>
    </row>
    <row r="959" spans="1:2" ht="15.75" customHeight="1" x14ac:dyDescent="0.25">
      <c r="A959" s="23"/>
      <c r="B959" s="23"/>
    </row>
    <row r="960" spans="1:2" ht="15.75" customHeight="1" x14ac:dyDescent="0.25">
      <c r="A960" s="23"/>
      <c r="B960" s="23"/>
    </row>
    <row r="961" spans="1:2" ht="15.75" customHeight="1" x14ac:dyDescent="0.25">
      <c r="A961" s="23"/>
      <c r="B961" s="23"/>
    </row>
    <row r="962" spans="1:2" ht="15.75" customHeight="1" x14ac:dyDescent="0.25">
      <c r="A962" s="23"/>
      <c r="B962" s="23"/>
    </row>
    <row r="963" spans="1:2" ht="15.75" customHeight="1" x14ac:dyDescent="0.25">
      <c r="A963" s="23"/>
      <c r="B963" s="23"/>
    </row>
    <row r="964" spans="1:2" ht="15.75" customHeight="1" x14ac:dyDescent="0.25">
      <c r="A964" s="23"/>
      <c r="B964" s="23"/>
    </row>
    <row r="965" spans="1:2" ht="15.75" customHeight="1" x14ac:dyDescent="0.25">
      <c r="A965" s="23"/>
      <c r="B965" s="23"/>
    </row>
    <row r="966" spans="1:2" ht="15.75" customHeight="1" x14ac:dyDescent="0.25">
      <c r="A966" s="23"/>
      <c r="B966" s="23"/>
    </row>
    <row r="967" spans="1:2" ht="15.75" customHeight="1" x14ac:dyDescent="0.25">
      <c r="A967" s="23"/>
      <c r="B967" s="23"/>
    </row>
    <row r="968" spans="1:2" ht="15.75" customHeight="1" x14ac:dyDescent="0.25">
      <c r="A968" s="23"/>
      <c r="B968" s="23"/>
    </row>
    <row r="969" spans="1:2" ht="15.75" customHeight="1" x14ac:dyDescent="0.25">
      <c r="A969" s="23"/>
      <c r="B969" s="23"/>
    </row>
    <row r="970" spans="1:2" ht="15.75" customHeight="1" x14ac:dyDescent="0.25">
      <c r="A970" s="23"/>
      <c r="B970" s="23"/>
    </row>
    <row r="971" spans="1:2" ht="15.75" customHeight="1" x14ac:dyDescent="0.25">
      <c r="A971" s="23"/>
      <c r="B971" s="23"/>
    </row>
    <row r="972" spans="1:2" ht="15.75" customHeight="1" x14ac:dyDescent="0.25">
      <c r="A972" s="23"/>
      <c r="B972" s="23"/>
    </row>
    <row r="973" spans="1:2" ht="15.75" customHeight="1" x14ac:dyDescent="0.25">
      <c r="A973" s="23"/>
      <c r="B973" s="23"/>
    </row>
    <row r="974" spans="1:2" ht="15.75" customHeight="1" x14ac:dyDescent="0.25">
      <c r="A974" s="23"/>
      <c r="B974" s="23"/>
    </row>
    <row r="975" spans="1:2" ht="15.75" customHeight="1" x14ac:dyDescent="0.25">
      <c r="A975" s="23"/>
      <c r="B975" s="23"/>
    </row>
    <row r="976" spans="1:2" ht="15.75" customHeight="1" x14ac:dyDescent="0.25">
      <c r="A976" s="23"/>
      <c r="B976" s="23"/>
    </row>
    <row r="977" spans="1:2" ht="15.75" customHeight="1" x14ac:dyDescent="0.25">
      <c r="A977" s="23"/>
      <c r="B977" s="23"/>
    </row>
    <row r="978" spans="1:2" ht="15.75" customHeight="1" x14ac:dyDescent="0.25">
      <c r="A978" s="23"/>
      <c r="B978" s="23"/>
    </row>
    <row r="979" spans="1:2" ht="15.75" customHeight="1" x14ac:dyDescent="0.25">
      <c r="A979" s="23"/>
      <c r="B979" s="23"/>
    </row>
    <row r="980" spans="1:2" ht="15.75" customHeight="1" x14ac:dyDescent="0.25">
      <c r="A980" s="23"/>
      <c r="B980" s="23"/>
    </row>
    <row r="981" spans="1:2" ht="15.75" customHeight="1" x14ac:dyDescent="0.25">
      <c r="A981" s="23"/>
      <c r="B981" s="23"/>
    </row>
    <row r="982" spans="1:2" ht="15.75" customHeight="1" x14ac:dyDescent="0.25">
      <c r="A982" s="23"/>
      <c r="B982" s="23"/>
    </row>
    <row r="983" spans="1:2" ht="15.75" customHeight="1" x14ac:dyDescent="0.25">
      <c r="A983" s="23"/>
      <c r="B983" s="23"/>
    </row>
    <row r="984" spans="1:2" ht="15.75" customHeight="1" x14ac:dyDescent="0.25">
      <c r="A984" s="23"/>
      <c r="B984" s="23"/>
    </row>
    <row r="985" spans="1:2" ht="15.75" customHeight="1" x14ac:dyDescent="0.25">
      <c r="A985" s="23"/>
      <c r="B985" s="23"/>
    </row>
    <row r="986" spans="1:2" ht="15.75" customHeight="1" x14ac:dyDescent="0.25">
      <c r="A986" s="23"/>
      <c r="B986" s="23"/>
    </row>
    <row r="987" spans="1:2" ht="15.75" customHeight="1" x14ac:dyDescent="0.25">
      <c r="A987" s="23"/>
      <c r="B987" s="23"/>
    </row>
    <row r="988" spans="1:2" ht="15.75" customHeight="1" x14ac:dyDescent="0.25">
      <c r="A988" s="23"/>
      <c r="B988" s="23"/>
    </row>
    <row r="989" spans="1:2" ht="15.75" customHeight="1" x14ac:dyDescent="0.25">
      <c r="A989" s="23"/>
      <c r="B989" s="23"/>
    </row>
    <row r="990" spans="1:2" ht="15.75" customHeight="1" x14ac:dyDescent="0.25">
      <c r="A990" s="23"/>
      <c r="B990" s="23"/>
    </row>
    <row r="991" spans="1:2" ht="15.75" customHeight="1" x14ac:dyDescent="0.25">
      <c r="A991" s="23"/>
      <c r="B991" s="23"/>
    </row>
    <row r="992" spans="1:2" ht="15.75" customHeight="1" x14ac:dyDescent="0.25">
      <c r="A992" s="23"/>
      <c r="B992" s="23"/>
    </row>
    <row r="993" spans="1:2" ht="15.75" customHeight="1" x14ac:dyDescent="0.25">
      <c r="A993" s="23"/>
      <c r="B993" s="23"/>
    </row>
    <row r="994" spans="1:2" ht="15.75" customHeight="1" x14ac:dyDescent="0.25">
      <c r="A994" s="23"/>
      <c r="B994" s="23"/>
    </row>
    <row r="995" spans="1:2" ht="15.75" customHeight="1" x14ac:dyDescent="0.25">
      <c r="A995" s="23"/>
      <c r="B995" s="23"/>
    </row>
    <row r="996" spans="1:2" ht="15.75" customHeight="1" x14ac:dyDescent="0.25">
      <c r="A996" s="23"/>
      <c r="B996" s="23"/>
    </row>
    <row r="997" spans="1:2" ht="15.75" customHeight="1" x14ac:dyDescent="0.25">
      <c r="A997" s="23"/>
      <c r="B997" s="23"/>
    </row>
    <row r="998" spans="1:2" ht="15.75" customHeight="1" x14ac:dyDescent="0.25">
      <c r="A998" s="23"/>
      <c r="B998" s="23"/>
    </row>
    <row r="999" spans="1:2" ht="15.75" customHeight="1" x14ac:dyDescent="0.25">
      <c r="A999" s="23"/>
      <c r="B999" s="23"/>
    </row>
    <row r="1000" spans="1:2" ht="15.75" customHeight="1" x14ac:dyDescent="0.25">
      <c r="A1000" s="23"/>
      <c r="B1000" s="23"/>
    </row>
  </sheetData>
  <autoFilter ref="A1:B1">
    <sortState ref="A2:B38">
      <sortCondition ref="B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L3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0"/>
  <sheetViews>
    <sheetView workbookViewId="0"/>
  </sheetViews>
  <sheetFormatPr defaultRowHeight="15" x14ac:dyDescent="0.25"/>
  <sheetData>
    <row r="1" spans="1:2" x14ac:dyDescent="0.25">
      <c r="A1" t="s">
        <v>62</v>
      </c>
      <c r="B1">
        <v>1.88563782198456</v>
      </c>
    </row>
    <row r="2" spans="1:2" x14ac:dyDescent="0.25">
      <c r="A2" t="s">
        <v>63</v>
      </c>
      <c r="B2">
        <v>4.33219042477754</v>
      </c>
    </row>
    <row r="3" spans="1:2" x14ac:dyDescent="0.25">
      <c r="A3" t="s">
        <v>64</v>
      </c>
      <c r="B3">
        <v>18.023723845739799</v>
      </c>
    </row>
    <row r="4" spans="1:2" x14ac:dyDescent="0.25">
      <c r="A4" t="s">
        <v>66</v>
      </c>
      <c r="B4">
        <v>9.6140786918237797</v>
      </c>
    </row>
    <row r="5" spans="1:2" x14ac:dyDescent="0.25">
      <c r="A5" t="s">
        <v>67</v>
      </c>
      <c r="B5">
        <v>-2.7990078936292302</v>
      </c>
    </row>
    <row r="6" spans="1:2" x14ac:dyDescent="0.25">
      <c r="A6" t="s">
        <v>68</v>
      </c>
      <c r="B6">
        <v>0.26642950707521101</v>
      </c>
    </row>
    <row r="7" spans="1:2" x14ac:dyDescent="0.25">
      <c r="A7" t="s">
        <v>69</v>
      </c>
      <c r="B7">
        <v>-3.7325022021383401</v>
      </c>
    </row>
    <row r="8" spans="1:2" x14ac:dyDescent="0.25">
      <c r="A8" t="s">
        <v>70</v>
      </c>
      <c r="B8">
        <v>-12.9599305108687</v>
      </c>
    </row>
    <row r="9" spans="1:2" x14ac:dyDescent="0.25">
      <c r="A9" t="s">
        <v>71</v>
      </c>
      <c r="B9">
        <v>13.365994303350799</v>
      </c>
    </row>
    <row r="10" spans="1:2" x14ac:dyDescent="0.25">
      <c r="A10" t="s">
        <v>72</v>
      </c>
      <c r="B10">
        <v>24.3031804679799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000"/>
  <sheetViews>
    <sheetView workbookViewId="0">
      <selection activeCell="A2" sqref="A2"/>
    </sheetView>
  </sheetViews>
  <sheetFormatPr defaultRowHeight="15" x14ac:dyDescent="0.25"/>
  <cols>
    <col min="1" max="1" width="30.85546875" customWidth="1"/>
    <col min="2" max="2" width="10.140625" bestFit="1" customWidth="1"/>
  </cols>
  <sheetData>
    <row r="1" spans="1:13" ht="39.75" customHeight="1" x14ac:dyDescent="0.3">
      <c r="A1" s="19"/>
      <c r="B1" s="27" t="s">
        <v>59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5" t="s">
        <v>60</v>
      </c>
    </row>
    <row r="2" spans="1:13" ht="27.75" customHeight="1" x14ac:dyDescent="0.25">
      <c r="A2" s="7" t="s">
        <v>53</v>
      </c>
      <c r="B2" s="20" t="s">
        <v>62</v>
      </c>
      <c r="C2" s="6" t="s">
        <v>63</v>
      </c>
      <c r="D2" s="6" t="s">
        <v>64</v>
      </c>
      <c r="E2" s="6" t="s">
        <v>65</v>
      </c>
      <c r="F2" s="6" t="s">
        <v>66</v>
      </c>
      <c r="G2" s="6" t="s">
        <v>67</v>
      </c>
      <c r="H2" s="6" t="s">
        <v>68</v>
      </c>
      <c r="I2" s="6" t="s">
        <v>69</v>
      </c>
      <c r="J2" s="6" t="s">
        <v>70</v>
      </c>
      <c r="K2" s="6" t="s">
        <v>71</v>
      </c>
      <c r="L2" s="6" t="s">
        <v>72</v>
      </c>
      <c r="M2" s="6" t="s">
        <v>73</v>
      </c>
    </row>
    <row r="3" spans="1:13" x14ac:dyDescent="0.25">
      <c r="A3" s="23" t="str">
        <f>IF(vdata_hours!A2=0,"",vdata_hours!A2)</f>
        <v>SWOG-S0702</v>
      </c>
      <c r="B3" s="23">
        <f>IFERROR(INDEX(vdata_regressors!$A$1:$L$2000,MATCH($A3,vdata_regressors!$A$2:$A$2000,0)+1,MATCH(B$2,vdata_regressors!$A$1:$R$1,0)),"")</f>
        <v>0</v>
      </c>
      <c r="C3" s="23">
        <f>IFERROR(INDEX(vdata_regressors!$A$1:$L$2000,MATCH($A3,vdata_regressors!$A$2:$A$2000,0)+1,MATCH(C$2,vdata_regressors!$A$1:$R$1,0)),"")</f>
        <v>0.25</v>
      </c>
      <c r="D3" s="23">
        <f>IFERROR(INDEX(vdata_regressors!$A$1:$L$2000,MATCH($A3,vdata_regressors!$A$2:$A$2000,0)+1,MATCH(D$2,vdata_regressors!$A$1:$R$1,0)),"")</f>
        <v>0</v>
      </c>
      <c r="E3" s="23">
        <f>IFERROR(INDEX(vdata_regressors!$A$1:$L$2000,MATCH($A3,vdata_regressors!$A$2:$A$2000,0)+1,MATCH(E$2,vdata_regressors!$A$1:$R$1,0)),"")</f>
        <v>0</v>
      </c>
      <c r="F3" s="23">
        <f>IFERROR(INDEX(vdata_regressors!$A$1:$L$2000,MATCH($A3,vdata_regressors!$A$2:$A$2000,0)+1,MATCH(F$2,vdata_regressors!$A$1:$R$1,0)),"")</f>
        <v>5</v>
      </c>
      <c r="G3" s="23">
        <f>IFERROR(INDEX(vdata_regressors!$A$1:$L$2000,MATCH($A3,vdata_regressors!$A$2:$A$2000,0)+1,MATCH(G$2,vdata_regressors!$A$1:$R$1,0)),"")</f>
        <v>12</v>
      </c>
      <c r="H3" s="23">
        <f>IFERROR(INDEX(vdata_regressors!$A$1:$L$2000,MATCH($A3,vdata_regressors!$A$2:$A$2000,0)+1,MATCH(H$2,vdata_regressors!$A$1:$R$1,0)),"")</f>
        <v>0</v>
      </c>
      <c r="I3" s="23">
        <f>IFERROR(INDEX(vdata_regressors!$A$1:$L$2000,MATCH($A3,vdata_regressors!$A$2:$A$2000,0)+1,MATCH(I$2,vdata_regressors!$A$1:$R$1,0)),"")</f>
        <v>5</v>
      </c>
      <c r="J3" s="23">
        <f>IFERROR(INDEX(vdata_regressors!$A$1:$L$2000,MATCH($A3,vdata_regressors!$A$2:$A$2000,0)+1,MATCH(J$2,vdata_regressors!$A$1:$R$1,0)),"")</f>
        <v>1</v>
      </c>
      <c r="K3" s="23">
        <f>IFERROR(INDEX(vdata_regressors!$A$1:$L$2000,MATCH($A3,vdata_regressors!$A$2:$A$2000,0)+1,MATCH(K$2,vdata_regressors!$A$1:$R$1,0)),"")</f>
        <v>0.5</v>
      </c>
      <c r="L3" s="23">
        <f>IFERROR(INDEX(vdata_regressors!$A$1:$L$2000,MATCH($A3,vdata_regressors!$A$2:$A$2000,0)+1,MATCH(L$2,vdata_regressors!$A$1:$R$1,0)),"")</f>
        <v>0</v>
      </c>
      <c r="M3" s="23">
        <f>IFERROR(VLOOKUP(A3,vdata_hours!$A$2:$B$1000,2,FALSE),"")</f>
        <v>0.5</v>
      </c>
    </row>
    <row r="4" spans="1:13" x14ac:dyDescent="0.25">
      <c r="A4" s="23" t="str">
        <f>IF(vdata_hours!A3=0,"",vdata_hours!A3)</f>
        <v>GOG-0252</v>
      </c>
      <c r="B4" s="23">
        <f>IFERROR(INDEX(vdata_regressors!$A$1:$L$2000,MATCH($A4,vdata_regressors!$A$2:$A$2000,0)+1,MATCH(B$2,vdata_regressors!$A$1:$R$1,0)),"")</f>
        <v>0</v>
      </c>
      <c r="C4" s="23">
        <f>IFERROR(INDEX(vdata_regressors!$A$1:$L$2000,MATCH($A4,vdata_regressors!$A$2:$A$2000,0)+1,MATCH(C$2,vdata_regressors!$A$1:$R$1,0)),"")</f>
        <v>0.25</v>
      </c>
      <c r="D4" s="23">
        <f>IFERROR(INDEX(vdata_regressors!$A$1:$L$2000,MATCH($A4,vdata_regressors!$A$2:$A$2000,0)+1,MATCH(D$2,vdata_regressors!$A$1:$R$1,0)),"")</f>
        <v>0</v>
      </c>
      <c r="E4" s="23">
        <f>IFERROR(INDEX(vdata_regressors!$A$1:$L$2000,MATCH($A4,vdata_regressors!$A$2:$A$2000,0)+1,MATCH(E$2,vdata_regressors!$A$1:$R$1,0)),"")</f>
        <v>0</v>
      </c>
      <c r="F4" s="23">
        <f>IFERROR(INDEX(vdata_regressors!$A$1:$L$2000,MATCH($A4,vdata_regressors!$A$2:$A$2000,0)+1,MATCH(F$2,vdata_regressors!$A$1:$R$1,0)),"")</f>
        <v>3</v>
      </c>
      <c r="G4" s="23">
        <f>IFERROR(INDEX(vdata_regressors!$A$1:$L$2000,MATCH($A4,vdata_regressors!$A$2:$A$2000,0)+1,MATCH(G$2,vdata_regressors!$A$1:$R$1,0)),"")</f>
        <v>10</v>
      </c>
      <c r="H4" s="23">
        <f>IFERROR(INDEX(vdata_regressors!$A$1:$L$2000,MATCH($A4,vdata_regressors!$A$2:$A$2000,0)+1,MATCH(H$2,vdata_regressors!$A$1:$R$1,0)),"")</f>
        <v>0</v>
      </c>
      <c r="I4" s="23">
        <f>IFERROR(INDEX(vdata_regressors!$A$1:$L$2000,MATCH($A4,vdata_regressors!$A$2:$A$2000,0)+1,MATCH(I$2,vdata_regressors!$A$1:$R$1,0)),"")</f>
        <v>4</v>
      </c>
      <c r="J4" s="23">
        <f>IFERROR(INDEX(vdata_regressors!$A$1:$L$2000,MATCH($A4,vdata_regressors!$A$2:$A$2000,0)+1,MATCH(J$2,vdata_regressors!$A$1:$R$1,0)),"")</f>
        <v>0.5</v>
      </c>
      <c r="K4" s="23">
        <f>IFERROR(INDEX(vdata_regressors!$A$1:$L$2000,MATCH($A4,vdata_regressors!$A$2:$A$2000,0)+1,MATCH(K$2,vdata_regressors!$A$1:$R$1,0)),"")</f>
        <v>0.5</v>
      </c>
      <c r="L4" s="23">
        <f>IFERROR(INDEX(vdata_regressors!$A$1:$L$2000,MATCH($A4,vdata_regressors!$A$2:$A$2000,0)+1,MATCH(L$2,vdata_regressors!$A$1:$R$1,0)),"")</f>
        <v>0</v>
      </c>
      <c r="M4" s="23">
        <f>IFERROR(VLOOKUP(A4,vdata_hours!$A$2:$B$1000,2,FALSE),"")</f>
        <v>1.5</v>
      </c>
    </row>
    <row r="5" spans="1:13" x14ac:dyDescent="0.25">
      <c r="A5" s="23" t="str">
        <f>IF(vdata_hours!A4=0,"",vdata_hours!A4)</f>
        <v>CHAN-2015-1</v>
      </c>
      <c r="B5" s="23">
        <f>IFERROR(INDEX(vdata_regressors!$A$1:$L$2000,MATCH($A5,vdata_regressors!$A$2:$A$2000,0)+1,MATCH(B$2,vdata_regressors!$A$1:$R$1,0)),"")</f>
        <v>1</v>
      </c>
      <c r="C5" s="23">
        <f>IFERROR(INDEX(vdata_regressors!$A$1:$L$2000,MATCH($A5,vdata_regressors!$A$2:$A$2000,0)+1,MATCH(C$2,vdata_regressors!$A$1:$R$1,0)),"")</f>
        <v>0.25</v>
      </c>
      <c r="D5" s="23">
        <f>IFERROR(INDEX(vdata_regressors!$A$1:$L$2000,MATCH($A5,vdata_regressors!$A$2:$A$2000,0)+1,MATCH(D$2,vdata_regressors!$A$1:$R$1,0)),"")</f>
        <v>0</v>
      </c>
      <c r="E5" s="23">
        <f>IFERROR(INDEX(vdata_regressors!$A$1:$L$2000,MATCH($A5,vdata_regressors!$A$2:$A$2000,0)+1,MATCH(E$2,vdata_regressors!$A$1:$R$1,0)),"")</f>
        <v>0</v>
      </c>
      <c r="F5" s="23">
        <f>IFERROR(INDEX(vdata_regressors!$A$1:$L$2000,MATCH($A5,vdata_regressors!$A$2:$A$2000,0)+1,MATCH(F$2,vdata_regressors!$A$1:$R$1,0)),"")</f>
        <v>2</v>
      </c>
      <c r="G5" s="23">
        <f>IFERROR(INDEX(vdata_regressors!$A$1:$L$2000,MATCH($A5,vdata_regressors!$A$2:$A$2000,0)+1,MATCH(G$2,vdata_regressors!$A$1:$R$1,0)),"")</f>
        <v>7</v>
      </c>
      <c r="H5" s="23">
        <f>IFERROR(INDEX(vdata_regressors!$A$1:$L$2000,MATCH($A5,vdata_regressors!$A$2:$A$2000,0)+1,MATCH(H$2,vdata_regressors!$A$1:$R$1,0)),"")</f>
        <v>0</v>
      </c>
      <c r="I5" s="23">
        <f>IFERROR(INDEX(vdata_regressors!$A$1:$L$2000,MATCH($A5,vdata_regressors!$A$2:$A$2000,0)+1,MATCH(I$2,vdata_regressors!$A$1:$R$1,0)),"")</f>
        <v>0</v>
      </c>
      <c r="J5" s="23">
        <f>IFERROR(INDEX(vdata_regressors!$A$1:$L$2000,MATCH($A5,vdata_regressors!$A$2:$A$2000,0)+1,MATCH(J$2,vdata_regressors!$A$1:$R$1,0)),"")</f>
        <v>0.75</v>
      </c>
      <c r="K5" s="23">
        <f>IFERROR(INDEX(vdata_regressors!$A$1:$L$2000,MATCH($A5,vdata_regressors!$A$2:$A$2000,0)+1,MATCH(K$2,vdata_regressors!$A$1:$R$1,0)),"")</f>
        <v>1</v>
      </c>
      <c r="L5" s="23">
        <f>IFERROR(INDEX(vdata_regressors!$A$1:$L$2000,MATCH($A5,vdata_regressors!$A$2:$A$2000,0)+1,MATCH(L$2,vdata_regressors!$A$1:$R$1,0)),"")</f>
        <v>0</v>
      </c>
      <c r="M5" s="23">
        <f>IFERROR(VLOOKUP(A5,vdata_hours!$A$2:$B$1000,2,FALSE),"")</f>
        <v>1.5</v>
      </c>
    </row>
    <row r="6" spans="1:13" x14ac:dyDescent="0.25">
      <c r="A6" s="23" t="str">
        <f>IF(vdata_hours!A5=0,"",vdata_hours!A5)</f>
        <v>BANTUM-2017-1</v>
      </c>
      <c r="B6" s="23">
        <f>IFERROR(INDEX(vdata_regressors!$A$1:$L$2000,MATCH($A6,vdata_regressors!$A$2:$A$2000,0)+1,MATCH(B$2,vdata_regressors!$A$1:$R$1,0)),"")</f>
        <v>1</v>
      </c>
      <c r="C6" s="23">
        <f>IFERROR(INDEX(vdata_regressors!$A$1:$L$2000,MATCH($A6,vdata_regressors!$A$2:$A$2000,0)+1,MATCH(C$2,vdata_regressors!$A$1:$R$1,0)),"")</f>
        <v>1</v>
      </c>
      <c r="D6" s="23">
        <f>IFERROR(INDEX(vdata_regressors!$A$1:$L$2000,MATCH($A6,vdata_regressors!$A$2:$A$2000,0)+1,MATCH(D$2,vdata_regressors!$A$1:$R$1,0)),"")</f>
        <v>0</v>
      </c>
      <c r="E6" s="23">
        <f>IFERROR(INDEX(vdata_regressors!$A$1:$L$2000,MATCH($A6,vdata_regressors!$A$2:$A$2000,0)+1,MATCH(E$2,vdata_regressors!$A$1:$R$1,0)),"")</f>
        <v>0</v>
      </c>
      <c r="F6" s="23">
        <f>IFERROR(INDEX(vdata_regressors!$A$1:$L$2000,MATCH($A6,vdata_regressors!$A$2:$A$2000,0)+1,MATCH(F$2,vdata_regressors!$A$1:$R$1,0)),"")</f>
        <v>1</v>
      </c>
      <c r="G6" s="23">
        <f>IFERROR(INDEX(vdata_regressors!$A$1:$L$2000,MATCH($A6,vdata_regressors!$A$2:$A$2000,0)+1,MATCH(G$2,vdata_regressors!$A$1:$R$1,0)),"")</f>
        <v>1</v>
      </c>
      <c r="H6" s="23">
        <f>IFERROR(INDEX(vdata_regressors!$A$1:$L$2000,MATCH($A6,vdata_regressors!$A$2:$A$2000,0)+1,MATCH(H$2,vdata_regressors!$A$1:$R$1,0)),"")</f>
        <v>0</v>
      </c>
      <c r="I6" s="23">
        <f>IFERROR(INDEX(vdata_regressors!$A$1:$L$2000,MATCH($A6,vdata_regressors!$A$2:$A$2000,0)+1,MATCH(I$2,vdata_regressors!$A$1:$R$1,0)),"")</f>
        <v>0</v>
      </c>
      <c r="J6" s="23">
        <f>IFERROR(INDEX(vdata_regressors!$A$1:$L$2000,MATCH($A6,vdata_regressors!$A$2:$A$2000,0)+1,MATCH(J$2,vdata_regressors!$A$1:$R$1,0)),"")</f>
        <v>0.75</v>
      </c>
      <c r="K6" s="23">
        <f>IFERROR(INDEX(vdata_regressors!$A$1:$L$2000,MATCH($A6,vdata_regressors!$A$2:$A$2000,0)+1,MATCH(K$2,vdata_regressors!$A$1:$R$1,0)),"")</f>
        <v>1</v>
      </c>
      <c r="L6" s="23">
        <f>IFERROR(INDEX(vdata_regressors!$A$1:$L$2000,MATCH($A6,vdata_regressors!$A$2:$A$2000,0)+1,MATCH(L$2,vdata_regressors!$A$1:$R$1,0)),"")</f>
        <v>0</v>
      </c>
      <c r="M6" s="23">
        <f>IFERROR(VLOOKUP(A6,vdata_hours!$A$2:$B$1000,2,FALSE),"")</f>
        <v>1.5</v>
      </c>
    </row>
    <row r="7" spans="1:13" x14ac:dyDescent="0.25">
      <c r="A7" s="23" t="str">
        <f>IF(vdata_hours!A6=0,"",vdata_hours!A6)</f>
        <v>YU-2012-1</v>
      </c>
      <c r="B7" s="23">
        <f>IFERROR(INDEX(vdata_regressors!$A$1:$L$2000,MATCH($A7,vdata_regressors!$A$2:$A$2000,0)+1,MATCH(B$2,vdata_regressors!$A$1:$R$1,0)),"")</f>
        <v>1</v>
      </c>
      <c r="C7" s="23">
        <f>IFERROR(INDEX(vdata_regressors!$A$1:$L$2000,MATCH($A7,vdata_regressors!$A$2:$A$2000,0)+1,MATCH(C$2,vdata_regressors!$A$1:$R$1,0)),"")</f>
        <v>0.25</v>
      </c>
      <c r="D7" s="23">
        <f>IFERROR(INDEX(vdata_regressors!$A$1:$L$2000,MATCH($A7,vdata_regressors!$A$2:$A$2000,0)+1,MATCH(D$2,vdata_regressors!$A$1:$R$1,0)),"")</f>
        <v>0</v>
      </c>
      <c r="E7" s="23">
        <f>IFERROR(INDEX(vdata_regressors!$A$1:$L$2000,MATCH($A7,vdata_regressors!$A$2:$A$2000,0)+1,MATCH(E$2,vdata_regressors!$A$1:$R$1,0)),"")</f>
        <v>0</v>
      </c>
      <c r="F7" s="23">
        <f>IFERROR(INDEX(vdata_regressors!$A$1:$L$2000,MATCH($A7,vdata_regressors!$A$2:$A$2000,0)+1,MATCH(F$2,vdata_regressors!$A$1:$R$1,0)),"")</f>
        <v>1</v>
      </c>
      <c r="G7" s="23">
        <f>IFERROR(INDEX(vdata_regressors!$A$1:$L$2000,MATCH($A7,vdata_regressors!$A$2:$A$2000,0)+1,MATCH(G$2,vdata_regressors!$A$1:$R$1,0)),"")</f>
        <v>1</v>
      </c>
      <c r="H7" s="23">
        <f>IFERROR(INDEX(vdata_regressors!$A$1:$L$2000,MATCH($A7,vdata_regressors!$A$2:$A$2000,0)+1,MATCH(H$2,vdata_regressors!$A$1:$R$1,0)),"")</f>
        <v>0</v>
      </c>
      <c r="I7" s="23">
        <f>IFERROR(INDEX(vdata_regressors!$A$1:$L$2000,MATCH($A7,vdata_regressors!$A$2:$A$2000,0)+1,MATCH(I$2,vdata_regressors!$A$1:$R$1,0)),"")</f>
        <v>0</v>
      </c>
      <c r="J7" s="23">
        <f>IFERROR(INDEX(vdata_regressors!$A$1:$L$2000,MATCH($A7,vdata_regressors!$A$2:$A$2000,0)+1,MATCH(J$2,vdata_regressors!$A$1:$R$1,0)),"")</f>
        <v>0.75</v>
      </c>
      <c r="K7" s="23">
        <f>IFERROR(INDEX(vdata_regressors!$A$1:$L$2000,MATCH($A7,vdata_regressors!$A$2:$A$2000,0)+1,MATCH(K$2,vdata_regressors!$A$1:$R$1,0)),"")</f>
        <v>0.5</v>
      </c>
      <c r="L7" s="23">
        <f>IFERROR(INDEX(vdata_regressors!$A$1:$L$2000,MATCH($A7,vdata_regressors!$A$2:$A$2000,0)+1,MATCH(L$2,vdata_regressors!$A$1:$R$1,0)),"")</f>
        <v>0</v>
      </c>
      <c r="M7" s="23">
        <f>IFERROR(VLOOKUP(A7,vdata_hours!$A$2:$B$1000,2,FALSE),"")</f>
        <v>2</v>
      </c>
    </row>
    <row r="8" spans="1:13" x14ac:dyDescent="0.25">
      <c r="A8" s="23" t="str">
        <f>IF(vdata_hours!A7=0,"",vdata_hours!A7)</f>
        <v>SWOG-S1806</v>
      </c>
      <c r="B8" s="23">
        <f>IFERROR(INDEX(vdata_regressors!$A$1:$L$2000,MATCH($A8,vdata_regressors!$A$2:$A$2000,0)+1,MATCH(B$2,vdata_regressors!$A$1:$R$1,0)),"")</f>
        <v>0</v>
      </c>
      <c r="C8" s="23">
        <f>IFERROR(INDEX(vdata_regressors!$A$1:$L$2000,MATCH($A8,vdata_regressors!$A$2:$A$2000,0)+1,MATCH(C$2,vdata_regressors!$A$1:$R$1,0)),"")</f>
        <v>1</v>
      </c>
      <c r="D8" s="23">
        <f>IFERROR(INDEX(vdata_regressors!$A$1:$L$2000,MATCH($A8,vdata_regressors!$A$2:$A$2000,0)+1,MATCH(D$2,vdata_regressors!$A$1:$R$1,0)),"")</f>
        <v>0</v>
      </c>
      <c r="E8" s="23">
        <f>IFERROR(INDEX(vdata_regressors!$A$1:$L$2000,MATCH($A8,vdata_regressors!$A$2:$A$2000,0)+1,MATCH(E$2,vdata_regressors!$A$1:$R$1,0)),"")</f>
        <v>0</v>
      </c>
      <c r="F8" s="23">
        <f>IFERROR(INDEX(vdata_regressors!$A$1:$L$2000,MATCH($A8,vdata_regressors!$A$2:$A$2000,0)+1,MATCH(F$2,vdata_regressors!$A$1:$R$1,0)),"")</f>
        <v>5</v>
      </c>
      <c r="G8" s="23">
        <f>IFERROR(INDEX(vdata_regressors!$A$1:$L$2000,MATCH($A8,vdata_regressors!$A$2:$A$2000,0)+1,MATCH(G$2,vdata_regressors!$A$1:$R$1,0)),"")</f>
        <v>10</v>
      </c>
      <c r="H8" s="23">
        <f>IFERROR(INDEX(vdata_regressors!$A$1:$L$2000,MATCH($A8,vdata_regressors!$A$2:$A$2000,0)+1,MATCH(H$2,vdata_regressors!$A$1:$R$1,0)),"")</f>
        <v>0</v>
      </c>
      <c r="I8" s="23">
        <f>IFERROR(INDEX(vdata_regressors!$A$1:$L$2000,MATCH($A8,vdata_regressors!$A$2:$A$2000,0)+1,MATCH(I$2,vdata_regressors!$A$1:$R$1,0)),"")</f>
        <v>0</v>
      </c>
      <c r="J8" s="23">
        <f>IFERROR(INDEX(vdata_regressors!$A$1:$L$2000,MATCH($A8,vdata_regressors!$A$2:$A$2000,0)+1,MATCH(J$2,vdata_regressors!$A$1:$R$1,0)),"")</f>
        <v>0.5</v>
      </c>
      <c r="K8" s="23">
        <f>IFERROR(INDEX(vdata_regressors!$A$1:$L$2000,MATCH($A8,vdata_regressors!$A$2:$A$2000,0)+1,MATCH(K$2,vdata_regressors!$A$1:$R$1,0)),"")</f>
        <v>0.5</v>
      </c>
      <c r="L8" s="23">
        <f>IFERROR(INDEX(vdata_regressors!$A$1:$L$2000,MATCH($A8,vdata_regressors!$A$2:$A$2000,0)+1,MATCH(L$2,vdata_regressors!$A$1:$R$1,0)),"")</f>
        <v>1</v>
      </c>
      <c r="M8" s="23">
        <f>IFERROR(VLOOKUP(A8,vdata_hours!$A$2:$B$1000,2,FALSE),"")</f>
        <v>3</v>
      </c>
    </row>
    <row r="9" spans="1:13" x14ac:dyDescent="0.25">
      <c r="A9" s="23" t="str">
        <f>IF(vdata_hours!A8=0,"",vdata_hours!A8)</f>
        <v>SWOG-S9808</v>
      </c>
      <c r="B9" s="23">
        <f>IFERROR(INDEX(vdata_regressors!$A$1:$L$2000,MATCH($A9,vdata_regressors!$A$2:$A$2000,0)+1,MATCH(B$2,vdata_regressors!$A$1:$R$1,0)),"")</f>
        <v>0</v>
      </c>
      <c r="C9" s="23">
        <f>IFERROR(INDEX(vdata_regressors!$A$1:$L$2000,MATCH($A9,vdata_regressors!$A$2:$A$2000,0)+1,MATCH(C$2,vdata_regressors!$A$1:$R$1,0)),"")</f>
        <v>0.25</v>
      </c>
      <c r="D9" s="23">
        <f>IFERROR(INDEX(vdata_regressors!$A$1:$L$2000,MATCH($A9,vdata_regressors!$A$2:$A$2000,0)+1,MATCH(D$2,vdata_regressors!$A$1:$R$1,0)),"")</f>
        <v>0</v>
      </c>
      <c r="E9" s="23">
        <f>IFERROR(INDEX(vdata_regressors!$A$1:$L$2000,MATCH($A9,vdata_regressors!$A$2:$A$2000,0)+1,MATCH(E$2,vdata_regressors!$A$1:$R$1,0)),"")</f>
        <v>0</v>
      </c>
      <c r="F9" s="23">
        <f>IFERROR(INDEX(vdata_regressors!$A$1:$L$2000,MATCH($A9,vdata_regressors!$A$2:$A$2000,0)+1,MATCH(F$2,vdata_regressors!$A$1:$R$1,0)),"")</f>
        <v>9</v>
      </c>
      <c r="G9" s="23">
        <f>IFERROR(INDEX(vdata_regressors!$A$1:$L$2000,MATCH($A9,vdata_regressors!$A$2:$A$2000,0)+1,MATCH(G$2,vdata_regressors!$A$1:$R$1,0)),"")</f>
        <v>18</v>
      </c>
      <c r="H9" s="23">
        <f>IFERROR(INDEX(vdata_regressors!$A$1:$L$2000,MATCH($A9,vdata_regressors!$A$2:$A$2000,0)+1,MATCH(H$2,vdata_regressors!$A$1:$R$1,0)),"")</f>
        <v>0</v>
      </c>
      <c r="I9" s="23">
        <f>IFERROR(INDEX(vdata_regressors!$A$1:$L$2000,MATCH($A9,vdata_regressors!$A$2:$A$2000,0)+1,MATCH(I$2,vdata_regressors!$A$1:$R$1,0)),"")</f>
        <v>5</v>
      </c>
      <c r="J9" s="23">
        <f>IFERROR(INDEX(vdata_regressors!$A$1:$L$2000,MATCH($A9,vdata_regressors!$A$2:$A$2000,0)+1,MATCH(J$2,vdata_regressors!$A$1:$R$1,0)),"")</f>
        <v>1</v>
      </c>
      <c r="K9" s="23">
        <f>IFERROR(INDEX(vdata_regressors!$A$1:$L$2000,MATCH($A9,vdata_regressors!$A$2:$A$2000,0)+1,MATCH(K$2,vdata_regressors!$A$1:$R$1,0)),"")</f>
        <v>0.5</v>
      </c>
      <c r="L9" s="23">
        <f>IFERROR(INDEX(vdata_regressors!$A$1:$L$2000,MATCH($A9,vdata_regressors!$A$2:$A$2000,0)+1,MATCH(L$2,vdata_regressors!$A$1:$R$1,0)),"")</f>
        <v>0</v>
      </c>
      <c r="M9" s="23">
        <f>IFERROR(VLOOKUP(A9,vdata_hours!$A$2:$B$1000,2,FALSE),"")</f>
        <v>5</v>
      </c>
    </row>
    <row r="10" spans="1:13" x14ac:dyDescent="0.25">
      <c r="A10" s="23" t="str">
        <f>IF(vdata_hours!A9=0,"",vdata_hours!A9)</f>
        <v>ALLIANCE-A031704</v>
      </c>
      <c r="B10" s="23">
        <f>IFERROR(INDEX(vdata_regressors!$A$1:$L$2000,MATCH($A10,vdata_regressors!$A$2:$A$2000,0)+1,MATCH(B$2,vdata_regressors!$A$1:$R$1,0)),"")</f>
        <v>0</v>
      </c>
      <c r="C10" s="23">
        <f>IFERROR(INDEX(vdata_regressors!$A$1:$L$2000,MATCH($A10,vdata_regressors!$A$2:$A$2000,0)+1,MATCH(C$2,vdata_regressors!$A$1:$R$1,0)),"")</f>
        <v>1</v>
      </c>
      <c r="D10" s="23">
        <f>IFERROR(INDEX(vdata_regressors!$A$1:$L$2000,MATCH($A10,vdata_regressors!$A$2:$A$2000,0)+1,MATCH(D$2,vdata_regressors!$A$1:$R$1,0)),"")</f>
        <v>0</v>
      </c>
      <c r="E10" s="23">
        <f>IFERROR(INDEX(vdata_regressors!$A$1:$L$2000,MATCH($A10,vdata_regressors!$A$2:$A$2000,0)+1,MATCH(E$2,vdata_regressors!$A$1:$R$1,0)),"")</f>
        <v>0</v>
      </c>
      <c r="F10" s="23">
        <f>IFERROR(INDEX(vdata_regressors!$A$1:$L$2000,MATCH($A10,vdata_regressors!$A$2:$A$2000,0)+1,MATCH(F$2,vdata_regressors!$A$1:$R$1,0)),"")</f>
        <v>4</v>
      </c>
      <c r="G10" s="23">
        <f>IFERROR(INDEX(vdata_regressors!$A$1:$L$2000,MATCH($A10,vdata_regressors!$A$2:$A$2000,0)+1,MATCH(G$2,vdata_regressors!$A$1:$R$1,0)),"")</f>
        <v>12</v>
      </c>
      <c r="H10" s="23">
        <f>IFERROR(INDEX(vdata_regressors!$A$1:$L$2000,MATCH($A10,vdata_regressors!$A$2:$A$2000,0)+1,MATCH(H$2,vdata_regressors!$A$1:$R$1,0)),"")</f>
        <v>0</v>
      </c>
      <c r="I10" s="23">
        <f>IFERROR(INDEX(vdata_regressors!$A$1:$L$2000,MATCH($A10,vdata_regressors!$A$2:$A$2000,0)+1,MATCH(I$2,vdata_regressors!$A$1:$R$1,0)),"")</f>
        <v>1</v>
      </c>
      <c r="J10" s="23">
        <f>IFERROR(INDEX(vdata_regressors!$A$1:$L$2000,MATCH($A10,vdata_regressors!$A$2:$A$2000,0)+1,MATCH(J$2,vdata_regressors!$A$1:$R$1,0)),"")</f>
        <v>0.5</v>
      </c>
      <c r="K10" s="23">
        <f>IFERROR(INDEX(vdata_regressors!$A$1:$L$2000,MATCH($A10,vdata_regressors!$A$2:$A$2000,0)+1,MATCH(K$2,vdata_regressors!$A$1:$R$1,0)),"")</f>
        <v>0.5</v>
      </c>
      <c r="L10" s="23">
        <f>IFERROR(INDEX(vdata_regressors!$A$1:$L$2000,MATCH($A10,vdata_regressors!$A$2:$A$2000,0)+1,MATCH(L$2,vdata_regressors!$A$1:$R$1,0)),"")</f>
        <v>0</v>
      </c>
      <c r="M10" s="23">
        <f>IFERROR(VLOOKUP(A10,vdata_hours!$A$2:$B$1000,2,FALSE),"")</f>
        <v>5</v>
      </c>
    </row>
    <row r="11" spans="1:13" x14ac:dyDescent="0.25">
      <c r="A11" s="23" t="str">
        <f>IF(vdata_hours!A10=0,"",vdata_hours!A10)</f>
        <v>ECOG-EA6134</v>
      </c>
      <c r="B11" s="23">
        <f>IFERROR(INDEX(vdata_regressors!$A$1:$L$2000,MATCH($A11,vdata_regressors!$A$2:$A$2000,0)+1,MATCH(B$2,vdata_regressors!$A$1:$R$1,0)),"")</f>
        <v>0</v>
      </c>
      <c r="C11" s="23">
        <f>IFERROR(INDEX(vdata_regressors!$A$1:$L$2000,MATCH($A11,vdata_regressors!$A$2:$A$2000,0)+1,MATCH(C$2,vdata_regressors!$A$1:$R$1,0)),"")</f>
        <v>1</v>
      </c>
      <c r="D11" s="23">
        <f>IFERROR(INDEX(vdata_regressors!$A$1:$L$2000,MATCH($A11,vdata_regressors!$A$2:$A$2000,0)+1,MATCH(D$2,vdata_regressors!$A$1:$R$1,0)),"")</f>
        <v>1</v>
      </c>
      <c r="E11" s="23">
        <f>IFERROR(INDEX(vdata_regressors!$A$1:$L$2000,MATCH($A11,vdata_regressors!$A$2:$A$2000,0)+1,MATCH(E$2,vdata_regressors!$A$1:$R$1,0)),"")</f>
        <v>0</v>
      </c>
      <c r="F11" s="23">
        <f>IFERROR(INDEX(vdata_regressors!$A$1:$L$2000,MATCH($A11,vdata_regressors!$A$2:$A$2000,0)+1,MATCH(F$2,vdata_regressors!$A$1:$R$1,0)),"")</f>
        <v>5</v>
      </c>
      <c r="G11" s="23">
        <f>IFERROR(INDEX(vdata_regressors!$A$1:$L$2000,MATCH($A11,vdata_regressors!$A$2:$A$2000,0)+1,MATCH(G$2,vdata_regressors!$A$1:$R$1,0)),"")</f>
        <v>9</v>
      </c>
      <c r="H11" s="23">
        <f>IFERROR(INDEX(vdata_regressors!$A$1:$L$2000,MATCH($A11,vdata_regressors!$A$2:$A$2000,0)+1,MATCH(H$2,vdata_regressors!$A$1:$R$1,0)),"")</f>
        <v>0</v>
      </c>
      <c r="I11" s="23">
        <f>IFERROR(INDEX(vdata_regressors!$A$1:$L$2000,MATCH($A11,vdata_regressors!$A$2:$A$2000,0)+1,MATCH(I$2,vdata_regressors!$A$1:$R$1,0)),"")</f>
        <v>6</v>
      </c>
      <c r="J11" s="23">
        <f>IFERROR(INDEX(vdata_regressors!$A$1:$L$2000,MATCH($A11,vdata_regressors!$A$2:$A$2000,0)+1,MATCH(J$2,vdata_regressors!$A$1:$R$1,0)),"")</f>
        <v>0.5</v>
      </c>
      <c r="K11" s="23">
        <f>IFERROR(INDEX(vdata_regressors!$A$1:$L$2000,MATCH($A11,vdata_regressors!$A$2:$A$2000,0)+1,MATCH(K$2,vdata_regressors!$A$1:$R$1,0)),"")</f>
        <v>0.5</v>
      </c>
      <c r="L11" s="23">
        <f>IFERROR(INDEX(vdata_regressors!$A$1:$L$2000,MATCH($A11,vdata_regressors!$A$2:$A$2000,0)+1,MATCH(L$2,vdata_regressors!$A$1:$R$1,0)),"")</f>
        <v>0</v>
      </c>
      <c r="M11" s="23">
        <f>IFERROR(VLOOKUP(A11,vdata_hours!$A$2:$B$1000,2,FALSE),"")</f>
        <v>5</v>
      </c>
    </row>
    <row r="12" spans="1:13" x14ac:dyDescent="0.25">
      <c r="A12" s="23" t="str">
        <f>IF(vdata_hours!A11=0,"",vdata_hours!A11)</f>
        <v>ALLIANCE-A051701</v>
      </c>
      <c r="B12" s="23">
        <f>IFERROR(INDEX(vdata_regressors!$A$1:$L$2000,MATCH($A12,vdata_regressors!$A$2:$A$2000,0)+1,MATCH(B$2,vdata_regressors!$A$1:$R$1,0)),"")</f>
        <v>0</v>
      </c>
      <c r="C12" s="23">
        <f>IFERROR(INDEX(vdata_regressors!$A$1:$L$2000,MATCH($A12,vdata_regressors!$A$2:$A$2000,0)+1,MATCH(C$2,vdata_regressors!$A$1:$R$1,0)),"")</f>
        <v>1</v>
      </c>
      <c r="D12" s="23">
        <f>IFERROR(INDEX(vdata_regressors!$A$1:$L$2000,MATCH($A12,vdata_regressors!$A$2:$A$2000,0)+1,MATCH(D$2,vdata_regressors!$A$1:$R$1,0)),"")</f>
        <v>0</v>
      </c>
      <c r="E12" s="23">
        <f>IFERROR(INDEX(vdata_regressors!$A$1:$L$2000,MATCH($A12,vdata_regressors!$A$2:$A$2000,0)+1,MATCH(E$2,vdata_regressors!$A$1:$R$1,0)),"")</f>
        <v>0</v>
      </c>
      <c r="F12" s="23">
        <f>IFERROR(INDEX(vdata_regressors!$A$1:$L$2000,MATCH($A12,vdata_regressors!$A$2:$A$2000,0)+1,MATCH(F$2,vdata_regressors!$A$1:$R$1,0)),"")</f>
        <v>3</v>
      </c>
      <c r="G12" s="23">
        <f>IFERROR(INDEX(vdata_regressors!$A$1:$L$2000,MATCH($A12,vdata_regressors!$A$2:$A$2000,0)+1,MATCH(G$2,vdata_regressors!$A$1:$R$1,0)),"")</f>
        <v>8</v>
      </c>
      <c r="H12" s="23">
        <f>IFERROR(INDEX(vdata_regressors!$A$1:$L$2000,MATCH($A12,vdata_regressors!$A$2:$A$2000,0)+1,MATCH(H$2,vdata_regressors!$A$1:$R$1,0)),"")</f>
        <v>0</v>
      </c>
      <c r="I12" s="23">
        <f>IFERROR(INDEX(vdata_regressors!$A$1:$L$2000,MATCH($A12,vdata_regressors!$A$2:$A$2000,0)+1,MATCH(I$2,vdata_regressors!$A$1:$R$1,0)),"")</f>
        <v>0</v>
      </c>
      <c r="J12" s="23">
        <f>IFERROR(INDEX(vdata_regressors!$A$1:$L$2000,MATCH($A12,vdata_regressors!$A$2:$A$2000,0)+1,MATCH(J$2,vdata_regressors!$A$1:$R$1,0)),"")</f>
        <v>0.5</v>
      </c>
      <c r="K12" s="23">
        <f>IFERROR(INDEX(vdata_regressors!$A$1:$L$2000,MATCH($A12,vdata_regressors!$A$2:$A$2000,0)+1,MATCH(K$2,vdata_regressors!$A$1:$R$1,0)),"")</f>
        <v>0.5</v>
      </c>
      <c r="L12" s="23">
        <f>IFERROR(INDEX(vdata_regressors!$A$1:$L$2000,MATCH($A12,vdata_regressors!$A$2:$A$2000,0)+1,MATCH(L$2,vdata_regressors!$A$1:$R$1,0)),"")</f>
        <v>0</v>
      </c>
      <c r="M12" s="23">
        <f>IFERROR(VLOOKUP(A12,vdata_hours!$A$2:$B$1000,2,FALSE),"")</f>
        <v>5</v>
      </c>
    </row>
    <row r="13" spans="1:13" x14ac:dyDescent="0.25">
      <c r="A13" s="23" t="str">
        <f>IF(vdata_hours!A12=0,"",vdata_hours!A12)</f>
        <v>ELI-LILLY-I4T-MC-JVCY</v>
      </c>
      <c r="B13" s="23">
        <f>IFERROR(INDEX(vdata_regressors!$A$1:$L$2000,MATCH($A13,vdata_regressors!$A$2:$A$2000,0)+1,MATCH(B$2,vdata_regressors!$A$1:$R$1,0)),"")</f>
        <v>0</v>
      </c>
      <c r="C13" s="23">
        <f>IFERROR(INDEX(vdata_regressors!$A$1:$L$2000,MATCH($A13,vdata_regressors!$A$2:$A$2000,0)+1,MATCH(C$2,vdata_regressors!$A$1:$R$1,0)),"")</f>
        <v>1</v>
      </c>
      <c r="D13" s="23">
        <f>IFERROR(INDEX(vdata_regressors!$A$1:$L$2000,MATCH($A13,vdata_regressors!$A$2:$A$2000,0)+1,MATCH(D$2,vdata_regressors!$A$1:$R$1,0)),"")</f>
        <v>0</v>
      </c>
      <c r="E13" s="23">
        <f>IFERROR(INDEX(vdata_regressors!$A$1:$L$2000,MATCH($A13,vdata_regressors!$A$2:$A$2000,0)+1,MATCH(E$2,vdata_regressors!$A$1:$R$1,0)),"")</f>
        <v>0</v>
      </c>
      <c r="F13" s="23">
        <f>IFERROR(INDEX(vdata_regressors!$A$1:$L$2000,MATCH($A13,vdata_regressors!$A$2:$A$2000,0)+1,MATCH(F$2,vdata_regressors!$A$1:$R$1,0)),"")</f>
        <v>3</v>
      </c>
      <c r="G13" s="23">
        <f>IFERROR(INDEX(vdata_regressors!$A$1:$L$2000,MATCH($A13,vdata_regressors!$A$2:$A$2000,0)+1,MATCH(G$2,vdata_regressors!$A$1:$R$1,0)),"")</f>
        <v>6</v>
      </c>
      <c r="H13" s="23">
        <f>IFERROR(INDEX(vdata_regressors!$A$1:$L$2000,MATCH($A13,vdata_regressors!$A$2:$A$2000,0)+1,MATCH(H$2,vdata_regressors!$A$1:$R$1,0)),"")</f>
        <v>8</v>
      </c>
      <c r="I13" s="23">
        <f>IFERROR(INDEX(vdata_regressors!$A$1:$L$2000,MATCH($A13,vdata_regressors!$A$2:$A$2000,0)+1,MATCH(I$2,vdata_regressors!$A$1:$R$1,0)),"")</f>
        <v>3</v>
      </c>
      <c r="J13" s="23">
        <f>IFERROR(INDEX(vdata_regressors!$A$1:$L$2000,MATCH($A13,vdata_regressors!$A$2:$A$2000,0)+1,MATCH(J$2,vdata_regressors!$A$1:$R$1,0)),"")</f>
        <v>0.75</v>
      </c>
      <c r="K13" s="23">
        <f>IFERROR(INDEX(vdata_regressors!$A$1:$L$2000,MATCH($A13,vdata_regressors!$A$2:$A$2000,0)+1,MATCH(K$2,vdata_regressors!$A$1:$R$1,0)),"")</f>
        <v>1</v>
      </c>
      <c r="L13" s="23">
        <f>IFERROR(INDEX(vdata_regressors!$A$1:$L$2000,MATCH($A13,vdata_regressors!$A$2:$A$2000,0)+1,MATCH(L$2,vdata_regressors!$A$1:$R$1,0)),"")</f>
        <v>0</v>
      </c>
      <c r="M13" s="23">
        <f>IFERROR(VLOOKUP(A13,vdata_hours!$A$2:$B$1000,2,FALSE),"")</f>
        <v>10</v>
      </c>
    </row>
    <row r="14" spans="1:13" x14ac:dyDescent="0.25">
      <c r="A14" s="23" t="str">
        <f>IF(vdata_hours!A13=0,"",vdata_hours!A13)</f>
        <v>ABBVIE-M13-694/GOG-3005</v>
      </c>
      <c r="B14" s="23">
        <f>IFERROR(INDEX(vdata_regressors!$A$1:$L$2000,MATCH($A14,vdata_regressors!$A$2:$A$2000,0)+1,MATCH(B$2,vdata_regressors!$A$1:$R$1,0)),"")</f>
        <v>0</v>
      </c>
      <c r="C14" s="23">
        <f>IFERROR(INDEX(vdata_regressors!$A$1:$L$2000,MATCH($A14,vdata_regressors!$A$2:$A$2000,0)+1,MATCH(C$2,vdata_regressors!$A$1:$R$1,0)),"")</f>
        <v>1</v>
      </c>
      <c r="D14" s="23">
        <f>IFERROR(INDEX(vdata_regressors!$A$1:$L$2000,MATCH($A14,vdata_regressors!$A$2:$A$2000,0)+1,MATCH(D$2,vdata_regressors!$A$1:$R$1,0)),"")</f>
        <v>1</v>
      </c>
      <c r="E14" s="23">
        <f>IFERROR(INDEX(vdata_regressors!$A$1:$L$2000,MATCH($A14,vdata_regressors!$A$2:$A$2000,0)+1,MATCH(E$2,vdata_regressors!$A$1:$R$1,0)),"")</f>
        <v>0</v>
      </c>
      <c r="F14" s="23">
        <f>IFERROR(INDEX(vdata_regressors!$A$1:$L$2000,MATCH($A14,vdata_regressors!$A$2:$A$2000,0)+1,MATCH(F$2,vdata_regressors!$A$1:$R$1,0)),"")</f>
        <v>2</v>
      </c>
      <c r="G14" s="23">
        <f>IFERROR(INDEX(vdata_regressors!$A$1:$L$2000,MATCH($A14,vdata_regressors!$A$2:$A$2000,0)+1,MATCH(G$2,vdata_regressors!$A$1:$R$1,0)),"")</f>
        <v>2</v>
      </c>
      <c r="H14" s="23">
        <f>IFERROR(INDEX(vdata_regressors!$A$1:$L$2000,MATCH($A14,vdata_regressors!$A$2:$A$2000,0)+1,MATCH(H$2,vdata_regressors!$A$1:$R$1,0)),"")</f>
        <v>0</v>
      </c>
      <c r="I14" s="23">
        <f>IFERROR(INDEX(vdata_regressors!$A$1:$L$2000,MATCH($A14,vdata_regressors!$A$2:$A$2000,0)+1,MATCH(I$2,vdata_regressors!$A$1:$R$1,0)),"")</f>
        <v>3</v>
      </c>
      <c r="J14" s="23">
        <f>IFERROR(INDEX(vdata_regressors!$A$1:$L$2000,MATCH($A14,vdata_regressors!$A$2:$A$2000,0)+1,MATCH(J$2,vdata_regressors!$A$1:$R$1,0)),"")</f>
        <v>0.75</v>
      </c>
      <c r="K14" s="23">
        <f>IFERROR(INDEX(vdata_regressors!$A$1:$L$2000,MATCH($A14,vdata_regressors!$A$2:$A$2000,0)+1,MATCH(K$2,vdata_regressors!$A$1:$R$1,0)),"")</f>
        <v>1</v>
      </c>
      <c r="L14" s="23">
        <f>IFERROR(INDEX(vdata_regressors!$A$1:$L$2000,MATCH($A14,vdata_regressors!$A$2:$A$2000,0)+1,MATCH(L$2,vdata_regressors!$A$1:$R$1,0)),"")</f>
        <v>0</v>
      </c>
      <c r="M14" s="23">
        <f>IFERROR(VLOOKUP(A14,vdata_hours!$A$2:$B$1000,2,FALSE),"")</f>
        <v>12</v>
      </c>
    </row>
    <row r="15" spans="1:13" x14ac:dyDescent="0.25">
      <c r="A15" s="23" t="str">
        <f>IF(vdata_hours!A14=0,"",vdata_hours!A14)</f>
        <v>FUKUI-2019-1</v>
      </c>
      <c r="B15" s="23">
        <f>IFERROR(INDEX(vdata_regressors!$A$1:$L$2000,MATCH($A15,vdata_regressors!$A$2:$A$2000,0)+1,MATCH(B$2,vdata_regressors!$A$1:$R$1,0)),"")</f>
        <v>1</v>
      </c>
      <c r="C15" s="23">
        <f>IFERROR(INDEX(vdata_regressors!$A$1:$L$2000,MATCH($A15,vdata_regressors!$A$2:$A$2000,0)+1,MATCH(C$2,vdata_regressors!$A$1:$R$1,0)),"")</f>
        <v>1</v>
      </c>
      <c r="D15" s="23">
        <f>IFERROR(INDEX(vdata_regressors!$A$1:$L$2000,MATCH($A15,vdata_regressors!$A$2:$A$2000,0)+1,MATCH(D$2,vdata_regressors!$A$1:$R$1,0)),"")</f>
        <v>0</v>
      </c>
      <c r="E15" s="23">
        <f>IFERROR(INDEX(vdata_regressors!$A$1:$L$2000,MATCH($A15,vdata_regressors!$A$2:$A$2000,0)+1,MATCH(E$2,vdata_regressors!$A$1:$R$1,0)),"")</f>
        <v>0</v>
      </c>
      <c r="F15" s="23">
        <f>IFERROR(INDEX(vdata_regressors!$A$1:$L$2000,MATCH($A15,vdata_regressors!$A$2:$A$2000,0)+1,MATCH(F$2,vdata_regressors!$A$1:$R$1,0)),"")</f>
        <v>3</v>
      </c>
      <c r="G15" s="23">
        <f>IFERROR(INDEX(vdata_regressors!$A$1:$L$2000,MATCH($A15,vdata_regressors!$A$2:$A$2000,0)+1,MATCH(G$2,vdata_regressors!$A$1:$R$1,0)),"")</f>
        <v>2</v>
      </c>
      <c r="H15" s="23">
        <f>IFERROR(INDEX(vdata_regressors!$A$1:$L$2000,MATCH($A15,vdata_regressors!$A$2:$A$2000,0)+1,MATCH(H$2,vdata_regressors!$A$1:$R$1,0)),"")</f>
        <v>0</v>
      </c>
      <c r="I15" s="23">
        <f>IFERROR(INDEX(vdata_regressors!$A$1:$L$2000,MATCH($A15,vdata_regressors!$A$2:$A$2000,0)+1,MATCH(I$2,vdata_regressors!$A$1:$R$1,0)),"")</f>
        <v>0</v>
      </c>
      <c r="J15" s="23">
        <f>IFERROR(INDEX(vdata_regressors!$A$1:$L$2000,MATCH($A15,vdata_regressors!$A$2:$A$2000,0)+1,MATCH(J$2,vdata_regressors!$A$1:$R$1,0)),"")</f>
        <v>0.75</v>
      </c>
      <c r="K15" s="23">
        <f>IFERROR(INDEX(vdata_regressors!$A$1:$L$2000,MATCH($A15,vdata_regressors!$A$2:$A$2000,0)+1,MATCH(K$2,vdata_regressors!$A$1:$R$1,0)),"")</f>
        <v>1</v>
      </c>
      <c r="L15" s="23">
        <f>IFERROR(INDEX(vdata_regressors!$A$1:$L$2000,MATCH($A15,vdata_regressors!$A$2:$A$2000,0)+1,MATCH(L$2,vdata_regressors!$A$1:$R$1,0)),"")</f>
        <v>0</v>
      </c>
      <c r="M15" s="23">
        <f>IFERROR(VLOOKUP(A15,vdata_hours!$A$2:$B$1000,2,FALSE),"")</f>
        <v>13</v>
      </c>
    </row>
    <row r="16" spans="1:13" x14ac:dyDescent="0.25">
      <c r="A16" s="23" t="str">
        <f>IF(vdata_hours!A15=0,"",vdata_hours!A15)</f>
        <v>YU-2019-1</v>
      </c>
      <c r="B16" s="23">
        <f>IFERROR(INDEX(vdata_regressors!$A$1:$L$2000,MATCH($A16,vdata_regressors!$A$2:$A$2000,0)+1,MATCH(B$2,vdata_regressors!$A$1:$R$1,0)),"")</f>
        <v>1</v>
      </c>
      <c r="C16" s="23">
        <f>IFERROR(INDEX(vdata_regressors!$A$1:$L$2000,MATCH($A16,vdata_regressors!$A$2:$A$2000,0)+1,MATCH(C$2,vdata_regressors!$A$1:$R$1,0)),"")</f>
        <v>0.25</v>
      </c>
      <c r="D16" s="23">
        <f>IFERROR(INDEX(vdata_regressors!$A$1:$L$2000,MATCH($A16,vdata_regressors!$A$2:$A$2000,0)+1,MATCH(D$2,vdata_regressors!$A$1:$R$1,0)),"")</f>
        <v>0</v>
      </c>
      <c r="E16" s="23">
        <f>IFERROR(INDEX(vdata_regressors!$A$1:$L$2000,MATCH($A16,vdata_regressors!$A$2:$A$2000,0)+1,MATCH(E$2,vdata_regressors!$A$1:$R$1,0)),"")</f>
        <v>0</v>
      </c>
      <c r="F16" s="23">
        <f>IFERROR(INDEX(vdata_regressors!$A$1:$L$2000,MATCH($A16,vdata_regressors!$A$2:$A$2000,0)+1,MATCH(F$2,vdata_regressors!$A$1:$R$1,0)),"")</f>
        <v>1</v>
      </c>
      <c r="G16" s="23">
        <f>IFERROR(INDEX(vdata_regressors!$A$1:$L$2000,MATCH($A16,vdata_regressors!$A$2:$A$2000,0)+1,MATCH(G$2,vdata_regressors!$A$1:$R$1,0)),"")</f>
        <v>1</v>
      </c>
      <c r="H16" s="23">
        <f>IFERROR(INDEX(vdata_regressors!$A$1:$L$2000,MATCH($A16,vdata_regressors!$A$2:$A$2000,0)+1,MATCH(H$2,vdata_regressors!$A$1:$R$1,0)),"")</f>
        <v>0</v>
      </c>
      <c r="I16" s="23">
        <f>IFERROR(INDEX(vdata_regressors!$A$1:$L$2000,MATCH($A16,vdata_regressors!$A$2:$A$2000,0)+1,MATCH(I$2,vdata_regressors!$A$1:$R$1,0)),"")</f>
        <v>0</v>
      </c>
      <c r="J16" s="23">
        <f>IFERROR(INDEX(vdata_regressors!$A$1:$L$2000,MATCH($A16,vdata_regressors!$A$2:$A$2000,0)+1,MATCH(J$2,vdata_regressors!$A$1:$R$1,0)),"")</f>
        <v>0.75</v>
      </c>
      <c r="K16" s="23">
        <f>IFERROR(INDEX(vdata_regressors!$A$1:$L$2000,MATCH($A16,vdata_regressors!$A$2:$A$2000,0)+1,MATCH(K$2,vdata_regressors!$A$1:$R$1,0)),"")</f>
        <v>1</v>
      </c>
      <c r="L16" s="23">
        <f>IFERROR(INDEX(vdata_regressors!$A$1:$L$2000,MATCH($A16,vdata_regressors!$A$2:$A$2000,0)+1,MATCH(L$2,vdata_regressors!$A$1:$R$1,0)),"")</f>
        <v>0</v>
      </c>
      <c r="M16" s="23">
        <f>IFERROR(VLOOKUP(A16,vdata_hours!$A$2:$B$1000,2,FALSE),"")</f>
        <v>14.5</v>
      </c>
    </row>
    <row r="17" spans="1:13" x14ac:dyDescent="0.25">
      <c r="A17" s="23" t="str">
        <f>IF(vdata_hours!A16=0,"",vdata_hours!A16)</f>
        <v>LEMARCHAND-2019-1</v>
      </c>
      <c r="B17" s="23">
        <f>IFERROR(INDEX(vdata_regressors!$A$1:$L$2000,MATCH($A17,vdata_regressors!$A$2:$A$2000,0)+1,MATCH(B$2,vdata_regressors!$A$1:$R$1,0)),"")</f>
        <v>1</v>
      </c>
      <c r="C17" s="23">
        <f>IFERROR(INDEX(vdata_regressors!$A$1:$L$2000,MATCH($A17,vdata_regressors!$A$2:$A$2000,0)+1,MATCH(C$2,vdata_regressors!$A$1:$R$1,0)),"")</f>
        <v>1</v>
      </c>
      <c r="D17" s="23">
        <f>IFERROR(INDEX(vdata_regressors!$A$1:$L$2000,MATCH($A17,vdata_regressors!$A$2:$A$2000,0)+1,MATCH(D$2,vdata_regressors!$A$1:$R$1,0)),"")</f>
        <v>0</v>
      </c>
      <c r="E17" s="23">
        <f>IFERROR(INDEX(vdata_regressors!$A$1:$L$2000,MATCH($A17,vdata_regressors!$A$2:$A$2000,0)+1,MATCH(E$2,vdata_regressors!$A$1:$R$1,0)),"")</f>
        <v>0</v>
      </c>
      <c r="F17" s="23">
        <f>IFERROR(INDEX(vdata_regressors!$A$1:$L$2000,MATCH($A17,vdata_regressors!$A$2:$A$2000,0)+1,MATCH(F$2,vdata_regressors!$A$1:$R$1,0)),"")</f>
        <v>1</v>
      </c>
      <c r="G17" s="23">
        <f>IFERROR(INDEX(vdata_regressors!$A$1:$L$2000,MATCH($A17,vdata_regressors!$A$2:$A$2000,0)+1,MATCH(G$2,vdata_regressors!$A$1:$R$1,0)),"")</f>
        <v>1</v>
      </c>
      <c r="H17" s="23">
        <f>IFERROR(INDEX(vdata_regressors!$A$1:$L$2000,MATCH($A17,vdata_regressors!$A$2:$A$2000,0)+1,MATCH(H$2,vdata_regressors!$A$1:$R$1,0)),"")</f>
        <v>0</v>
      </c>
      <c r="I17" s="23">
        <f>IFERROR(INDEX(vdata_regressors!$A$1:$L$2000,MATCH($A17,vdata_regressors!$A$2:$A$2000,0)+1,MATCH(I$2,vdata_regressors!$A$1:$R$1,0)),"")</f>
        <v>0</v>
      </c>
      <c r="J17" s="23">
        <f>IFERROR(INDEX(vdata_regressors!$A$1:$L$2000,MATCH($A17,vdata_regressors!$A$2:$A$2000,0)+1,MATCH(J$2,vdata_regressors!$A$1:$R$1,0)),"")</f>
        <v>0.75</v>
      </c>
      <c r="K17" s="23">
        <f>IFERROR(INDEX(vdata_regressors!$A$1:$L$2000,MATCH($A17,vdata_regressors!$A$2:$A$2000,0)+1,MATCH(K$2,vdata_regressors!$A$1:$R$1,0)),"")</f>
        <v>1</v>
      </c>
      <c r="L17" s="23">
        <f>IFERROR(INDEX(vdata_regressors!$A$1:$L$2000,MATCH($A17,vdata_regressors!$A$2:$A$2000,0)+1,MATCH(L$2,vdata_regressors!$A$1:$R$1,0)),"")</f>
        <v>0</v>
      </c>
      <c r="M17" s="23">
        <f>IFERROR(VLOOKUP(A17,vdata_hours!$A$2:$B$1000,2,FALSE),"")</f>
        <v>17</v>
      </c>
    </row>
    <row r="18" spans="1:13" x14ac:dyDescent="0.25">
      <c r="A18" s="23" t="str">
        <f>IF(vdata_hours!A17=0,"",vdata_hours!A17)</f>
        <v>RIFTOS-MKI</v>
      </c>
      <c r="B18" s="23">
        <f>IFERROR(INDEX(vdata_regressors!$A$1:$L$2000,MATCH($A18,vdata_regressors!$A$2:$A$2000,0)+1,MATCH(B$2,vdata_regressors!$A$1:$R$1,0)),"")</f>
        <v>0</v>
      </c>
      <c r="C18" s="23">
        <f>IFERROR(INDEX(vdata_regressors!$A$1:$L$2000,MATCH($A18,vdata_regressors!$A$2:$A$2000,0)+1,MATCH(C$2,vdata_regressors!$A$1:$R$1,0)),"")</f>
        <v>0.25</v>
      </c>
      <c r="D18" s="23">
        <f>IFERROR(INDEX(vdata_regressors!$A$1:$L$2000,MATCH($A18,vdata_regressors!$A$2:$A$2000,0)+1,MATCH(D$2,vdata_regressors!$A$1:$R$1,0)),"")</f>
        <v>0</v>
      </c>
      <c r="E18" s="23">
        <f>IFERROR(INDEX(vdata_regressors!$A$1:$L$2000,MATCH($A18,vdata_regressors!$A$2:$A$2000,0)+1,MATCH(E$2,vdata_regressors!$A$1:$R$1,0)),"")</f>
        <v>0</v>
      </c>
      <c r="F18" s="23">
        <f>IFERROR(INDEX(vdata_regressors!$A$1:$L$2000,MATCH($A18,vdata_regressors!$A$2:$A$2000,0)+1,MATCH(F$2,vdata_regressors!$A$1:$R$1,0)),"")</f>
        <v>4</v>
      </c>
      <c r="G18" s="23">
        <f>IFERROR(INDEX(vdata_regressors!$A$1:$L$2000,MATCH($A18,vdata_regressors!$A$2:$A$2000,0)+1,MATCH(G$2,vdata_regressors!$A$1:$R$1,0)),"")</f>
        <v>1</v>
      </c>
      <c r="H18" s="23">
        <f>IFERROR(INDEX(vdata_regressors!$A$1:$L$2000,MATCH($A18,vdata_regressors!$A$2:$A$2000,0)+1,MATCH(H$2,vdata_regressors!$A$1:$R$1,0)),"")</f>
        <v>0</v>
      </c>
      <c r="I18" s="23">
        <f>IFERROR(INDEX(vdata_regressors!$A$1:$L$2000,MATCH($A18,vdata_regressors!$A$2:$A$2000,0)+1,MATCH(I$2,vdata_regressors!$A$1:$R$1,0)),"")</f>
        <v>3</v>
      </c>
      <c r="J18" s="23">
        <f>IFERROR(INDEX(vdata_regressors!$A$1:$L$2000,MATCH($A18,vdata_regressors!$A$2:$A$2000,0)+1,MATCH(J$2,vdata_regressors!$A$1:$R$1,0)),"")</f>
        <v>0.75</v>
      </c>
      <c r="K18" s="23">
        <f>IFERROR(INDEX(vdata_regressors!$A$1:$L$2000,MATCH($A18,vdata_regressors!$A$2:$A$2000,0)+1,MATCH(K$2,vdata_regressors!$A$1:$R$1,0)),"")</f>
        <v>1</v>
      </c>
      <c r="L18" s="23">
        <f>IFERROR(INDEX(vdata_regressors!$A$1:$L$2000,MATCH($A18,vdata_regressors!$A$2:$A$2000,0)+1,MATCH(L$2,vdata_regressors!$A$1:$R$1,0)),"")</f>
        <v>0</v>
      </c>
      <c r="M18" s="23">
        <f>IFERROR(VLOOKUP(A18,vdata_hours!$A$2:$B$1000,2,FALSE),"")</f>
        <v>18</v>
      </c>
    </row>
    <row r="19" spans="1:13" x14ac:dyDescent="0.25">
      <c r="A19" s="23" t="str">
        <f>IF(vdata_hours!A18=0,"",vdata_hours!A18)</f>
        <v>AFT-28</v>
      </c>
      <c r="B19" s="23">
        <f>IFERROR(INDEX(vdata_regressors!$A$1:$L$2000,MATCH($A19,vdata_regressors!$A$2:$A$2000,0)+1,MATCH(B$2,vdata_regressors!$A$1:$R$1,0)),"")</f>
        <v>0</v>
      </c>
      <c r="C19" s="23">
        <f>IFERROR(INDEX(vdata_regressors!$A$1:$L$2000,MATCH($A19,vdata_regressors!$A$2:$A$2000,0)+1,MATCH(C$2,vdata_regressors!$A$1:$R$1,0)),"")</f>
        <v>1</v>
      </c>
      <c r="D19" s="23">
        <f>IFERROR(INDEX(vdata_regressors!$A$1:$L$2000,MATCH($A19,vdata_regressors!$A$2:$A$2000,0)+1,MATCH(D$2,vdata_regressors!$A$1:$R$1,0)),"")</f>
        <v>0</v>
      </c>
      <c r="E19" s="23">
        <f>IFERROR(INDEX(vdata_regressors!$A$1:$L$2000,MATCH($A19,vdata_regressors!$A$2:$A$2000,0)+1,MATCH(E$2,vdata_regressors!$A$1:$R$1,0)),"")</f>
        <v>0</v>
      </c>
      <c r="F19" s="23">
        <f>IFERROR(INDEX(vdata_regressors!$A$1:$L$2000,MATCH($A19,vdata_regressors!$A$2:$A$2000,0)+1,MATCH(F$2,vdata_regressors!$A$1:$R$1,0)),"")</f>
        <v>4</v>
      </c>
      <c r="G19" s="23">
        <f>IFERROR(INDEX(vdata_regressors!$A$1:$L$2000,MATCH($A19,vdata_regressors!$A$2:$A$2000,0)+1,MATCH(G$2,vdata_regressors!$A$1:$R$1,0)),"")</f>
        <v>5</v>
      </c>
      <c r="H19" s="23">
        <f>IFERROR(INDEX(vdata_regressors!$A$1:$L$2000,MATCH($A19,vdata_regressors!$A$2:$A$2000,0)+1,MATCH(H$2,vdata_regressors!$A$1:$R$1,0)),"")</f>
        <v>0</v>
      </c>
      <c r="I19" s="23">
        <f>IFERROR(INDEX(vdata_regressors!$A$1:$L$2000,MATCH($A19,vdata_regressors!$A$2:$A$2000,0)+1,MATCH(I$2,vdata_regressors!$A$1:$R$1,0)),"")</f>
        <v>1</v>
      </c>
      <c r="J19" s="23">
        <f>IFERROR(INDEX(vdata_regressors!$A$1:$L$2000,MATCH($A19,vdata_regressors!$A$2:$A$2000,0)+1,MATCH(J$2,vdata_regressors!$A$1:$R$1,0)),"")</f>
        <v>0.75</v>
      </c>
      <c r="K19" s="23">
        <f>IFERROR(INDEX(vdata_regressors!$A$1:$L$2000,MATCH($A19,vdata_regressors!$A$2:$A$2000,0)+1,MATCH(K$2,vdata_regressors!$A$1:$R$1,0)),"")</f>
        <v>1</v>
      </c>
      <c r="L19" s="23">
        <f>IFERROR(INDEX(vdata_regressors!$A$1:$L$2000,MATCH($A19,vdata_regressors!$A$2:$A$2000,0)+1,MATCH(L$2,vdata_regressors!$A$1:$R$1,0)),"")</f>
        <v>0</v>
      </c>
      <c r="M19" s="23">
        <f>IFERROR(VLOOKUP(A19,vdata_hours!$A$2:$B$1000,2,FALSE),"")</f>
        <v>18</v>
      </c>
    </row>
    <row r="20" spans="1:13" x14ac:dyDescent="0.25">
      <c r="A20" s="23" t="str">
        <f>IF(vdata_hours!A19=0,"",vdata_hours!A19)</f>
        <v>VIVENTIA-VB4-845-02-IIIA</v>
      </c>
      <c r="B20" s="23">
        <f>IFERROR(INDEX(vdata_regressors!$A$1:$L$2000,MATCH($A20,vdata_regressors!$A$2:$A$2000,0)+1,MATCH(B$2,vdata_regressors!$A$1:$R$1,0)),"")</f>
        <v>0</v>
      </c>
      <c r="C20" s="23">
        <f>IFERROR(INDEX(vdata_regressors!$A$1:$L$2000,MATCH($A20,vdata_regressors!$A$2:$A$2000,0)+1,MATCH(C$2,vdata_regressors!$A$1:$R$1,0)),"")</f>
        <v>1</v>
      </c>
      <c r="D20" s="23">
        <f>IFERROR(INDEX(vdata_regressors!$A$1:$L$2000,MATCH($A20,vdata_regressors!$A$2:$A$2000,0)+1,MATCH(D$2,vdata_regressors!$A$1:$R$1,0)),"")</f>
        <v>1</v>
      </c>
      <c r="E20" s="23">
        <f>IFERROR(INDEX(vdata_regressors!$A$1:$L$2000,MATCH($A20,vdata_regressors!$A$2:$A$2000,0)+1,MATCH(E$2,vdata_regressors!$A$1:$R$1,0)),"")</f>
        <v>0</v>
      </c>
      <c r="F20" s="23">
        <f>IFERROR(INDEX(vdata_regressors!$A$1:$L$2000,MATCH($A20,vdata_regressors!$A$2:$A$2000,0)+1,MATCH(F$2,vdata_regressors!$A$1:$R$1,0)),"")</f>
        <v>2</v>
      </c>
      <c r="G20" s="23">
        <f>IFERROR(INDEX(vdata_regressors!$A$1:$L$2000,MATCH($A20,vdata_regressors!$A$2:$A$2000,0)+1,MATCH(G$2,vdata_regressors!$A$1:$R$1,0)),"")</f>
        <v>2</v>
      </c>
      <c r="H20" s="23">
        <f>IFERROR(INDEX(vdata_regressors!$A$1:$L$2000,MATCH($A20,vdata_regressors!$A$2:$A$2000,0)+1,MATCH(H$2,vdata_regressors!$A$1:$R$1,0)),"")</f>
        <v>0</v>
      </c>
      <c r="I20" s="23">
        <f>IFERROR(INDEX(vdata_regressors!$A$1:$L$2000,MATCH($A20,vdata_regressors!$A$2:$A$2000,0)+1,MATCH(I$2,vdata_regressors!$A$1:$R$1,0)),"")</f>
        <v>1</v>
      </c>
      <c r="J20" s="23">
        <f>IFERROR(INDEX(vdata_regressors!$A$1:$L$2000,MATCH($A20,vdata_regressors!$A$2:$A$2000,0)+1,MATCH(J$2,vdata_regressors!$A$1:$R$1,0)),"")</f>
        <v>0.75</v>
      </c>
      <c r="K20" s="23">
        <f>IFERROR(INDEX(vdata_regressors!$A$1:$L$2000,MATCH($A20,vdata_regressors!$A$2:$A$2000,0)+1,MATCH(K$2,vdata_regressors!$A$1:$R$1,0)),"")</f>
        <v>1</v>
      </c>
      <c r="L20" s="23">
        <f>IFERROR(INDEX(vdata_regressors!$A$1:$L$2000,MATCH($A20,vdata_regressors!$A$2:$A$2000,0)+1,MATCH(L$2,vdata_regressors!$A$1:$R$1,0)),"")</f>
        <v>0</v>
      </c>
      <c r="M20" s="23">
        <f>IFERROR(VLOOKUP(A20,vdata_hours!$A$2:$B$1000,2,FALSE),"")</f>
        <v>19.5</v>
      </c>
    </row>
    <row r="21" spans="1:13" x14ac:dyDescent="0.25">
      <c r="A21" s="23" t="str">
        <f>IF(vdata_hours!A20=0,"",vdata_hours!A20)</f>
        <v>MERCK-MK-3475-177-00</v>
      </c>
      <c r="B21" s="23">
        <f>IFERROR(INDEX(vdata_regressors!$A$1:$L$2000,MATCH($A21,vdata_regressors!$A$2:$A$2000,0)+1,MATCH(B$2,vdata_regressors!$A$1:$R$1,0)),"")</f>
        <v>0</v>
      </c>
      <c r="C21" s="23">
        <f>IFERROR(INDEX(vdata_regressors!$A$1:$L$2000,MATCH($A21,vdata_regressors!$A$2:$A$2000,0)+1,MATCH(C$2,vdata_regressors!$A$1:$R$1,0)),"")</f>
        <v>1</v>
      </c>
      <c r="D21" s="23">
        <f>IFERROR(INDEX(vdata_regressors!$A$1:$L$2000,MATCH($A21,vdata_regressors!$A$2:$A$2000,0)+1,MATCH(D$2,vdata_regressors!$A$1:$R$1,0)),"")</f>
        <v>1</v>
      </c>
      <c r="E21" s="23">
        <f>IFERROR(INDEX(vdata_regressors!$A$1:$L$2000,MATCH($A21,vdata_regressors!$A$2:$A$2000,0)+1,MATCH(E$2,vdata_regressors!$A$1:$R$1,0)),"")</f>
        <v>0</v>
      </c>
      <c r="F21" s="23">
        <f>IFERROR(INDEX(vdata_regressors!$A$1:$L$2000,MATCH($A21,vdata_regressors!$A$2:$A$2000,0)+1,MATCH(F$2,vdata_regressors!$A$1:$R$1,0)),"")</f>
        <v>2</v>
      </c>
      <c r="G21" s="23">
        <f>IFERROR(INDEX(vdata_regressors!$A$1:$L$2000,MATCH($A21,vdata_regressors!$A$2:$A$2000,0)+1,MATCH(G$2,vdata_regressors!$A$1:$R$1,0)),"")</f>
        <v>4</v>
      </c>
      <c r="H21" s="23">
        <f>IFERROR(INDEX(vdata_regressors!$A$1:$L$2000,MATCH($A21,vdata_regressors!$A$2:$A$2000,0)+1,MATCH(H$2,vdata_regressors!$A$1:$R$1,0)),"")</f>
        <v>4</v>
      </c>
      <c r="I21" s="23">
        <f>IFERROR(INDEX(vdata_regressors!$A$1:$L$2000,MATCH($A21,vdata_regressors!$A$2:$A$2000,0)+1,MATCH(I$2,vdata_regressors!$A$1:$R$1,0)),"")</f>
        <v>0</v>
      </c>
      <c r="J21" s="23">
        <f>IFERROR(INDEX(vdata_regressors!$A$1:$L$2000,MATCH($A21,vdata_regressors!$A$2:$A$2000,0)+1,MATCH(J$2,vdata_regressors!$A$1:$R$1,0)),"")</f>
        <v>0.75</v>
      </c>
      <c r="K21" s="23">
        <f>IFERROR(INDEX(vdata_regressors!$A$1:$L$2000,MATCH($A21,vdata_regressors!$A$2:$A$2000,0)+1,MATCH(K$2,vdata_regressors!$A$1:$R$1,0)),"")</f>
        <v>1</v>
      </c>
      <c r="L21" s="23">
        <f>IFERROR(INDEX(vdata_regressors!$A$1:$L$2000,MATCH($A21,vdata_regressors!$A$2:$A$2000,0)+1,MATCH(L$2,vdata_regressors!$A$1:$R$1,0)),"")</f>
        <v>0</v>
      </c>
      <c r="M21" s="23">
        <f>IFERROR(VLOOKUP(A21,vdata_hours!$A$2:$B$1000,2,FALSE),"")</f>
        <v>19.5</v>
      </c>
    </row>
    <row r="22" spans="1:13" x14ac:dyDescent="0.25">
      <c r="A22" s="23" t="str">
        <f>IF(vdata_hours!A21=0,"",vdata_hours!A21)</f>
        <v>NRG-LU003</v>
      </c>
      <c r="B22" s="23">
        <f>IFERROR(INDEX(vdata_regressors!$A$1:$L$2000,MATCH($A22,vdata_regressors!$A$2:$A$2000,0)+1,MATCH(B$2,vdata_regressors!$A$1:$R$1,0)),"")</f>
        <v>0</v>
      </c>
      <c r="C22" s="23">
        <f>IFERROR(INDEX(vdata_regressors!$A$1:$L$2000,MATCH($A22,vdata_regressors!$A$2:$A$2000,0)+1,MATCH(C$2,vdata_regressors!$A$1:$R$1,0)),"")</f>
        <v>1</v>
      </c>
      <c r="D22" s="23">
        <f>IFERROR(INDEX(vdata_regressors!$A$1:$L$2000,MATCH($A22,vdata_regressors!$A$2:$A$2000,0)+1,MATCH(D$2,vdata_regressors!$A$1:$R$1,0)),"")</f>
        <v>0</v>
      </c>
      <c r="E22" s="23">
        <f>IFERROR(INDEX(vdata_regressors!$A$1:$L$2000,MATCH($A22,vdata_regressors!$A$2:$A$2000,0)+1,MATCH(E$2,vdata_regressors!$A$1:$R$1,0)),"")</f>
        <v>0</v>
      </c>
      <c r="F22" s="23">
        <f>IFERROR(INDEX(vdata_regressors!$A$1:$L$2000,MATCH($A22,vdata_regressors!$A$2:$A$2000,0)+1,MATCH(F$2,vdata_regressors!$A$1:$R$1,0)),"")</f>
        <v>5</v>
      </c>
      <c r="G22" s="23">
        <f>IFERROR(INDEX(vdata_regressors!$A$1:$L$2000,MATCH($A22,vdata_regressors!$A$2:$A$2000,0)+1,MATCH(G$2,vdata_regressors!$A$1:$R$1,0)),"")</f>
        <v>14</v>
      </c>
      <c r="H22" s="23">
        <f>IFERROR(INDEX(vdata_regressors!$A$1:$L$2000,MATCH($A22,vdata_regressors!$A$2:$A$2000,0)+1,MATCH(H$2,vdata_regressors!$A$1:$R$1,0)),"")</f>
        <v>0</v>
      </c>
      <c r="I22" s="23">
        <f>IFERROR(INDEX(vdata_regressors!$A$1:$L$2000,MATCH($A22,vdata_regressors!$A$2:$A$2000,0)+1,MATCH(I$2,vdata_regressors!$A$1:$R$1,0)),"")</f>
        <v>0</v>
      </c>
      <c r="J22" s="23">
        <f>IFERROR(INDEX(vdata_regressors!$A$1:$L$2000,MATCH($A22,vdata_regressors!$A$2:$A$2000,0)+1,MATCH(J$2,vdata_regressors!$A$1:$R$1,0)),"")</f>
        <v>0.5</v>
      </c>
      <c r="K22" s="23">
        <f>IFERROR(INDEX(vdata_regressors!$A$1:$L$2000,MATCH($A22,vdata_regressors!$A$2:$A$2000,0)+1,MATCH(K$2,vdata_regressors!$A$1:$R$1,0)),"")</f>
        <v>0.5</v>
      </c>
      <c r="L22" s="23">
        <f>IFERROR(INDEX(vdata_regressors!$A$1:$L$2000,MATCH($A22,vdata_regressors!$A$2:$A$2000,0)+1,MATCH(L$2,vdata_regressors!$A$1:$R$1,0)),"")</f>
        <v>0</v>
      </c>
      <c r="M22" s="23">
        <f>IFERROR(VLOOKUP(A22,vdata_hours!$A$2:$B$1000,2,FALSE),"")</f>
        <v>20</v>
      </c>
    </row>
    <row r="23" spans="1:13" x14ac:dyDescent="0.25">
      <c r="A23" s="23" t="str">
        <f>IF(vdata_hours!A22=0,"",vdata_hours!A22)</f>
        <v>MILLENNIUM-C16014</v>
      </c>
      <c r="B23" s="23">
        <f>IFERROR(INDEX(vdata_regressors!$A$1:$L$2000,MATCH($A23,vdata_regressors!$A$2:$A$2000,0)+1,MATCH(B$2,vdata_regressors!$A$1:$R$1,0)),"")</f>
        <v>0</v>
      </c>
      <c r="C23" s="23">
        <f>IFERROR(INDEX(vdata_regressors!$A$1:$L$2000,MATCH($A23,vdata_regressors!$A$2:$A$2000,0)+1,MATCH(C$2,vdata_regressors!$A$1:$R$1,0)),"")</f>
        <v>1</v>
      </c>
      <c r="D23" s="23">
        <f>IFERROR(INDEX(vdata_regressors!$A$1:$L$2000,MATCH($A23,vdata_regressors!$A$2:$A$2000,0)+1,MATCH(D$2,vdata_regressors!$A$1:$R$1,0)),"")</f>
        <v>1</v>
      </c>
      <c r="E23" s="23">
        <f>IFERROR(INDEX(vdata_regressors!$A$1:$L$2000,MATCH($A23,vdata_regressors!$A$2:$A$2000,0)+1,MATCH(E$2,vdata_regressors!$A$1:$R$1,0)),"")</f>
        <v>0</v>
      </c>
      <c r="F23" s="23">
        <f>IFERROR(INDEX(vdata_regressors!$A$1:$L$2000,MATCH($A23,vdata_regressors!$A$2:$A$2000,0)+1,MATCH(F$2,vdata_regressors!$A$1:$R$1,0)),"")</f>
        <v>2</v>
      </c>
      <c r="G23" s="23">
        <f>IFERROR(INDEX(vdata_regressors!$A$1:$L$2000,MATCH($A23,vdata_regressors!$A$2:$A$2000,0)+1,MATCH(G$2,vdata_regressors!$A$1:$R$1,0)),"")</f>
        <v>5</v>
      </c>
      <c r="H23" s="23">
        <f>IFERROR(INDEX(vdata_regressors!$A$1:$L$2000,MATCH($A23,vdata_regressors!$A$2:$A$2000,0)+1,MATCH(H$2,vdata_regressors!$A$1:$R$1,0)),"")</f>
        <v>7</v>
      </c>
      <c r="I23" s="23">
        <f>IFERROR(INDEX(vdata_regressors!$A$1:$L$2000,MATCH($A23,vdata_regressors!$A$2:$A$2000,0)+1,MATCH(I$2,vdata_regressors!$A$1:$R$1,0)),"")</f>
        <v>0</v>
      </c>
      <c r="J23" s="23">
        <f>IFERROR(INDEX(vdata_regressors!$A$1:$L$2000,MATCH($A23,vdata_regressors!$A$2:$A$2000,0)+1,MATCH(J$2,vdata_regressors!$A$1:$R$1,0)),"")</f>
        <v>0.75</v>
      </c>
      <c r="K23" s="23">
        <f>IFERROR(INDEX(vdata_regressors!$A$1:$L$2000,MATCH($A23,vdata_regressors!$A$2:$A$2000,0)+1,MATCH(K$2,vdata_regressors!$A$1:$R$1,0)),"")</f>
        <v>1</v>
      </c>
      <c r="L23" s="23">
        <f>IFERROR(INDEX(vdata_regressors!$A$1:$L$2000,MATCH($A23,vdata_regressors!$A$2:$A$2000,0)+1,MATCH(L$2,vdata_regressors!$A$1:$R$1,0)),"")</f>
        <v>0</v>
      </c>
      <c r="M23" s="23">
        <f>IFERROR(VLOOKUP(A23,vdata_hours!$A$2:$B$1000,2,FALSE),"")</f>
        <v>21</v>
      </c>
    </row>
    <row r="24" spans="1:13" x14ac:dyDescent="0.25">
      <c r="A24" s="23" t="str">
        <f>IF(vdata_hours!A23=0,"",vdata_hours!A23)</f>
        <v>CITN-14</v>
      </c>
      <c r="B24" s="23">
        <f>IFERROR(INDEX(vdata_regressors!$A$1:$L$2000,MATCH($A24,vdata_regressors!$A$2:$A$2000,0)+1,MATCH(B$2,vdata_regressors!$A$1:$R$1,0)),"")</f>
        <v>0</v>
      </c>
      <c r="C24" s="23">
        <f>IFERROR(INDEX(vdata_regressors!$A$1:$L$2000,MATCH($A24,vdata_regressors!$A$2:$A$2000,0)+1,MATCH(C$2,vdata_regressors!$A$1:$R$1,0)),"")</f>
        <v>1</v>
      </c>
      <c r="D24" s="23">
        <f>IFERROR(INDEX(vdata_regressors!$A$1:$L$2000,MATCH($A24,vdata_regressors!$A$2:$A$2000,0)+1,MATCH(D$2,vdata_regressors!$A$1:$R$1,0)),"")</f>
        <v>0</v>
      </c>
      <c r="E24" s="23">
        <f>IFERROR(INDEX(vdata_regressors!$A$1:$L$2000,MATCH($A24,vdata_regressors!$A$2:$A$2000,0)+1,MATCH(E$2,vdata_regressors!$A$1:$R$1,0)),"")</f>
        <v>0</v>
      </c>
      <c r="F24" s="23">
        <f>IFERROR(INDEX(vdata_regressors!$A$1:$L$2000,MATCH($A24,vdata_regressors!$A$2:$A$2000,0)+1,MATCH(F$2,vdata_regressors!$A$1:$R$1,0)),"")</f>
        <v>4</v>
      </c>
      <c r="G24" s="23">
        <f>IFERROR(INDEX(vdata_regressors!$A$1:$L$2000,MATCH($A24,vdata_regressors!$A$2:$A$2000,0)+1,MATCH(G$2,vdata_regressors!$A$1:$R$1,0)),"")</f>
        <v>7</v>
      </c>
      <c r="H24" s="23">
        <f>IFERROR(INDEX(vdata_regressors!$A$1:$L$2000,MATCH($A24,vdata_regressors!$A$2:$A$2000,0)+1,MATCH(H$2,vdata_regressors!$A$1:$R$1,0)),"")</f>
        <v>0</v>
      </c>
      <c r="I24" s="23">
        <f>IFERROR(INDEX(vdata_regressors!$A$1:$L$2000,MATCH($A24,vdata_regressors!$A$2:$A$2000,0)+1,MATCH(I$2,vdata_regressors!$A$1:$R$1,0)),"")</f>
        <v>0</v>
      </c>
      <c r="J24" s="23">
        <f>IFERROR(INDEX(vdata_regressors!$A$1:$L$2000,MATCH($A24,vdata_regressors!$A$2:$A$2000,0)+1,MATCH(J$2,vdata_regressors!$A$1:$R$1,0)),"")</f>
        <v>0.5</v>
      </c>
      <c r="K24" s="23">
        <f>IFERROR(INDEX(vdata_regressors!$A$1:$L$2000,MATCH($A24,vdata_regressors!$A$2:$A$2000,0)+1,MATCH(K$2,vdata_regressors!$A$1:$R$1,0)),"")</f>
        <v>0.5</v>
      </c>
      <c r="L24" s="23">
        <f>IFERROR(INDEX(vdata_regressors!$A$1:$L$2000,MATCH($A24,vdata_regressors!$A$2:$A$2000,0)+1,MATCH(L$2,vdata_regressors!$A$1:$R$1,0)),"")</f>
        <v>0</v>
      </c>
      <c r="M24" s="23">
        <f>IFERROR(VLOOKUP(A24,vdata_hours!$A$2:$B$1000,2,FALSE),"")</f>
        <v>24</v>
      </c>
    </row>
    <row r="25" spans="1:13" x14ac:dyDescent="0.25">
      <c r="A25" s="23" t="str">
        <f>IF(vdata_hours!A24=0,"",vdata_hours!A24)</f>
        <v>AFT-19</v>
      </c>
      <c r="B25" s="23">
        <f>IFERROR(INDEX(vdata_regressors!$A$1:$L$2000,MATCH($A25,vdata_regressors!$A$2:$A$2000,0)+1,MATCH(B$2,vdata_regressors!$A$1:$R$1,0)),"")</f>
        <v>0</v>
      </c>
      <c r="C25" s="23">
        <f>IFERROR(INDEX(vdata_regressors!$A$1:$L$2000,MATCH($A25,vdata_regressors!$A$2:$A$2000,0)+1,MATCH(C$2,vdata_regressors!$A$1:$R$1,0)),"")</f>
        <v>1</v>
      </c>
      <c r="D25" s="23">
        <f>IFERROR(INDEX(vdata_regressors!$A$1:$L$2000,MATCH($A25,vdata_regressors!$A$2:$A$2000,0)+1,MATCH(D$2,vdata_regressors!$A$1:$R$1,0)),"")</f>
        <v>1</v>
      </c>
      <c r="E25" s="23">
        <f>IFERROR(INDEX(vdata_regressors!$A$1:$L$2000,MATCH($A25,vdata_regressors!$A$2:$A$2000,0)+1,MATCH(E$2,vdata_regressors!$A$1:$R$1,0)),"")</f>
        <v>0</v>
      </c>
      <c r="F25" s="23">
        <f>IFERROR(INDEX(vdata_regressors!$A$1:$L$2000,MATCH($A25,vdata_regressors!$A$2:$A$2000,0)+1,MATCH(F$2,vdata_regressors!$A$1:$R$1,0)),"")</f>
        <v>1</v>
      </c>
      <c r="G25" s="23">
        <f>IFERROR(INDEX(vdata_regressors!$A$1:$L$2000,MATCH($A25,vdata_regressors!$A$2:$A$2000,0)+1,MATCH(G$2,vdata_regressors!$A$1:$R$1,0)),"")</f>
        <v>2</v>
      </c>
      <c r="H25" s="23">
        <f>IFERROR(INDEX(vdata_regressors!$A$1:$L$2000,MATCH($A25,vdata_regressors!$A$2:$A$2000,0)+1,MATCH(H$2,vdata_regressors!$A$1:$R$1,0)),"")</f>
        <v>2</v>
      </c>
      <c r="I25" s="23">
        <f>IFERROR(INDEX(vdata_regressors!$A$1:$L$2000,MATCH($A25,vdata_regressors!$A$2:$A$2000,0)+1,MATCH(I$2,vdata_regressors!$A$1:$R$1,0)),"")</f>
        <v>0</v>
      </c>
      <c r="J25" s="23">
        <f>IFERROR(INDEX(vdata_regressors!$A$1:$L$2000,MATCH($A25,vdata_regressors!$A$2:$A$2000,0)+1,MATCH(J$2,vdata_regressors!$A$1:$R$1,0)),"")</f>
        <v>0.75</v>
      </c>
      <c r="K25" s="23">
        <f>IFERROR(INDEX(vdata_regressors!$A$1:$L$2000,MATCH($A25,vdata_regressors!$A$2:$A$2000,0)+1,MATCH(K$2,vdata_regressors!$A$1:$R$1,0)),"")</f>
        <v>1</v>
      </c>
      <c r="L25" s="23">
        <f>IFERROR(INDEX(vdata_regressors!$A$1:$L$2000,MATCH($A25,vdata_regressors!$A$2:$A$2000,0)+1,MATCH(L$2,vdata_regressors!$A$1:$R$1,0)),"")</f>
        <v>0</v>
      </c>
      <c r="M25" s="23">
        <f>IFERROR(VLOOKUP(A25,vdata_hours!$A$2:$B$1000,2,FALSE),"")</f>
        <v>30</v>
      </c>
    </row>
    <row r="26" spans="1:13" x14ac:dyDescent="0.25">
      <c r="A26" s="23" t="str">
        <f>IF(vdata_hours!A25=0,"",vdata_hours!A25)</f>
        <v>AFT-25-COMET</v>
      </c>
      <c r="B26" s="23">
        <f>IFERROR(INDEX(vdata_regressors!$A$1:$L$2000,MATCH($A26,vdata_regressors!$A$2:$A$2000,0)+1,MATCH(B$2,vdata_regressors!$A$1:$R$1,0)),"")</f>
        <v>0</v>
      </c>
      <c r="C26" s="23">
        <f>IFERROR(INDEX(vdata_regressors!$A$1:$L$2000,MATCH($A26,vdata_regressors!$A$2:$A$2000,0)+1,MATCH(C$2,vdata_regressors!$A$1:$R$1,0)),"")</f>
        <v>1</v>
      </c>
      <c r="D26" s="23">
        <f>IFERROR(INDEX(vdata_regressors!$A$1:$L$2000,MATCH($A26,vdata_regressors!$A$2:$A$2000,0)+1,MATCH(D$2,vdata_regressors!$A$1:$R$1,0)),"")</f>
        <v>0</v>
      </c>
      <c r="E26" s="23">
        <f>IFERROR(INDEX(vdata_regressors!$A$1:$L$2000,MATCH($A26,vdata_regressors!$A$2:$A$2000,0)+1,MATCH(E$2,vdata_regressors!$A$1:$R$1,0)),"")</f>
        <v>0</v>
      </c>
      <c r="F26" s="23">
        <f>IFERROR(INDEX(vdata_regressors!$A$1:$L$2000,MATCH($A26,vdata_regressors!$A$2:$A$2000,0)+1,MATCH(F$2,vdata_regressors!$A$1:$R$1,0)),"")</f>
        <v>1</v>
      </c>
      <c r="G26" s="23">
        <f>IFERROR(INDEX(vdata_regressors!$A$1:$L$2000,MATCH($A26,vdata_regressors!$A$2:$A$2000,0)+1,MATCH(G$2,vdata_regressors!$A$1:$R$1,0)),"")</f>
        <v>4</v>
      </c>
      <c r="H26" s="23">
        <f>IFERROR(INDEX(vdata_regressors!$A$1:$L$2000,MATCH($A26,vdata_regressors!$A$2:$A$2000,0)+1,MATCH(H$2,vdata_regressors!$A$1:$R$1,0)),"")</f>
        <v>1</v>
      </c>
      <c r="I26" s="23">
        <f>IFERROR(INDEX(vdata_regressors!$A$1:$L$2000,MATCH($A26,vdata_regressors!$A$2:$A$2000,0)+1,MATCH(I$2,vdata_regressors!$A$1:$R$1,0)),"")</f>
        <v>0</v>
      </c>
      <c r="J26" s="23">
        <f>IFERROR(INDEX(vdata_regressors!$A$1:$L$2000,MATCH($A26,vdata_regressors!$A$2:$A$2000,0)+1,MATCH(J$2,vdata_regressors!$A$1:$R$1,0)),"")</f>
        <v>0.75</v>
      </c>
      <c r="K26" s="23">
        <f>IFERROR(INDEX(vdata_regressors!$A$1:$L$2000,MATCH($A26,vdata_regressors!$A$2:$A$2000,0)+1,MATCH(K$2,vdata_regressors!$A$1:$R$1,0)),"")</f>
        <v>1</v>
      </c>
      <c r="L26" s="23">
        <f>IFERROR(INDEX(vdata_regressors!$A$1:$L$2000,MATCH($A26,vdata_regressors!$A$2:$A$2000,0)+1,MATCH(L$2,vdata_regressors!$A$1:$R$1,0)),"")</f>
        <v>0</v>
      </c>
      <c r="M26" s="23">
        <f>IFERROR(VLOOKUP(A26,vdata_hours!$A$2:$B$1000,2,FALSE),"")</f>
        <v>35</v>
      </c>
    </row>
    <row r="27" spans="1:13" x14ac:dyDescent="0.25">
      <c r="A27" s="23" t="str">
        <f>IF(vdata_hours!A26=0,"",vdata_hours!A26)</f>
        <v>I3Y-MC-JPCF/NSABP-B-58</v>
      </c>
      <c r="B27" s="23">
        <f>IFERROR(INDEX(vdata_regressors!$A$1:$L$2000,MATCH($A27,vdata_regressors!$A$2:$A$2000,0)+1,MATCH(B$2,vdata_regressors!$A$1:$R$1,0)),"")</f>
        <v>0</v>
      </c>
      <c r="C27" s="23">
        <f>IFERROR(INDEX(vdata_regressors!$A$1:$L$2000,MATCH($A27,vdata_regressors!$A$2:$A$2000,0)+1,MATCH(C$2,vdata_regressors!$A$1:$R$1,0)),"")</f>
        <v>1</v>
      </c>
      <c r="D27" s="23">
        <f>IFERROR(INDEX(vdata_regressors!$A$1:$L$2000,MATCH($A27,vdata_regressors!$A$2:$A$2000,0)+1,MATCH(D$2,vdata_regressors!$A$1:$R$1,0)),"")</f>
        <v>0</v>
      </c>
      <c r="E27" s="23">
        <f>IFERROR(INDEX(vdata_regressors!$A$1:$L$2000,MATCH($A27,vdata_regressors!$A$2:$A$2000,0)+1,MATCH(E$2,vdata_regressors!$A$1:$R$1,0)),"")</f>
        <v>0</v>
      </c>
      <c r="F27" s="23">
        <f>IFERROR(INDEX(vdata_regressors!$A$1:$L$2000,MATCH($A27,vdata_regressors!$A$2:$A$2000,0)+1,MATCH(F$2,vdata_regressors!$A$1:$R$1,0)),"")</f>
        <v>3</v>
      </c>
      <c r="G27" s="23">
        <f>IFERROR(INDEX(vdata_regressors!$A$1:$L$2000,MATCH($A27,vdata_regressors!$A$2:$A$2000,0)+1,MATCH(G$2,vdata_regressors!$A$1:$R$1,0)),"")</f>
        <v>5</v>
      </c>
      <c r="H27" s="23">
        <f>IFERROR(INDEX(vdata_regressors!$A$1:$L$2000,MATCH($A27,vdata_regressors!$A$2:$A$2000,0)+1,MATCH(H$2,vdata_regressors!$A$1:$R$1,0)),"")</f>
        <v>0</v>
      </c>
      <c r="I27" s="23">
        <f>IFERROR(INDEX(vdata_regressors!$A$1:$L$2000,MATCH($A27,vdata_regressors!$A$2:$A$2000,0)+1,MATCH(I$2,vdata_regressors!$A$1:$R$1,0)),"")</f>
        <v>0</v>
      </c>
      <c r="J27" s="23">
        <f>IFERROR(INDEX(vdata_regressors!$A$1:$L$2000,MATCH($A27,vdata_regressors!$A$2:$A$2000,0)+1,MATCH(J$2,vdata_regressors!$A$1:$R$1,0)),"")</f>
        <v>0.75</v>
      </c>
      <c r="K27" s="23">
        <f>IFERROR(INDEX(vdata_regressors!$A$1:$L$2000,MATCH($A27,vdata_regressors!$A$2:$A$2000,0)+1,MATCH(K$2,vdata_regressors!$A$1:$R$1,0)),"")</f>
        <v>1</v>
      </c>
      <c r="L27" s="23">
        <f>IFERROR(INDEX(vdata_regressors!$A$1:$L$2000,MATCH($A27,vdata_regressors!$A$2:$A$2000,0)+1,MATCH(L$2,vdata_regressors!$A$1:$R$1,0)),"")</f>
        <v>0</v>
      </c>
      <c r="M27" s="23">
        <f>IFERROR(VLOOKUP(A27,vdata_hours!$A$2:$B$1000,2,FALSE),"")</f>
        <v>40</v>
      </c>
    </row>
    <row r="28" spans="1:13" x14ac:dyDescent="0.25">
      <c r="A28" s="23" t="str">
        <f>IF(vdata_hours!A27=0,"",vdata_hours!A27)</f>
        <v>URCC-14040</v>
      </c>
      <c r="B28" s="23">
        <f>IFERROR(INDEX(vdata_regressors!$A$1:$L$2000,MATCH($A28,vdata_regressors!$A$2:$A$2000,0)+1,MATCH(B$2,vdata_regressors!$A$1:$R$1,0)),"")</f>
        <v>0</v>
      </c>
      <c r="C28" s="23">
        <f>IFERROR(INDEX(vdata_regressors!$A$1:$L$2000,MATCH($A28,vdata_regressors!$A$2:$A$2000,0)+1,MATCH(C$2,vdata_regressors!$A$1:$R$1,0)),"")</f>
        <v>1</v>
      </c>
      <c r="D28" s="23">
        <f>IFERROR(INDEX(vdata_regressors!$A$1:$L$2000,MATCH($A28,vdata_regressors!$A$2:$A$2000,0)+1,MATCH(D$2,vdata_regressors!$A$1:$R$1,0)),"")</f>
        <v>0</v>
      </c>
      <c r="E28" s="23">
        <f>IFERROR(INDEX(vdata_regressors!$A$1:$L$2000,MATCH($A28,vdata_regressors!$A$2:$A$2000,0)+1,MATCH(E$2,vdata_regressors!$A$1:$R$1,0)),"")</f>
        <v>0</v>
      </c>
      <c r="F28" s="23">
        <f>IFERROR(INDEX(vdata_regressors!$A$1:$L$2000,MATCH($A28,vdata_regressors!$A$2:$A$2000,0)+1,MATCH(F$2,vdata_regressors!$A$1:$R$1,0)),"")</f>
        <v>9</v>
      </c>
      <c r="G28" s="23">
        <f>IFERROR(INDEX(vdata_regressors!$A$1:$L$2000,MATCH($A28,vdata_regressors!$A$2:$A$2000,0)+1,MATCH(G$2,vdata_regressors!$A$1:$R$1,0)),"")</f>
        <v>15</v>
      </c>
      <c r="H28" s="23">
        <f>IFERROR(INDEX(vdata_regressors!$A$1:$L$2000,MATCH($A28,vdata_regressors!$A$2:$A$2000,0)+1,MATCH(H$2,vdata_regressors!$A$1:$R$1,0)),"")</f>
        <v>0</v>
      </c>
      <c r="I28" s="23">
        <f>IFERROR(INDEX(vdata_regressors!$A$1:$L$2000,MATCH($A28,vdata_regressors!$A$2:$A$2000,0)+1,MATCH(I$2,vdata_regressors!$A$1:$R$1,0)),"")</f>
        <v>2</v>
      </c>
      <c r="J28" s="23">
        <f>IFERROR(INDEX(vdata_regressors!$A$1:$L$2000,MATCH($A28,vdata_regressors!$A$2:$A$2000,0)+1,MATCH(J$2,vdata_regressors!$A$1:$R$1,0)),"")</f>
        <v>0.75</v>
      </c>
      <c r="K28" s="23">
        <f>IFERROR(INDEX(vdata_regressors!$A$1:$L$2000,MATCH($A28,vdata_regressors!$A$2:$A$2000,0)+1,MATCH(K$2,vdata_regressors!$A$1:$R$1,0)),"")</f>
        <v>0.5</v>
      </c>
      <c r="L28" s="23">
        <f>IFERROR(INDEX(vdata_regressors!$A$1:$L$2000,MATCH($A28,vdata_regressors!$A$2:$A$2000,0)+1,MATCH(L$2,vdata_regressors!$A$1:$R$1,0)),"")</f>
        <v>0</v>
      </c>
      <c r="M28" s="23">
        <f>IFERROR(VLOOKUP(A28,vdata_hours!$A$2:$B$1000,2,FALSE),"")</f>
        <v>40</v>
      </c>
    </row>
    <row r="29" spans="1:13" x14ac:dyDescent="0.25">
      <c r="A29" s="23" t="str">
        <f>IF(vdata_hours!A28=0,"",vdata_hours!A28)</f>
        <v>SWOG-S1605</v>
      </c>
      <c r="B29" s="23">
        <f>IFERROR(INDEX(vdata_regressors!$A$1:$L$2000,MATCH($A29,vdata_regressors!$A$2:$A$2000,0)+1,MATCH(B$2,vdata_regressors!$A$1:$R$1,0)),"")</f>
        <v>0</v>
      </c>
      <c r="C29" s="23">
        <f>IFERROR(INDEX(vdata_regressors!$A$1:$L$2000,MATCH($A29,vdata_regressors!$A$2:$A$2000,0)+1,MATCH(C$2,vdata_regressors!$A$1:$R$1,0)),"")</f>
        <v>1</v>
      </c>
      <c r="D29" s="23">
        <f>IFERROR(INDEX(vdata_regressors!$A$1:$L$2000,MATCH($A29,vdata_regressors!$A$2:$A$2000,0)+1,MATCH(D$2,vdata_regressors!$A$1:$R$1,0)),"")</f>
        <v>0</v>
      </c>
      <c r="E29" s="23">
        <f>IFERROR(INDEX(vdata_regressors!$A$1:$L$2000,MATCH($A29,vdata_regressors!$A$2:$A$2000,0)+1,MATCH(E$2,vdata_regressors!$A$1:$R$1,0)),"")</f>
        <v>0</v>
      </c>
      <c r="F29" s="23">
        <f>IFERROR(INDEX(vdata_regressors!$A$1:$L$2000,MATCH($A29,vdata_regressors!$A$2:$A$2000,0)+1,MATCH(F$2,vdata_regressors!$A$1:$R$1,0)),"")</f>
        <v>4</v>
      </c>
      <c r="G29" s="23">
        <f>IFERROR(INDEX(vdata_regressors!$A$1:$L$2000,MATCH($A29,vdata_regressors!$A$2:$A$2000,0)+1,MATCH(G$2,vdata_regressors!$A$1:$R$1,0)),"")</f>
        <v>7</v>
      </c>
      <c r="H29" s="23">
        <f>IFERROR(INDEX(vdata_regressors!$A$1:$L$2000,MATCH($A29,vdata_regressors!$A$2:$A$2000,0)+1,MATCH(H$2,vdata_regressors!$A$1:$R$1,0)),"")</f>
        <v>0</v>
      </c>
      <c r="I29" s="23">
        <f>IFERROR(INDEX(vdata_regressors!$A$1:$L$2000,MATCH($A29,vdata_regressors!$A$2:$A$2000,0)+1,MATCH(I$2,vdata_regressors!$A$1:$R$1,0)),"")</f>
        <v>2</v>
      </c>
      <c r="J29" s="23">
        <f>IFERROR(INDEX(vdata_regressors!$A$1:$L$2000,MATCH($A29,vdata_regressors!$A$2:$A$2000,0)+1,MATCH(J$2,vdata_regressors!$A$1:$R$1,0)),"")</f>
        <v>0.5</v>
      </c>
      <c r="K29" s="23">
        <f>IFERROR(INDEX(vdata_regressors!$A$1:$L$2000,MATCH($A29,vdata_regressors!$A$2:$A$2000,0)+1,MATCH(K$2,vdata_regressors!$A$1:$R$1,0)),"")</f>
        <v>0.5</v>
      </c>
      <c r="L29" s="23">
        <f>IFERROR(INDEX(vdata_regressors!$A$1:$L$2000,MATCH($A29,vdata_regressors!$A$2:$A$2000,0)+1,MATCH(L$2,vdata_regressors!$A$1:$R$1,0)),"")</f>
        <v>1</v>
      </c>
      <c r="M29" s="23">
        <f>IFERROR(VLOOKUP(A29,vdata_hours!$A$2:$B$1000,2,FALSE),"")</f>
        <v>42</v>
      </c>
    </row>
    <row r="30" spans="1:13" x14ac:dyDescent="0.25">
      <c r="A30" s="23" t="str">
        <f>IF(vdata_hours!A29=0,"",vdata_hours!A29)</f>
        <v>ROSSER-2017-1/ALTOR-16</v>
      </c>
      <c r="B30" s="23">
        <f>IFERROR(INDEX(vdata_regressors!$A$1:$L$2000,MATCH($A30,vdata_regressors!$A$2:$A$2000,0)+1,MATCH(B$2,vdata_regressors!$A$1:$R$1,0)),"")</f>
        <v>1</v>
      </c>
      <c r="C30" s="23">
        <f>IFERROR(INDEX(vdata_regressors!$A$1:$L$2000,MATCH($A30,vdata_regressors!$A$2:$A$2000,0)+1,MATCH(C$2,vdata_regressors!$A$1:$R$1,0)),"")</f>
        <v>1</v>
      </c>
      <c r="D30" s="23">
        <f>IFERROR(INDEX(vdata_regressors!$A$1:$L$2000,MATCH($A30,vdata_regressors!$A$2:$A$2000,0)+1,MATCH(D$2,vdata_regressors!$A$1:$R$1,0)),"")</f>
        <v>1</v>
      </c>
      <c r="E30" s="23">
        <f>IFERROR(INDEX(vdata_regressors!$A$1:$L$2000,MATCH($A30,vdata_regressors!$A$2:$A$2000,0)+1,MATCH(E$2,vdata_regressors!$A$1:$R$1,0)),"")</f>
        <v>0</v>
      </c>
      <c r="F30" s="23">
        <f>IFERROR(INDEX(vdata_regressors!$A$1:$L$2000,MATCH($A30,vdata_regressors!$A$2:$A$2000,0)+1,MATCH(F$2,vdata_regressors!$A$1:$R$1,0)),"")</f>
        <v>3</v>
      </c>
      <c r="G30" s="23">
        <f>IFERROR(INDEX(vdata_regressors!$A$1:$L$2000,MATCH($A30,vdata_regressors!$A$2:$A$2000,0)+1,MATCH(G$2,vdata_regressors!$A$1:$R$1,0)),"")</f>
        <v>2</v>
      </c>
      <c r="H30" s="23">
        <f>IFERROR(INDEX(vdata_regressors!$A$1:$L$2000,MATCH($A30,vdata_regressors!$A$2:$A$2000,0)+1,MATCH(H$2,vdata_regressors!$A$1:$R$1,0)),"")</f>
        <v>0</v>
      </c>
      <c r="I30" s="23">
        <f>IFERROR(INDEX(vdata_regressors!$A$1:$L$2000,MATCH($A30,vdata_regressors!$A$2:$A$2000,0)+1,MATCH(I$2,vdata_regressors!$A$1:$R$1,0)),"")</f>
        <v>0</v>
      </c>
      <c r="J30" s="23">
        <f>IFERROR(INDEX(vdata_regressors!$A$1:$L$2000,MATCH($A30,vdata_regressors!$A$2:$A$2000,0)+1,MATCH(J$2,vdata_regressors!$A$1:$R$1,0)),"")</f>
        <v>0.75</v>
      </c>
      <c r="K30" s="23">
        <f>IFERROR(INDEX(vdata_regressors!$A$1:$L$2000,MATCH($A30,vdata_regressors!$A$2:$A$2000,0)+1,MATCH(K$2,vdata_regressors!$A$1:$R$1,0)),"")</f>
        <v>1</v>
      </c>
      <c r="L30" s="23">
        <f>IFERROR(INDEX(vdata_regressors!$A$1:$L$2000,MATCH($A30,vdata_regressors!$A$2:$A$2000,0)+1,MATCH(L$2,vdata_regressors!$A$1:$R$1,0)),"")</f>
        <v>0</v>
      </c>
      <c r="M30" s="23">
        <f>IFERROR(VLOOKUP(A30,vdata_hours!$A$2:$B$1000,2,FALSE),"")</f>
        <v>42</v>
      </c>
    </row>
    <row r="31" spans="1:13" x14ac:dyDescent="0.25">
      <c r="A31" s="23" t="str">
        <f>IF(vdata_hours!A30=0,"",vdata_hours!A30)</f>
        <v>DS8201-A-U201</v>
      </c>
      <c r="B31" s="23">
        <f>IFERROR(INDEX(vdata_regressors!$A$1:$L$2000,MATCH($A31,vdata_regressors!$A$2:$A$2000,0)+1,MATCH(B$2,vdata_regressors!$A$1:$R$1,0)),"")</f>
        <v>0</v>
      </c>
      <c r="C31" s="23">
        <f>IFERROR(INDEX(vdata_regressors!$A$1:$L$2000,MATCH($A31,vdata_regressors!$A$2:$A$2000,0)+1,MATCH(C$2,vdata_regressors!$A$1:$R$1,0)),"")</f>
        <v>1</v>
      </c>
      <c r="D31" s="23">
        <f>IFERROR(INDEX(vdata_regressors!$A$1:$L$2000,MATCH($A31,vdata_regressors!$A$2:$A$2000,0)+1,MATCH(D$2,vdata_regressors!$A$1:$R$1,0)),"")</f>
        <v>1</v>
      </c>
      <c r="E31" s="23">
        <f>IFERROR(INDEX(vdata_regressors!$A$1:$L$2000,MATCH($A31,vdata_regressors!$A$2:$A$2000,0)+1,MATCH(E$2,vdata_regressors!$A$1:$R$1,0)),"")</f>
        <v>0</v>
      </c>
      <c r="F31" s="23">
        <f>IFERROR(INDEX(vdata_regressors!$A$1:$L$2000,MATCH($A31,vdata_regressors!$A$2:$A$2000,0)+1,MATCH(F$2,vdata_regressors!$A$1:$R$1,0)),"")</f>
        <v>3</v>
      </c>
      <c r="G31" s="23">
        <f>IFERROR(INDEX(vdata_regressors!$A$1:$L$2000,MATCH($A31,vdata_regressors!$A$2:$A$2000,0)+1,MATCH(G$2,vdata_regressors!$A$1:$R$1,0)),"")</f>
        <v>3</v>
      </c>
      <c r="H31" s="23">
        <f>IFERROR(INDEX(vdata_regressors!$A$1:$L$2000,MATCH($A31,vdata_regressors!$A$2:$A$2000,0)+1,MATCH(H$2,vdata_regressors!$A$1:$R$1,0)),"")</f>
        <v>0</v>
      </c>
      <c r="I31" s="23">
        <f>IFERROR(INDEX(vdata_regressors!$A$1:$L$2000,MATCH($A31,vdata_regressors!$A$2:$A$2000,0)+1,MATCH(I$2,vdata_regressors!$A$1:$R$1,0)),"")</f>
        <v>0</v>
      </c>
      <c r="J31" s="23">
        <f>IFERROR(INDEX(vdata_regressors!$A$1:$L$2000,MATCH($A31,vdata_regressors!$A$2:$A$2000,0)+1,MATCH(J$2,vdata_regressors!$A$1:$R$1,0)),"")</f>
        <v>0.75</v>
      </c>
      <c r="K31" s="23">
        <f>IFERROR(INDEX(vdata_regressors!$A$1:$L$2000,MATCH($A31,vdata_regressors!$A$2:$A$2000,0)+1,MATCH(K$2,vdata_regressors!$A$1:$R$1,0)),"")</f>
        <v>1</v>
      </c>
      <c r="L31" s="23">
        <f>IFERROR(INDEX(vdata_regressors!$A$1:$L$2000,MATCH($A31,vdata_regressors!$A$2:$A$2000,0)+1,MATCH(L$2,vdata_regressors!$A$1:$R$1,0)),"")</f>
        <v>0</v>
      </c>
      <c r="M31" s="23">
        <f>IFERROR(VLOOKUP(A31,vdata_hours!$A$2:$B$1000,2,FALSE),"")</f>
        <v>50</v>
      </c>
    </row>
    <row r="32" spans="1:13" x14ac:dyDescent="0.25">
      <c r="A32" s="23" t="str">
        <f>IF(vdata_hours!A31=0,"",vdata_hours!A31)</f>
        <v>SWOG-S1800A</v>
      </c>
      <c r="B32" s="23">
        <f>IFERROR(INDEX(vdata_regressors!$A$1:$L$2000,MATCH($A32,vdata_regressors!$A$2:$A$2000,0)+1,MATCH(B$2,vdata_regressors!$A$1:$R$1,0)),"")</f>
        <v>0</v>
      </c>
      <c r="C32" s="23">
        <f>IFERROR(INDEX(vdata_regressors!$A$1:$L$2000,MATCH($A32,vdata_regressors!$A$2:$A$2000,0)+1,MATCH(C$2,vdata_regressors!$A$1:$R$1,0)),"")</f>
        <v>1</v>
      </c>
      <c r="D32" s="23">
        <f>IFERROR(INDEX(vdata_regressors!$A$1:$L$2000,MATCH($A32,vdata_regressors!$A$2:$A$2000,0)+1,MATCH(D$2,vdata_regressors!$A$1:$R$1,0)),"")</f>
        <v>0</v>
      </c>
      <c r="E32" s="23">
        <f>IFERROR(INDEX(vdata_regressors!$A$1:$L$2000,MATCH($A32,vdata_regressors!$A$2:$A$2000,0)+1,MATCH(E$2,vdata_regressors!$A$1:$R$1,0)),"")</f>
        <v>0</v>
      </c>
      <c r="F32" s="23">
        <f>IFERROR(INDEX(vdata_regressors!$A$1:$L$2000,MATCH($A32,vdata_regressors!$A$2:$A$2000,0)+1,MATCH(F$2,vdata_regressors!$A$1:$R$1,0)),"")</f>
        <v>5</v>
      </c>
      <c r="G32" s="23">
        <f>IFERROR(INDEX(vdata_regressors!$A$1:$L$2000,MATCH($A32,vdata_regressors!$A$2:$A$2000,0)+1,MATCH(G$2,vdata_regressors!$A$1:$R$1,0)),"")</f>
        <v>12</v>
      </c>
      <c r="H32" s="23">
        <f>IFERROR(INDEX(vdata_regressors!$A$1:$L$2000,MATCH($A32,vdata_regressors!$A$2:$A$2000,0)+1,MATCH(H$2,vdata_regressors!$A$1:$R$1,0)),"")</f>
        <v>0</v>
      </c>
      <c r="I32" s="23">
        <f>IFERROR(INDEX(vdata_regressors!$A$1:$L$2000,MATCH($A32,vdata_regressors!$A$2:$A$2000,0)+1,MATCH(I$2,vdata_regressors!$A$1:$R$1,0)),"")</f>
        <v>0</v>
      </c>
      <c r="J32" s="23">
        <f>IFERROR(INDEX(vdata_regressors!$A$1:$L$2000,MATCH($A32,vdata_regressors!$A$2:$A$2000,0)+1,MATCH(J$2,vdata_regressors!$A$1:$R$1,0)),"")</f>
        <v>0.5</v>
      </c>
      <c r="K32" s="23">
        <f>IFERROR(INDEX(vdata_regressors!$A$1:$L$2000,MATCH($A32,vdata_regressors!$A$2:$A$2000,0)+1,MATCH(K$2,vdata_regressors!$A$1:$R$1,0)),"")</f>
        <v>0.5</v>
      </c>
      <c r="L32" s="23">
        <f>IFERROR(INDEX(vdata_regressors!$A$1:$L$2000,MATCH($A32,vdata_regressors!$A$2:$A$2000,0)+1,MATCH(L$2,vdata_regressors!$A$1:$R$1,0)),"")</f>
        <v>1</v>
      </c>
      <c r="M32" s="23">
        <f>IFERROR(VLOOKUP(A32,vdata_hours!$A$2:$B$1000,2,FALSE),"")</f>
        <v>51</v>
      </c>
    </row>
    <row r="33" spans="1:13" x14ac:dyDescent="0.25">
      <c r="A33" s="23" t="str">
        <f>IF(vdata_hours!A32=0,"",vdata_hours!A32)</f>
        <v>SWOG-S1418</v>
      </c>
      <c r="B33" s="23">
        <f>IFERROR(INDEX(vdata_regressors!$A$1:$L$2000,MATCH($A33,vdata_regressors!$A$2:$A$2000,0)+1,MATCH(B$2,vdata_regressors!$A$1:$R$1,0)),"")</f>
        <v>0</v>
      </c>
      <c r="C33" s="23">
        <f>IFERROR(INDEX(vdata_regressors!$A$1:$L$2000,MATCH($A33,vdata_regressors!$A$2:$A$2000,0)+1,MATCH(C$2,vdata_regressors!$A$1:$R$1,0)),"")</f>
        <v>1</v>
      </c>
      <c r="D33" s="23">
        <f>IFERROR(INDEX(vdata_regressors!$A$1:$L$2000,MATCH($A33,vdata_regressors!$A$2:$A$2000,0)+1,MATCH(D$2,vdata_regressors!$A$1:$R$1,0)),"")</f>
        <v>0</v>
      </c>
      <c r="E33" s="23">
        <f>IFERROR(INDEX(vdata_regressors!$A$1:$L$2000,MATCH($A33,vdata_regressors!$A$2:$A$2000,0)+1,MATCH(E$2,vdata_regressors!$A$1:$R$1,0)),"")</f>
        <v>0</v>
      </c>
      <c r="F33" s="23">
        <f>IFERROR(INDEX(vdata_regressors!$A$1:$L$2000,MATCH($A33,vdata_regressors!$A$2:$A$2000,0)+1,MATCH(F$2,vdata_regressors!$A$1:$R$1,0)),"")</f>
        <v>4</v>
      </c>
      <c r="G33" s="23">
        <f>IFERROR(INDEX(vdata_regressors!$A$1:$L$2000,MATCH($A33,vdata_regressors!$A$2:$A$2000,0)+1,MATCH(G$2,vdata_regressors!$A$1:$R$1,0)),"")</f>
        <v>8</v>
      </c>
      <c r="H33" s="23">
        <f>IFERROR(INDEX(vdata_regressors!$A$1:$L$2000,MATCH($A33,vdata_regressors!$A$2:$A$2000,0)+1,MATCH(H$2,vdata_regressors!$A$1:$R$1,0)),"")</f>
        <v>0</v>
      </c>
      <c r="I33" s="23">
        <f>IFERROR(INDEX(vdata_regressors!$A$1:$L$2000,MATCH($A33,vdata_regressors!$A$2:$A$2000,0)+1,MATCH(I$2,vdata_regressors!$A$1:$R$1,0)),"")</f>
        <v>0</v>
      </c>
      <c r="J33" s="23">
        <f>IFERROR(INDEX(vdata_regressors!$A$1:$L$2000,MATCH($A33,vdata_regressors!$A$2:$A$2000,0)+1,MATCH(J$2,vdata_regressors!$A$1:$R$1,0)),"")</f>
        <v>0.5</v>
      </c>
      <c r="K33" s="23">
        <f>IFERROR(INDEX(vdata_regressors!$A$1:$L$2000,MATCH($A33,vdata_regressors!$A$2:$A$2000,0)+1,MATCH(K$2,vdata_regressors!$A$1:$R$1,0)),"")</f>
        <v>0.5</v>
      </c>
      <c r="L33" s="23">
        <f>IFERROR(INDEX(vdata_regressors!$A$1:$L$2000,MATCH($A33,vdata_regressors!$A$2:$A$2000,0)+1,MATCH(L$2,vdata_regressors!$A$1:$R$1,0)),"")</f>
        <v>1</v>
      </c>
      <c r="M33" s="23">
        <f>IFERROR(VLOOKUP(A33,vdata_hours!$A$2:$B$1000,2,FALSE),"")</f>
        <v>54</v>
      </c>
    </row>
    <row r="34" spans="1:13" x14ac:dyDescent="0.25">
      <c r="A34" s="23" t="str">
        <f>IF(vdata_hours!A33=0,"",vdata_hours!A33)</f>
        <v>NRG-LU005</v>
      </c>
      <c r="B34" s="23">
        <f>IFERROR(INDEX(vdata_regressors!$A$1:$L$2000,MATCH($A34,vdata_regressors!$A$2:$A$2000,0)+1,MATCH(B$2,vdata_regressors!$A$1:$R$1,0)),"")</f>
        <v>0</v>
      </c>
      <c r="C34" s="23">
        <f>IFERROR(INDEX(vdata_regressors!$A$1:$L$2000,MATCH($A34,vdata_regressors!$A$2:$A$2000,0)+1,MATCH(C$2,vdata_regressors!$A$1:$R$1,0)),"")</f>
        <v>1</v>
      </c>
      <c r="D34" s="23">
        <f>IFERROR(INDEX(vdata_regressors!$A$1:$L$2000,MATCH($A34,vdata_regressors!$A$2:$A$2000,0)+1,MATCH(D$2,vdata_regressors!$A$1:$R$1,0)),"")</f>
        <v>0</v>
      </c>
      <c r="E34" s="23">
        <f>IFERROR(INDEX(vdata_regressors!$A$1:$L$2000,MATCH($A34,vdata_regressors!$A$2:$A$2000,0)+1,MATCH(E$2,vdata_regressors!$A$1:$R$1,0)),"")</f>
        <v>0</v>
      </c>
      <c r="F34" s="23">
        <f>IFERROR(INDEX(vdata_regressors!$A$1:$L$2000,MATCH($A34,vdata_regressors!$A$2:$A$2000,0)+1,MATCH(F$2,vdata_regressors!$A$1:$R$1,0)),"")</f>
        <v>2</v>
      </c>
      <c r="G34" s="23">
        <f>IFERROR(INDEX(vdata_regressors!$A$1:$L$2000,MATCH($A34,vdata_regressors!$A$2:$A$2000,0)+1,MATCH(G$2,vdata_regressors!$A$1:$R$1,0)),"")</f>
        <v>0</v>
      </c>
      <c r="H34" s="23">
        <f>IFERROR(INDEX(vdata_regressors!$A$1:$L$2000,MATCH($A34,vdata_regressors!$A$2:$A$2000,0)+1,MATCH(H$2,vdata_regressors!$A$1:$R$1,0)),"")</f>
        <v>0</v>
      </c>
      <c r="I34" s="23">
        <f>IFERROR(INDEX(vdata_regressors!$A$1:$L$2000,MATCH($A34,vdata_regressors!$A$2:$A$2000,0)+1,MATCH(I$2,vdata_regressors!$A$1:$R$1,0)),"")</f>
        <v>0</v>
      </c>
      <c r="J34" s="23">
        <f>IFERROR(INDEX(vdata_regressors!$A$1:$L$2000,MATCH($A34,vdata_regressors!$A$2:$A$2000,0)+1,MATCH(J$2,vdata_regressors!$A$1:$R$1,0)),"")</f>
        <v>0.5</v>
      </c>
      <c r="K34" s="23">
        <f>IFERROR(INDEX(vdata_regressors!$A$1:$L$2000,MATCH($A34,vdata_regressors!$A$2:$A$2000,0)+1,MATCH(K$2,vdata_regressors!$A$1:$R$1,0)),"")</f>
        <v>0.5</v>
      </c>
      <c r="L34" s="23">
        <f>IFERROR(INDEX(vdata_regressors!$A$1:$L$2000,MATCH($A34,vdata_regressors!$A$2:$A$2000,0)+1,MATCH(L$2,vdata_regressors!$A$1:$R$1,0)),"")</f>
        <v>1</v>
      </c>
      <c r="M34" s="23">
        <f>IFERROR(VLOOKUP(A34,vdata_hours!$A$2:$B$1000,2,FALSE),"")</f>
        <v>60</v>
      </c>
    </row>
    <row r="35" spans="1:13" x14ac:dyDescent="0.25">
      <c r="A35" s="23" t="str">
        <f>IF(vdata_hours!A34=0,"",vdata_hours!A34)</f>
        <v>NRG-GY018</v>
      </c>
      <c r="B35" s="23">
        <f>IFERROR(INDEX(vdata_regressors!$A$1:$L$2000,MATCH($A35,vdata_regressors!$A$2:$A$2000,0)+1,MATCH(B$2,vdata_regressors!$A$1:$R$1,0)),"")</f>
        <v>0</v>
      </c>
      <c r="C35" s="23">
        <f>IFERROR(INDEX(vdata_regressors!$A$1:$L$2000,MATCH($A35,vdata_regressors!$A$2:$A$2000,0)+1,MATCH(C$2,vdata_regressors!$A$1:$R$1,0)),"")</f>
        <v>1</v>
      </c>
      <c r="D35" s="23">
        <f>IFERROR(INDEX(vdata_regressors!$A$1:$L$2000,MATCH($A35,vdata_regressors!$A$2:$A$2000,0)+1,MATCH(D$2,vdata_regressors!$A$1:$R$1,0)),"")</f>
        <v>0</v>
      </c>
      <c r="E35" s="23">
        <f>IFERROR(INDEX(vdata_regressors!$A$1:$L$2000,MATCH($A35,vdata_regressors!$A$2:$A$2000,0)+1,MATCH(E$2,vdata_regressors!$A$1:$R$1,0)),"")</f>
        <v>0</v>
      </c>
      <c r="F35" s="23">
        <f>IFERROR(INDEX(vdata_regressors!$A$1:$L$2000,MATCH($A35,vdata_regressors!$A$2:$A$2000,0)+1,MATCH(F$2,vdata_regressors!$A$1:$R$1,0)),"")</f>
        <v>4</v>
      </c>
      <c r="G35" s="23">
        <f>IFERROR(INDEX(vdata_regressors!$A$1:$L$2000,MATCH($A35,vdata_regressors!$A$2:$A$2000,0)+1,MATCH(G$2,vdata_regressors!$A$1:$R$1,0)),"")</f>
        <v>8</v>
      </c>
      <c r="H35" s="23">
        <f>IFERROR(INDEX(vdata_regressors!$A$1:$L$2000,MATCH($A35,vdata_regressors!$A$2:$A$2000,0)+1,MATCH(H$2,vdata_regressors!$A$1:$R$1,0)),"")</f>
        <v>0</v>
      </c>
      <c r="I35" s="23">
        <f>IFERROR(INDEX(vdata_regressors!$A$1:$L$2000,MATCH($A35,vdata_regressors!$A$2:$A$2000,0)+1,MATCH(I$2,vdata_regressors!$A$1:$R$1,0)),"")</f>
        <v>0</v>
      </c>
      <c r="J35" s="23">
        <f>IFERROR(INDEX(vdata_regressors!$A$1:$L$2000,MATCH($A35,vdata_regressors!$A$2:$A$2000,0)+1,MATCH(J$2,vdata_regressors!$A$1:$R$1,0)),"")</f>
        <v>0.5</v>
      </c>
      <c r="K35" s="23">
        <f>IFERROR(INDEX(vdata_regressors!$A$1:$L$2000,MATCH($A35,vdata_regressors!$A$2:$A$2000,0)+1,MATCH(K$2,vdata_regressors!$A$1:$R$1,0)),"")</f>
        <v>0.5</v>
      </c>
      <c r="L35" s="23">
        <f>IFERROR(INDEX(vdata_regressors!$A$1:$L$2000,MATCH($A35,vdata_regressors!$A$2:$A$2000,0)+1,MATCH(L$2,vdata_regressors!$A$1:$R$1,0)),"")</f>
        <v>1</v>
      </c>
      <c r="M35" s="23">
        <f>IFERROR(VLOOKUP(A35,vdata_hours!$A$2:$B$1000,2,FALSE),"")</f>
        <v>60</v>
      </c>
    </row>
    <row r="36" spans="1:13" x14ac:dyDescent="0.25">
      <c r="A36" s="23" t="str">
        <f>IF(vdata_hours!A35=0,"",vdata_hours!A35)</f>
        <v>GOG-3015/YO39523</v>
      </c>
      <c r="B36" s="23">
        <f>IFERROR(INDEX(vdata_regressors!$A$1:$L$2000,MATCH($A36,vdata_regressors!$A$2:$A$2000,0)+1,MATCH(B$2,vdata_regressors!$A$1:$R$1,0)),"")</f>
        <v>0</v>
      </c>
      <c r="C36" s="23">
        <f>IFERROR(INDEX(vdata_regressors!$A$1:$L$2000,MATCH($A36,vdata_regressors!$A$2:$A$2000,0)+1,MATCH(C$2,vdata_regressors!$A$1:$R$1,0)),"")</f>
        <v>1</v>
      </c>
      <c r="D36" s="23">
        <f>IFERROR(INDEX(vdata_regressors!$A$1:$L$2000,MATCH($A36,vdata_regressors!$A$2:$A$2000,0)+1,MATCH(D$2,vdata_regressors!$A$1:$R$1,0)),"")</f>
        <v>1</v>
      </c>
      <c r="E36" s="23">
        <f>IFERROR(INDEX(vdata_regressors!$A$1:$L$2000,MATCH($A36,vdata_regressors!$A$2:$A$2000,0)+1,MATCH(E$2,vdata_regressors!$A$1:$R$1,0)),"")</f>
        <v>0</v>
      </c>
      <c r="F36" s="23">
        <f>IFERROR(INDEX(vdata_regressors!$A$1:$L$2000,MATCH($A36,vdata_regressors!$A$2:$A$2000,0)+1,MATCH(F$2,vdata_regressors!$A$1:$R$1,0)),"")</f>
        <v>1</v>
      </c>
      <c r="G36" s="23">
        <f>IFERROR(INDEX(vdata_regressors!$A$1:$L$2000,MATCH($A36,vdata_regressors!$A$2:$A$2000,0)+1,MATCH(G$2,vdata_regressors!$A$1:$R$1,0)),"")</f>
        <v>1</v>
      </c>
      <c r="H36" s="23">
        <f>IFERROR(INDEX(vdata_regressors!$A$1:$L$2000,MATCH($A36,vdata_regressors!$A$2:$A$2000,0)+1,MATCH(H$2,vdata_regressors!$A$1:$R$1,0)),"")</f>
        <v>0</v>
      </c>
      <c r="I36" s="23">
        <f>IFERROR(INDEX(vdata_regressors!$A$1:$L$2000,MATCH($A36,vdata_regressors!$A$2:$A$2000,0)+1,MATCH(I$2,vdata_regressors!$A$1:$R$1,0)),"")</f>
        <v>0</v>
      </c>
      <c r="J36" s="23">
        <f>IFERROR(INDEX(vdata_regressors!$A$1:$L$2000,MATCH($A36,vdata_regressors!$A$2:$A$2000,0)+1,MATCH(J$2,vdata_regressors!$A$1:$R$1,0)),"")</f>
        <v>0.75</v>
      </c>
      <c r="K36" s="23">
        <f>IFERROR(INDEX(vdata_regressors!$A$1:$L$2000,MATCH($A36,vdata_regressors!$A$2:$A$2000,0)+1,MATCH(K$2,vdata_regressors!$A$1:$R$1,0)),"")</f>
        <v>1</v>
      </c>
      <c r="L36" s="23">
        <f>IFERROR(INDEX(vdata_regressors!$A$1:$L$2000,MATCH($A36,vdata_regressors!$A$2:$A$2000,0)+1,MATCH(L$2,vdata_regressors!$A$1:$R$1,0)),"")</f>
        <v>0</v>
      </c>
      <c r="M36" s="23">
        <f>IFERROR(VLOOKUP(A36,vdata_hours!$A$2:$B$1000,2,FALSE),"")</f>
        <v>65</v>
      </c>
    </row>
    <row r="37" spans="1:13" x14ac:dyDescent="0.25">
      <c r="A37" s="23" t="str">
        <f>IF(vdata_hours!A36=0,"",vdata_hours!A36)</f>
        <v>ALTOR-CA-ALT-803-01-14</v>
      </c>
      <c r="B37" s="23">
        <f>IFERROR(INDEX(vdata_regressors!$A$1:$L$2000,MATCH($A37,vdata_regressors!$A$2:$A$2000,0)+1,MATCH(B$2,vdata_regressors!$A$1:$R$1,0)),"")</f>
        <v>1</v>
      </c>
      <c r="C37" s="23">
        <f>IFERROR(INDEX(vdata_regressors!$A$1:$L$2000,MATCH($A37,vdata_regressors!$A$2:$A$2000,0)+1,MATCH(C$2,vdata_regressors!$A$1:$R$1,0)),"")</f>
        <v>1</v>
      </c>
      <c r="D37" s="23">
        <f>IFERROR(INDEX(vdata_regressors!$A$1:$L$2000,MATCH($A37,vdata_regressors!$A$2:$A$2000,0)+1,MATCH(D$2,vdata_regressors!$A$1:$R$1,0)),"")</f>
        <v>1</v>
      </c>
      <c r="E37" s="23">
        <f>IFERROR(INDEX(vdata_regressors!$A$1:$L$2000,MATCH($A37,vdata_regressors!$A$2:$A$2000,0)+1,MATCH(E$2,vdata_regressors!$A$1:$R$1,0)),"")</f>
        <v>0</v>
      </c>
      <c r="F37" s="23">
        <f>IFERROR(INDEX(vdata_regressors!$A$1:$L$2000,MATCH($A37,vdata_regressors!$A$2:$A$2000,0)+1,MATCH(F$2,vdata_regressors!$A$1:$R$1,0)),"")</f>
        <v>4</v>
      </c>
      <c r="G37" s="23">
        <f>IFERROR(INDEX(vdata_regressors!$A$1:$L$2000,MATCH($A37,vdata_regressors!$A$2:$A$2000,0)+1,MATCH(G$2,vdata_regressors!$A$1:$R$1,0)),"")</f>
        <v>4</v>
      </c>
      <c r="H37" s="23">
        <f>IFERROR(INDEX(vdata_regressors!$A$1:$L$2000,MATCH($A37,vdata_regressors!$A$2:$A$2000,0)+1,MATCH(H$2,vdata_regressors!$A$1:$R$1,0)),"")</f>
        <v>2</v>
      </c>
      <c r="I37" s="23">
        <f>IFERROR(INDEX(vdata_regressors!$A$1:$L$2000,MATCH($A37,vdata_regressors!$A$2:$A$2000,0)+1,MATCH(I$2,vdata_regressors!$A$1:$R$1,0)),"")</f>
        <v>5</v>
      </c>
      <c r="J37" s="23">
        <f>IFERROR(INDEX(vdata_regressors!$A$1:$L$2000,MATCH($A37,vdata_regressors!$A$2:$A$2000,0)+1,MATCH(J$2,vdata_regressors!$A$1:$R$1,0)),"")</f>
        <v>0.75</v>
      </c>
      <c r="K37" s="23">
        <f>IFERROR(INDEX(vdata_regressors!$A$1:$L$2000,MATCH($A37,vdata_regressors!$A$2:$A$2000,0)+1,MATCH(K$2,vdata_regressors!$A$1:$R$1,0)),"")</f>
        <v>1</v>
      </c>
      <c r="L37" s="23">
        <f>IFERROR(INDEX(vdata_regressors!$A$1:$L$2000,MATCH($A37,vdata_regressors!$A$2:$A$2000,0)+1,MATCH(L$2,vdata_regressors!$A$1:$R$1,0)),"")</f>
        <v>0</v>
      </c>
      <c r="M37" s="23">
        <f>IFERROR(VLOOKUP(A37,vdata_hours!$A$2:$B$1000,2,FALSE),"")</f>
        <v>66</v>
      </c>
    </row>
    <row r="38" spans="1:13" x14ac:dyDescent="0.25">
      <c r="A38" s="23" t="str">
        <f>IF(vdata_hours!A37=0,"",vdata_hours!A37)</f>
        <v>ACOBA-2017-2</v>
      </c>
      <c r="B38" s="23">
        <f>IFERROR(INDEX(vdata_regressors!$A$1:$L$2000,MATCH($A38,vdata_regressors!$A$2:$A$2000,0)+1,MATCH(B$2,vdata_regressors!$A$1:$R$1,0)),"")</f>
        <v>1</v>
      </c>
      <c r="C38" s="23">
        <f>IFERROR(INDEX(vdata_regressors!$A$1:$L$2000,MATCH($A38,vdata_regressors!$A$2:$A$2000,0)+1,MATCH(C$2,vdata_regressors!$A$1:$R$1,0)),"")</f>
        <v>1</v>
      </c>
      <c r="D38" s="23">
        <f>IFERROR(INDEX(vdata_regressors!$A$1:$L$2000,MATCH($A38,vdata_regressors!$A$2:$A$2000,0)+1,MATCH(D$2,vdata_regressors!$A$1:$R$1,0)),"")</f>
        <v>1</v>
      </c>
      <c r="E38" s="23">
        <f>IFERROR(INDEX(vdata_regressors!$A$1:$L$2000,MATCH($A38,vdata_regressors!$A$2:$A$2000,0)+1,MATCH(E$2,vdata_regressors!$A$1:$R$1,0)),"")</f>
        <v>0</v>
      </c>
      <c r="F38" s="23">
        <f>IFERROR(INDEX(vdata_regressors!$A$1:$L$2000,MATCH($A38,vdata_regressors!$A$2:$A$2000,0)+1,MATCH(F$2,vdata_regressors!$A$1:$R$1,0)),"")</f>
        <v>4</v>
      </c>
      <c r="G38" s="23">
        <f>IFERROR(INDEX(vdata_regressors!$A$1:$L$2000,MATCH($A38,vdata_regressors!$A$2:$A$2000,0)+1,MATCH(G$2,vdata_regressors!$A$1:$R$1,0)),"")</f>
        <v>5</v>
      </c>
      <c r="H38" s="23">
        <f>IFERROR(INDEX(vdata_regressors!$A$1:$L$2000,MATCH($A38,vdata_regressors!$A$2:$A$2000,0)+1,MATCH(H$2,vdata_regressors!$A$1:$R$1,0)),"")</f>
        <v>0</v>
      </c>
      <c r="I38" s="23">
        <f>IFERROR(INDEX(vdata_regressors!$A$1:$L$2000,MATCH($A38,vdata_regressors!$A$2:$A$2000,0)+1,MATCH(I$2,vdata_regressors!$A$1:$R$1,0)),"")</f>
        <v>0</v>
      </c>
      <c r="J38" s="23">
        <f>IFERROR(INDEX(vdata_regressors!$A$1:$L$2000,MATCH($A38,vdata_regressors!$A$2:$A$2000,0)+1,MATCH(J$2,vdata_regressors!$A$1:$R$1,0)),"")</f>
        <v>0.75</v>
      </c>
      <c r="K38" s="23">
        <f>IFERROR(INDEX(vdata_regressors!$A$1:$L$2000,MATCH($A38,vdata_regressors!$A$2:$A$2000,0)+1,MATCH(K$2,vdata_regressors!$A$1:$R$1,0)),"")</f>
        <v>1</v>
      </c>
      <c r="L38" s="23">
        <f>IFERROR(INDEX(vdata_regressors!$A$1:$L$2000,MATCH($A38,vdata_regressors!$A$2:$A$2000,0)+1,MATCH(L$2,vdata_regressors!$A$1:$R$1,0)),"")</f>
        <v>1</v>
      </c>
      <c r="M38" s="23">
        <f>IFERROR(VLOOKUP(A38,vdata_hours!$A$2:$B$1000,2,FALSE),"")</f>
        <v>77</v>
      </c>
    </row>
    <row r="39" spans="1:13" x14ac:dyDescent="0.25">
      <c r="A39" s="23" t="str">
        <f>IF(vdata_hours!A38=0,"",vdata_hours!A38)</f>
        <v>ROSSER-2015-4/ML29793</v>
      </c>
      <c r="B39" s="23">
        <f>IFERROR(INDEX(vdata_regressors!$A$1:$L$2000,MATCH($A39,vdata_regressors!$A$2:$A$2000,0)+1,MATCH(B$2,vdata_regressors!$A$1:$R$1,0)),"")</f>
        <v>1</v>
      </c>
      <c r="C39" s="23">
        <f>IFERROR(INDEX(vdata_regressors!$A$1:$L$2000,MATCH($A39,vdata_regressors!$A$2:$A$2000,0)+1,MATCH(C$2,vdata_regressors!$A$1:$R$1,0)),"")</f>
        <v>1</v>
      </c>
      <c r="D39" s="23">
        <f>IFERROR(INDEX(vdata_regressors!$A$1:$L$2000,MATCH($A39,vdata_regressors!$A$2:$A$2000,0)+1,MATCH(D$2,vdata_regressors!$A$1:$R$1,0)),"")</f>
        <v>1</v>
      </c>
      <c r="E39" s="23">
        <f>IFERROR(INDEX(vdata_regressors!$A$1:$L$2000,MATCH($A39,vdata_regressors!$A$2:$A$2000,0)+1,MATCH(E$2,vdata_regressors!$A$1:$R$1,0)),"")</f>
        <v>0</v>
      </c>
      <c r="F39" s="23">
        <f>IFERROR(INDEX(vdata_regressors!$A$1:$L$2000,MATCH($A39,vdata_regressors!$A$2:$A$2000,0)+1,MATCH(F$2,vdata_regressors!$A$1:$R$1,0)),"")</f>
        <v>8</v>
      </c>
      <c r="G39" s="23">
        <f>IFERROR(INDEX(vdata_regressors!$A$1:$L$2000,MATCH($A39,vdata_regressors!$A$2:$A$2000,0)+1,MATCH(G$2,vdata_regressors!$A$1:$R$1,0)),"")</f>
        <v>6</v>
      </c>
      <c r="H39" s="23">
        <f>IFERROR(INDEX(vdata_regressors!$A$1:$L$2000,MATCH($A39,vdata_regressors!$A$2:$A$2000,0)+1,MATCH(H$2,vdata_regressors!$A$1:$R$1,0)),"")</f>
        <v>3</v>
      </c>
      <c r="I39" s="23">
        <f>IFERROR(INDEX(vdata_regressors!$A$1:$L$2000,MATCH($A39,vdata_regressors!$A$2:$A$2000,0)+1,MATCH(I$2,vdata_regressors!$A$1:$R$1,0)),"")</f>
        <v>0</v>
      </c>
      <c r="J39" s="23">
        <f>IFERROR(INDEX(vdata_regressors!$A$1:$L$2000,MATCH($A39,vdata_regressors!$A$2:$A$2000,0)+1,MATCH(J$2,vdata_regressors!$A$1:$R$1,0)),"")</f>
        <v>0.75</v>
      </c>
      <c r="K39" s="23">
        <f>IFERROR(INDEX(vdata_regressors!$A$1:$L$2000,MATCH($A39,vdata_regressors!$A$2:$A$2000,0)+1,MATCH(K$2,vdata_regressors!$A$1:$R$1,0)),"")</f>
        <v>1</v>
      </c>
      <c r="L39" s="23">
        <f>IFERROR(INDEX(vdata_regressors!$A$1:$L$2000,MATCH($A39,vdata_regressors!$A$2:$A$2000,0)+1,MATCH(L$2,vdata_regressors!$A$1:$R$1,0)),"")</f>
        <v>0</v>
      </c>
      <c r="M39" s="23">
        <f>IFERROR(VLOOKUP(A39,vdata_hours!$A$2:$B$1000,2,FALSE),"")</f>
        <v>112</v>
      </c>
    </row>
    <row r="40" spans="1:13" x14ac:dyDescent="0.25">
      <c r="A40" s="23" t="str">
        <f>IF(vdata_hours!A39=0,"",vdata_hours!A39)</f>
        <v/>
      </c>
      <c r="B40" s="23" t="str">
        <f>IFERROR(INDEX(vdata_regressors!$A$1:$L$2000,MATCH($A40,vdata_regressors!$A$2:$A$2000,0)+1,MATCH(B$2,vdata_regressors!$A$1:$R$1,0)),"")</f>
        <v/>
      </c>
      <c r="C40" s="23" t="str">
        <f>IFERROR(INDEX(vdata_regressors!$A$1:$L$2000,MATCH($A40,vdata_regressors!$A$2:$A$2000,0)+1,MATCH(C$2,vdata_regressors!$A$1:$R$1,0)),"")</f>
        <v/>
      </c>
      <c r="D40" s="23" t="str">
        <f>IFERROR(INDEX(vdata_regressors!$A$1:$L$2000,MATCH($A40,vdata_regressors!$A$2:$A$2000,0)+1,MATCH(D$2,vdata_regressors!$A$1:$R$1,0)),"")</f>
        <v/>
      </c>
      <c r="E40" s="23" t="str">
        <f>IFERROR(INDEX(vdata_regressors!$A$1:$L$2000,MATCH($A40,vdata_regressors!$A$2:$A$2000,0)+1,MATCH(E$2,vdata_regressors!$A$1:$R$1,0)),"")</f>
        <v/>
      </c>
      <c r="F40" s="23" t="str">
        <f>IFERROR(INDEX(vdata_regressors!$A$1:$L$2000,MATCH($A40,vdata_regressors!$A$2:$A$2000,0)+1,MATCH(F$2,vdata_regressors!$A$1:$R$1,0)),"")</f>
        <v/>
      </c>
      <c r="G40" s="23" t="str">
        <f>IFERROR(INDEX(vdata_regressors!$A$1:$L$2000,MATCH($A40,vdata_regressors!$A$2:$A$2000,0)+1,MATCH(G$2,vdata_regressors!$A$1:$R$1,0)),"")</f>
        <v/>
      </c>
      <c r="H40" s="23" t="str">
        <f>IFERROR(INDEX(vdata_regressors!$A$1:$L$2000,MATCH($A40,vdata_regressors!$A$2:$A$2000,0)+1,MATCH(H$2,vdata_regressors!$A$1:$R$1,0)),"")</f>
        <v/>
      </c>
      <c r="I40" s="23" t="str">
        <f>IFERROR(INDEX(vdata_regressors!$A$1:$L$2000,MATCH($A40,vdata_regressors!$A$2:$A$2000,0)+1,MATCH(I$2,vdata_regressors!$A$1:$R$1,0)),"")</f>
        <v/>
      </c>
      <c r="J40" s="23" t="str">
        <f>IFERROR(INDEX(vdata_regressors!$A$1:$L$2000,MATCH($A40,vdata_regressors!$A$2:$A$2000,0)+1,MATCH(J$2,vdata_regressors!$A$1:$R$1,0)),"")</f>
        <v/>
      </c>
      <c r="K40" s="23" t="str">
        <f>IFERROR(INDEX(vdata_regressors!$A$1:$L$2000,MATCH($A40,vdata_regressors!$A$2:$A$2000,0)+1,MATCH(K$2,vdata_regressors!$A$1:$R$1,0)),"")</f>
        <v/>
      </c>
      <c r="L40" s="23" t="str">
        <f>IFERROR(INDEX(vdata_regressors!$A$1:$L$2000,MATCH($A40,vdata_regressors!$A$2:$A$2000,0)+1,MATCH(L$2,vdata_regressors!$A$1:$R$1,0)),"")</f>
        <v/>
      </c>
      <c r="M40" s="23" t="str">
        <f>IFERROR(VLOOKUP(A40,vdata_hours!$A$2:$B$1000,2,FALSE),"")</f>
        <v/>
      </c>
    </row>
    <row r="41" spans="1:13" x14ac:dyDescent="0.25">
      <c r="A41" s="23" t="str">
        <f>IF(vdata_hours!A40=0,"",vdata_hours!A40)</f>
        <v/>
      </c>
      <c r="B41" s="23" t="str">
        <f>IFERROR(INDEX(vdata_regressors!$A$1:$L$2000,MATCH($A41,vdata_regressors!$A$2:$A$2000,0)+1,MATCH(B$2,vdata_regressors!$A$1:$R$1,0)),"")</f>
        <v/>
      </c>
      <c r="C41" s="23" t="str">
        <f>IFERROR(INDEX(vdata_regressors!$A$1:$L$2000,MATCH($A41,vdata_regressors!$A$2:$A$2000,0)+1,MATCH(C$2,vdata_regressors!$A$1:$R$1,0)),"")</f>
        <v/>
      </c>
      <c r="D41" s="23" t="str">
        <f>IFERROR(INDEX(vdata_regressors!$A$1:$L$2000,MATCH($A41,vdata_regressors!$A$2:$A$2000,0)+1,MATCH(D$2,vdata_regressors!$A$1:$R$1,0)),"")</f>
        <v/>
      </c>
      <c r="E41" s="23" t="str">
        <f>IFERROR(INDEX(vdata_regressors!$A$1:$L$2000,MATCH($A41,vdata_regressors!$A$2:$A$2000,0)+1,MATCH(E$2,vdata_regressors!$A$1:$R$1,0)),"")</f>
        <v/>
      </c>
      <c r="F41" s="23" t="str">
        <f>IFERROR(INDEX(vdata_regressors!$A$1:$L$2000,MATCH($A41,vdata_regressors!$A$2:$A$2000,0)+1,MATCH(F$2,vdata_regressors!$A$1:$R$1,0)),"")</f>
        <v/>
      </c>
      <c r="G41" s="23" t="str">
        <f>IFERROR(INDEX(vdata_regressors!$A$1:$L$2000,MATCH($A41,vdata_regressors!$A$2:$A$2000,0)+1,MATCH(G$2,vdata_regressors!$A$1:$R$1,0)),"")</f>
        <v/>
      </c>
      <c r="H41" s="23" t="str">
        <f>IFERROR(INDEX(vdata_regressors!$A$1:$L$2000,MATCH($A41,vdata_regressors!$A$2:$A$2000,0)+1,MATCH(H$2,vdata_regressors!$A$1:$R$1,0)),"")</f>
        <v/>
      </c>
      <c r="I41" s="23" t="str">
        <f>IFERROR(INDEX(vdata_regressors!$A$1:$L$2000,MATCH($A41,vdata_regressors!$A$2:$A$2000,0)+1,MATCH(I$2,vdata_regressors!$A$1:$R$1,0)),"")</f>
        <v/>
      </c>
      <c r="J41" s="23" t="str">
        <f>IFERROR(INDEX(vdata_regressors!$A$1:$L$2000,MATCH($A41,vdata_regressors!$A$2:$A$2000,0)+1,MATCH(J$2,vdata_regressors!$A$1:$R$1,0)),"")</f>
        <v/>
      </c>
      <c r="K41" s="23" t="str">
        <f>IFERROR(INDEX(vdata_regressors!$A$1:$L$2000,MATCH($A41,vdata_regressors!$A$2:$A$2000,0)+1,MATCH(K$2,vdata_regressors!$A$1:$R$1,0)),"")</f>
        <v/>
      </c>
      <c r="L41" s="23" t="str">
        <f>IFERROR(INDEX(vdata_regressors!$A$1:$L$2000,MATCH($A41,vdata_regressors!$A$2:$A$2000,0)+1,MATCH(L$2,vdata_regressors!$A$1:$R$1,0)),"")</f>
        <v/>
      </c>
      <c r="M41" s="23" t="str">
        <f>IFERROR(VLOOKUP(A41,vdata_hours!$A$2:$B$1000,2,FALSE),"")</f>
        <v/>
      </c>
    </row>
    <row r="42" spans="1:13" x14ac:dyDescent="0.25">
      <c r="A42" s="23" t="str">
        <f>IF(vdata_hours!A41=0,"",vdata_hours!A41)</f>
        <v/>
      </c>
      <c r="B42" s="23" t="str">
        <f>IFERROR(INDEX(vdata_regressors!$A$1:$L$2000,MATCH($A42,vdata_regressors!$A$2:$A$2000,0)+1,MATCH(B$2,vdata_regressors!$A$1:$R$1,0)),"")</f>
        <v/>
      </c>
      <c r="C42" s="23" t="str">
        <f>IFERROR(INDEX(vdata_regressors!$A$1:$L$2000,MATCH($A42,vdata_regressors!$A$2:$A$2000,0)+1,MATCH(C$2,vdata_regressors!$A$1:$R$1,0)),"")</f>
        <v/>
      </c>
      <c r="D42" s="23" t="str">
        <f>IFERROR(INDEX(vdata_regressors!$A$1:$L$2000,MATCH($A42,vdata_regressors!$A$2:$A$2000,0)+1,MATCH(D$2,vdata_regressors!$A$1:$R$1,0)),"")</f>
        <v/>
      </c>
      <c r="E42" s="23" t="str">
        <f>IFERROR(INDEX(vdata_regressors!$A$1:$L$2000,MATCH($A42,vdata_regressors!$A$2:$A$2000,0)+1,MATCH(E$2,vdata_regressors!$A$1:$R$1,0)),"")</f>
        <v/>
      </c>
      <c r="F42" s="23" t="str">
        <f>IFERROR(INDEX(vdata_regressors!$A$1:$L$2000,MATCH($A42,vdata_regressors!$A$2:$A$2000,0)+1,MATCH(F$2,vdata_regressors!$A$1:$R$1,0)),"")</f>
        <v/>
      </c>
      <c r="G42" s="23" t="str">
        <f>IFERROR(INDEX(vdata_regressors!$A$1:$L$2000,MATCH($A42,vdata_regressors!$A$2:$A$2000,0)+1,MATCH(G$2,vdata_regressors!$A$1:$R$1,0)),"")</f>
        <v/>
      </c>
      <c r="H42" s="23" t="str">
        <f>IFERROR(INDEX(vdata_regressors!$A$1:$L$2000,MATCH($A42,vdata_regressors!$A$2:$A$2000,0)+1,MATCH(H$2,vdata_regressors!$A$1:$R$1,0)),"")</f>
        <v/>
      </c>
      <c r="I42" s="23" t="str">
        <f>IFERROR(INDEX(vdata_regressors!$A$1:$L$2000,MATCH($A42,vdata_regressors!$A$2:$A$2000,0)+1,MATCH(I$2,vdata_regressors!$A$1:$R$1,0)),"")</f>
        <v/>
      </c>
      <c r="J42" s="23" t="str">
        <f>IFERROR(INDEX(vdata_regressors!$A$1:$L$2000,MATCH($A42,vdata_regressors!$A$2:$A$2000,0)+1,MATCH(J$2,vdata_regressors!$A$1:$R$1,0)),"")</f>
        <v/>
      </c>
      <c r="K42" s="23" t="str">
        <f>IFERROR(INDEX(vdata_regressors!$A$1:$L$2000,MATCH($A42,vdata_regressors!$A$2:$A$2000,0)+1,MATCH(K$2,vdata_regressors!$A$1:$R$1,0)),"")</f>
        <v/>
      </c>
      <c r="L42" s="23" t="str">
        <f>IFERROR(INDEX(vdata_regressors!$A$1:$L$2000,MATCH($A42,vdata_regressors!$A$2:$A$2000,0)+1,MATCH(L$2,vdata_regressors!$A$1:$R$1,0)),"")</f>
        <v/>
      </c>
      <c r="M42" s="23" t="str">
        <f>IFERROR(VLOOKUP(A42,vdata_hours!$A$2:$B$1000,2,FALSE),"")</f>
        <v/>
      </c>
    </row>
    <row r="43" spans="1:13" x14ac:dyDescent="0.25">
      <c r="A43" s="23" t="str">
        <f>IF(vdata_hours!A42=0,"",vdata_hours!A42)</f>
        <v/>
      </c>
      <c r="B43" s="23" t="str">
        <f>IFERROR(INDEX(vdata_regressors!$A$1:$L$2000,MATCH($A43,vdata_regressors!$A$2:$A$2000,0)+1,MATCH(B$2,vdata_regressors!$A$1:$R$1,0)),"")</f>
        <v/>
      </c>
      <c r="C43" s="23" t="str">
        <f>IFERROR(INDEX(vdata_regressors!$A$1:$L$2000,MATCH($A43,vdata_regressors!$A$2:$A$2000,0)+1,MATCH(C$2,vdata_regressors!$A$1:$R$1,0)),"")</f>
        <v/>
      </c>
      <c r="D43" s="23" t="str">
        <f>IFERROR(INDEX(vdata_regressors!$A$1:$L$2000,MATCH($A43,vdata_regressors!$A$2:$A$2000,0)+1,MATCH(D$2,vdata_regressors!$A$1:$R$1,0)),"")</f>
        <v/>
      </c>
      <c r="E43" s="23" t="str">
        <f>IFERROR(INDEX(vdata_regressors!$A$1:$L$2000,MATCH($A43,vdata_regressors!$A$2:$A$2000,0)+1,MATCH(E$2,vdata_regressors!$A$1:$R$1,0)),"")</f>
        <v/>
      </c>
      <c r="F43" s="23" t="str">
        <f>IFERROR(INDEX(vdata_regressors!$A$1:$L$2000,MATCH($A43,vdata_regressors!$A$2:$A$2000,0)+1,MATCH(F$2,vdata_regressors!$A$1:$R$1,0)),"")</f>
        <v/>
      </c>
      <c r="G43" s="23" t="str">
        <f>IFERROR(INDEX(vdata_regressors!$A$1:$L$2000,MATCH($A43,vdata_regressors!$A$2:$A$2000,0)+1,MATCH(G$2,vdata_regressors!$A$1:$R$1,0)),"")</f>
        <v/>
      </c>
      <c r="H43" s="23" t="str">
        <f>IFERROR(INDEX(vdata_regressors!$A$1:$L$2000,MATCH($A43,vdata_regressors!$A$2:$A$2000,0)+1,MATCH(H$2,vdata_regressors!$A$1:$R$1,0)),"")</f>
        <v/>
      </c>
      <c r="I43" s="23" t="str">
        <f>IFERROR(INDEX(vdata_regressors!$A$1:$L$2000,MATCH($A43,vdata_regressors!$A$2:$A$2000,0)+1,MATCH(I$2,vdata_regressors!$A$1:$R$1,0)),"")</f>
        <v/>
      </c>
      <c r="J43" s="23" t="str">
        <f>IFERROR(INDEX(vdata_regressors!$A$1:$L$2000,MATCH($A43,vdata_regressors!$A$2:$A$2000,0)+1,MATCH(J$2,vdata_regressors!$A$1:$R$1,0)),"")</f>
        <v/>
      </c>
      <c r="K43" s="23" t="str">
        <f>IFERROR(INDEX(vdata_regressors!$A$1:$L$2000,MATCH($A43,vdata_regressors!$A$2:$A$2000,0)+1,MATCH(K$2,vdata_regressors!$A$1:$R$1,0)),"")</f>
        <v/>
      </c>
      <c r="L43" s="23" t="str">
        <f>IFERROR(INDEX(vdata_regressors!$A$1:$L$2000,MATCH($A43,vdata_regressors!$A$2:$A$2000,0)+1,MATCH(L$2,vdata_regressors!$A$1:$R$1,0)),"")</f>
        <v/>
      </c>
      <c r="M43" s="23" t="str">
        <f>IFERROR(VLOOKUP(A43,vdata_hours!$A$2:$B$1000,2,FALSE),"")</f>
        <v/>
      </c>
    </row>
    <row r="44" spans="1:13" x14ac:dyDescent="0.25">
      <c r="A44" s="23" t="str">
        <f>IF(vdata_hours!A43=0,"",vdata_hours!A43)</f>
        <v/>
      </c>
      <c r="B44" s="23" t="str">
        <f>IFERROR(INDEX(vdata_regressors!$A$1:$L$2000,MATCH($A44,vdata_regressors!$A$2:$A$2000,0)+1,MATCH(B$2,vdata_regressors!$A$1:$R$1,0)),"")</f>
        <v/>
      </c>
      <c r="C44" s="23" t="str">
        <f>IFERROR(INDEX(vdata_regressors!$A$1:$L$2000,MATCH($A44,vdata_regressors!$A$2:$A$2000,0)+1,MATCH(C$2,vdata_regressors!$A$1:$R$1,0)),"")</f>
        <v/>
      </c>
      <c r="D44" s="23" t="str">
        <f>IFERROR(INDEX(vdata_regressors!$A$1:$L$2000,MATCH($A44,vdata_regressors!$A$2:$A$2000,0)+1,MATCH(D$2,vdata_regressors!$A$1:$R$1,0)),"")</f>
        <v/>
      </c>
      <c r="E44" s="23" t="str">
        <f>IFERROR(INDEX(vdata_regressors!$A$1:$L$2000,MATCH($A44,vdata_regressors!$A$2:$A$2000,0)+1,MATCH(E$2,vdata_regressors!$A$1:$R$1,0)),"")</f>
        <v/>
      </c>
      <c r="F44" s="23" t="str">
        <f>IFERROR(INDEX(vdata_regressors!$A$1:$L$2000,MATCH($A44,vdata_regressors!$A$2:$A$2000,0)+1,MATCH(F$2,vdata_regressors!$A$1:$R$1,0)),"")</f>
        <v/>
      </c>
      <c r="G44" s="23" t="str">
        <f>IFERROR(INDEX(vdata_regressors!$A$1:$L$2000,MATCH($A44,vdata_regressors!$A$2:$A$2000,0)+1,MATCH(G$2,vdata_regressors!$A$1:$R$1,0)),"")</f>
        <v/>
      </c>
      <c r="H44" s="23" t="str">
        <f>IFERROR(INDEX(vdata_regressors!$A$1:$L$2000,MATCH($A44,vdata_regressors!$A$2:$A$2000,0)+1,MATCH(H$2,vdata_regressors!$A$1:$R$1,0)),"")</f>
        <v/>
      </c>
      <c r="I44" s="23" t="str">
        <f>IFERROR(INDEX(vdata_regressors!$A$1:$L$2000,MATCH($A44,vdata_regressors!$A$2:$A$2000,0)+1,MATCH(I$2,vdata_regressors!$A$1:$R$1,0)),"")</f>
        <v/>
      </c>
      <c r="J44" s="23" t="str">
        <f>IFERROR(INDEX(vdata_regressors!$A$1:$L$2000,MATCH($A44,vdata_regressors!$A$2:$A$2000,0)+1,MATCH(J$2,vdata_regressors!$A$1:$R$1,0)),"")</f>
        <v/>
      </c>
      <c r="K44" s="23" t="str">
        <f>IFERROR(INDEX(vdata_regressors!$A$1:$L$2000,MATCH($A44,vdata_regressors!$A$2:$A$2000,0)+1,MATCH(K$2,vdata_regressors!$A$1:$R$1,0)),"")</f>
        <v/>
      </c>
      <c r="L44" s="23" t="str">
        <f>IFERROR(INDEX(vdata_regressors!$A$1:$L$2000,MATCH($A44,vdata_regressors!$A$2:$A$2000,0)+1,MATCH(L$2,vdata_regressors!$A$1:$R$1,0)),"")</f>
        <v/>
      </c>
      <c r="M44" s="23" t="str">
        <f>IFERROR(VLOOKUP(A44,vdata_hours!$A$2:$B$1000,2,FALSE),"")</f>
        <v/>
      </c>
    </row>
    <row r="45" spans="1:13" x14ac:dyDescent="0.25">
      <c r="A45" s="23" t="str">
        <f>IF(vdata_hours!A44=0,"",vdata_hours!A44)</f>
        <v/>
      </c>
      <c r="B45" s="23" t="str">
        <f>IFERROR(INDEX(vdata_regressors!$A$1:$L$2000,MATCH($A45,vdata_regressors!$A$2:$A$2000,0)+1,MATCH(B$2,vdata_regressors!$A$1:$R$1,0)),"")</f>
        <v/>
      </c>
      <c r="C45" s="23" t="str">
        <f>IFERROR(INDEX(vdata_regressors!$A$1:$L$2000,MATCH($A45,vdata_regressors!$A$2:$A$2000,0)+1,MATCH(C$2,vdata_regressors!$A$1:$R$1,0)),"")</f>
        <v/>
      </c>
      <c r="D45" s="23" t="str">
        <f>IFERROR(INDEX(vdata_regressors!$A$1:$L$2000,MATCH($A45,vdata_regressors!$A$2:$A$2000,0)+1,MATCH(D$2,vdata_regressors!$A$1:$R$1,0)),"")</f>
        <v/>
      </c>
      <c r="E45" s="23" t="str">
        <f>IFERROR(INDEX(vdata_regressors!$A$1:$L$2000,MATCH($A45,vdata_regressors!$A$2:$A$2000,0)+1,MATCH(E$2,vdata_regressors!$A$1:$R$1,0)),"")</f>
        <v/>
      </c>
      <c r="F45" s="23" t="str">
        <f>IFERROR(INDEX(vdata_regressors!$A$1:$L$2000,MATCH($A45,vdata_regressors!$A$2:$A$2000,0)+1,MATCH(F$2,vdata_regressors!$A$1:$R$1,0)),"")</f>
        <v/>
      </c>
      <c r="G45" s="23" t="str">
        <f>IFERROR(INDEX(vdata_regressors!$A$1:$L$2000,MATCH($A45,vdata_regressors!$A$2:$A$2000,0)+1,MATCH(G$2,vdata_regressors!$A$1:$R$1,0)),"")</f>
        <v/>
      </c>
      <c r="H45" s="23" t="str">
        <f>IFERROR(INDEX(vdata_regressors!$A$1:$L$2000,MATCH($A45,vdata_regressors!$A$2:$A$2000,0)+1,MATCH(H$2,vdata_regressors!$A$1:$R$1,0)),"")</f>
        <v/>
      </c>
      <c r="I45" s="23" t="str">
        <f>IFERROR(INDEX(vdata_regressors!$A$1:$L$2000,MATCH($A45,vdata_regressors!$A$2:$A$2000,0)+1,MATCH(I$2,vdata_regressors!$A$1:$R$1,0)),"")</f>
        <v/>
      </c>
      <c r="J45" s="23" t="str">
        <f>IFERROR(INDEX(vdata_regressors!$A$1:$L$2000,MATCH($A45,vdata_regressors!$A$2:$A$2000,0)+1,MATCH(J$2,vdata_regressors!$A$1:$R$1,0)),"")</f>
        <v/>
      </c>
      <c r="K45" s="23" t="str">
        <f>IFERROR(INDEX(vdata_regressors!$A$1:$L$2000,MATCH($A45,vdata_regressors!$A$2:$A$2000,0)+1,MATCH(K$2,vdata_regressors!$A$1:$R$1,0)),"")</f>
        <v/>
      </c>
      <c r="L45" s="23" t="str">
        <f>IFERROR(INDEX(vdata_regressors!$A$1:$L$2000,MATCH($A45,vdata_regressors!$A$2:$A$2000,0)+1,MATCH(L$2,vdata_regressors!$A$1:$R$1,0)),"")</f>
        <v/>
      </c>
      <c r="M45" s="23" t="str">
        <f>IFERROR(VLOOKUP(A45,vdata_hours!$A$2:$B$1000,2,FALSE),"")</f>
        <v/>
      </c>
    </row>
    <row r="46" spans="1:13" x14ac:dyDescent="0.25">
      <c r="A46" s="23" t="str">
        <f>IF(vdata_hours!A45=0,"",vdata_hours!A45)</f>
        <v/>
      </c>
      <c r="B46" s="23" t="str">
        <f>IFERROR(INDEX(vdata_regressors!$A$1:$L$2000,MATCH($A46,vdata_regressors!$A$2:$A$2000,0)+1,MATCH(B$2,vdata_regressors!$A$1:$R$1,0)),"")</f>
        <v/>
      </c>
      <c r="C46" s="23" t="str">
        <f>IFERROR(INDEX(vdata_regressors!$A$1:$L$2000,MATCH($A46,vdata_regressors!$A$2:$A$2000,0)+1,MATCH(C$2,vdata_regressors!$A$1:$R$1,0)),"")</f>
        <v/>
      </c>
      <c r="D46" s="23" t="str">
        <f>IFERROR(INDEX(vdata_regressors!$A$1:$L$2000,MATCH($A46,vdata_regressors!$A$2:$A$2000,0)+1,MATCH(D$2,vdata_regressors!$A$1:$R$1,0)),"")</f>
        <v/>
      </c>
      <c r="E46" s="23" t="str">
        <f>IFERROR(INDEX(vdata_regressors!$A$1:$L$2000,MATCH($A46,vdata_regressors!$A$2:$A$2000,0)+1,MATCH(E$2,vdata_regressors!$A$1:$R$1,0)),"")</f>
        <v/>
      </c>
      <c r="F46" s="23" t="str">
        <f>IFERROR(INDEX(vdata_regressors!$A$1:$L$2000,MATCH($A46,vdata_regressors!$A$2:$A$2000,0)+1,MATCH(F$2,vdata_regressors!$A$1:$R$1,0)),"")</f>
        <v/>
      </c>
      <c r="G46" s="23" t="str">
        <f>IFERROR(INDEX(vdata_regressors!$A$1:$L$2000,MATCH($A46,vdata_regressors!$A$2:$A$2000,0)+1,MATCH(G$2,vdata_regressors!$A$1:$R$1,0)),"")</f>
        <v/>
      </c>
      <c r="H46" s="23" t="str">
        <f>IFERROR(INDEX(vdata_regressors!$A$1:$L$2000,MATCH($A46,vdata_regressors!$A$2:$A$2000,0)+1,MATCH(H$2,vdata_regressors!$A$1:$R$1,0)),"")</f>
        <v/>
      </c>
      <c r="I46" s="23" t="str">
        <f>IFERROR(INDEX(vdata_regressors!$A$1:$L$2000,MATCH($A46,vdata_regressors!$A$2:$A$2000,0)+1,MATCH(I$2,vdata_regressors!$A$1:$R$1,0)),"")</f>
        <v/>
      </c>
      <c r="J46" s="23" t="str">
        <f>IFERROR(INDEX(vdata_regressors!$A$1:$L$2000,MATCH($A46,vdata_regressors!$A$2:$A$2000,0)+1,MATCH(J$2,vdata_regressors!$A$1:$R$1,0)),"")</f>
        <v/>
      </c>
      <c r="K46" s="23" t="str">
        <f>IFERROR(INDEX(vdata_regressors!$A$1:$L$2000,MATCH($A46,vdata_regressors!$A$2:$A$2000,0)+1,MATCH(K$2,vdata_regressors!$A$1:$R$1,0)),"")</f>
        <v/>
      </c>
      <c r="L46" s="23" t="str">
        <f>IFERROR(INDEX(vdata_regressors!$A$1:$L$2000,MATCH($A46,vdata_regressors!$A$2:$A$2000,0)+1,MATCH(L$2,vdata_regressors!$A$1:$R$1,0)),"")</f>
        <v/>
      </c>
      <c r="M46" s="23" t="str">
        <f>IFERROR(VLOOKUP(A46,vdata_hours!$A$2:$B$1000,2,FALSE),"")</f>
        <v/>
      </c>
    </row>
    <row r="47" spans="1:13" x14ac:dyDescent="0.25">
      <c r="A47" s="23" t="str">
        <f>IF(vdata_hours!A46=0,"",vdata_hours!A46)</f>
        <v/>
      </c>
      <c r="B47" s="23" t="str">
        <f>IFERROR(INDEX(vdata_regressors!$A$1:$L$2000,MATCH($A47,vdata_regressors!$A$2:$A$2000,0)+1,MATCH(B$2,vdata_regressors!$A$1:$R$1,0)),"")</f>
        <v/>
      </c>
      <c r="C47" s="23" t="str">
        <f>IFERROR(INDEX(vdata_regressors!$A$1:$L$2000,MATCH($A47,vdata_regressors!$A$2:$A$2000,0)+1,MATCH(C$2,vdata_regressors!$A$1:$R$1,0)),"")</f>
        <v/>
      </c>
      <c r="D47" s="23" t="str">
        <f>IFERROR(INDEX(vdata_regressors!$A$1:$L$2000,MATCH($A47,vdata_regressors!$A$2:$A$2000,0)+1,MATCH(D$2,vdata_regressors!$A$1:$R$1,0)),"")</f>
        <v/>
      </c>
      <c r="E47" s="23" t="str">
        <f>IFERROR(INDEX(vdata_regressors!$A$1:$L$2000,MATCH($A47,vdata_regressors!$A$2:$A$2000,0)+1,MATCH(E$2,vdata_regressors!$A$1:$R$1,0)),"")</f>
        <v/>
      </c>
      <c r="F47" s="23" t="str">
        <f>IFERROR(INDEX(vdata_regressors!$A$1:$L$2000,MATCH($A47,vdata_regressors!$A$2:$A$2000,0)+1,MATCH(F$2,vdata_regressors!$A$1:$R$1,0)),"")</f>
        <v/>
      </c>
      <c r="G47" s="23" t="str">
        <f>IFERROR(INDEX(vdata_regressors!$A$1:$L$2000,MATCH($A47,vdata_regressors!$A$2:$A$2000,0)+1,MATCH(G$2,vdata_regressors!$A$1:$R$1,0)),"")</f>
        <v/>
      </c>
      <c r="H47" s="23" t="str">
        <f>IFERROR(INDEX(vdata_regressors!$A$1:$L$2000,MATCH($A47,vdata_regressors!$A$2:$A$2000,0)+1,MATCH(H$2,vdata_regressors!$A$1:$R$1,0)),"")</f>
        <v/>
      </c>
      <c r="I47" s="23" t="str">
        <f>IFERROR(INDEX(vdata_regressors!$A$1:$L$2000,MATCH($A47,vdata_regressors!$A$2:$A$2000,0)+1,MATCH(I$2,vdata_regressors!$A$1:$R$1,0)),"")</f>
        <v/>
      </c>
      <c r="J47" s="23" t="str">
        <f>IFERROR(INDEX(vdata_regressors!$A$1:$L$2000,MATCH($A47,vdata_regressors!$A$2:$A$2000,0)+1,MATCH(J$2,vdata_regressors!$A$1:$R$1,0)),"")</f>
        <v/>
      </c>
      <c r="K47" s="23" t="str">
        <f>IFERROR(INDEX(vdata_regressors!$A$1:$L$2000,MATCH($A47,vdata_regressors!$A$2:$A$2000,0)+1,MATCH(K$2,vdata_regressors!$A$1:$R$1,0)),"")</f>
        <v/>
      </c>
      <c r="L47" s="23" t="str">
        <f>IFERROR(INDEX(vdata_regressors!$A$1:$L$2000,MATCH($A47,vdata_regressors!$A$2:$A$2000,0)+1,MATCH(L$2,vdata_regressors!$A$1:$R$1,0)),"")</f>
        <v/>
      </c>
      <c r="M47" s="23" t="str">
        <f>IFERROR(VLOOKUP(A47,vdata_hours!$A$2:$B$1000,2,FALSE),"")</f>
        <v/>
      </c>
    </row>
    <row r="48" spans="1:13" x14ac:dyDescent="0.25">
      <c r="A48" s="23" t="str">
        <f>IF(vdata_hours!A47=0,"",vdata_hours!A47)</f>
        <v/>
      </c>
      <c r="B48" s="23" t="str">
        <f>IFERROR(INDEX(vdata_regressors!$A$1:$L$2000,MATCH($A48,vdata_regressors!$A$2:$A$2000,0)+1,MATCH(B$2,vdata_regressors!$A$1:$R$1,0)),"")</f>
        <v/>
      </c>
      <c r="C48" s="23" t="str">
        <f>IFERROR(INDEX(vdata_regressors!$A$1:$L$2000,MATCH($A48,vdata_regressors!$A$2:$A$2000,0)+1,MATCH(C$2,vdata_regressors!$A$1:$R$1,0)),"")</f>
        <v/>
      </c>
      <c r="D48" s="23" t="str">
        <f>IFERROR(INDEX(vdata_regressors!$A$1:$L$2000,MATCH($A48,vdata_regressors!$A$2:$A$2000,0)+1,MATCH(D$2,vdata_regressors!$A$1:$R$1,0)),"")</f>
        <v/>
      </c>
      <c r="E48" s="23" t="str">
        <f>IFERROR(INDEX(vdata_regressors!$A$1:$L$2000,MATCH($A48,vdata_regressors!$A$2:$A$2000,0)+1,MATCH(E$2,vdata_regressors!$A$1:$R$1,0)),"")</f>
        <v/>
      </c>
      <c r="F48" s="23" t="str">
        <f>IFERROR(INDEX(vdata_regressors!$A$1:$L$2000,MATCH($A48,vdata_regressors!$A$2:$A$2000,0)+1,MATCH(F$2,vdata_regressors!$A$1:$R$1,0)),"")</f>
        <v/>
      </c>
      <c r="G48" s="23" t="str">
        <f>IFERROR(INDEX(vdata_regressors!$A$1:$L$2000,MATCH($A48,vdata_regressors!$A$2:$A$2000,0)+1,MATCH(G$2,vdata_regressors!$A$1:$R$1,0)),"")</f>
        <v/>
      </c>
      <c r="H48" s="23" t="str">
        <f>IFERROR(INDEX(vdata_regressors!$A$1:$L$2000,MATCH($A48,vdata_regressors!$A$2:$A$2000,0)+1,MATCH(H$2,vdata_regressors!$A$1:$R$1,0)),"")</f>
        <v/>
      </c>
      <c r="I48" s="23" t="str">
        <f>IFERROR(INDEX(vdata_regressors!$A$1:$L$2000,MATCH($A48,vdata_regressors!$A$2:$A$2000,0)+1,MATCH(I$2,vdata_regressors!$A$1:$R$1,0)),"")</f>
        <v/>
      </c>
      <c r="J48" s="23" t="str">
        <f>IFERROR(INDEX(vdata_regressors!$A$1:$L$2000,MATCH($A48,vdata_regressors!$A$2:$A$2000,0)+1,MATCH(J$2,vdata_regressors!$A$1:$R$1,0)),"")</f>
        <v/>
      </c>
      <c r="K48" s="23" t="str">
        <f>IFERROR(INDEX(vdata_regressors!$A$1:$L$2000,MATCH($A48,vdata_regressors!$A$2:$A$2000,0)+1,MATCH(K$2,vdata_regressors!$A$1:$R$1,0)),"")</f>
        <v/>
      </c>
      <c r="L48" s="23" t="str">
        <f>IFERROR(INDEX(vdata_regressors!$A$1:$L$2000,MATCH($A48,vdata_regressors!$A$2:$A$2000,0)+1,MATCH(L$2,vdata_regressors!$A$1:$R$1,0)),"")</f>
        <v/>
      </c>
      <c r="M48" s="23" t="str">
        <f>IFERROR(VLOOKUP(A48,vdata_hours!$A$2:$B$1000,2,FALSE),"")</f>
        <v/>
      </c>
    </row>
    <row r="49" spans="1:13" x14ac:dyDescent="0.25">
      <c r="A49" s="23" t="str">
        <f>IF(vdata_hours!A48=0,"",vdata_hours!A48)</f>
        <v/>
      </c>
      <c r="B49" s="23" t="str">
        <f>IFERROR(INDEX(vdata_regressors!$A$1:$L$2000,MATCH($A49,vdata_regressors!$A$2:$A$2000,0)+1,MATCH(B$2,vdata_regressors!$A$1:$R$1,0)),"")</f>
        <v/>
      </c>
      <c r="C49" s="23" t="str">
        <f>IFERROR(INDEX(vdata_regressors!$A$1:$L$2000,MATCH($A49,vdata_regressors!$A$2:$A$2000,0)+1,MATCH(C$2,vdata_regressors!$A$1:$R$1,0)),"")</f>
        <v/>
      </c>
      <c r="D49" s="23" t="str">
        <f>IFERROR(INDEX(vdata_regressors!$A$1:$L$2000,MATCH($A49,vdata_regressors!$A$2:$A$2000,0)+1,MATCH(D$2,vdata_regressors!$A$1:$R$1,0)),"")</f>
        <v/>
      </c>
      <c r="E49" s="23" t="str">
        <f>IFERROR(INDEX(vdata_regressors!$A$1:$L$2000,MATCH($A49,vdata_regressors!$A$2:$A$2000,0)+1,MATCH(E$2,vdata_regressors!$A$1:$R$1,0)),"")</f>
        <v/>
      </c>
      <c r="F49" s="23" t="str">
        <f>IFERROR(INDEX(vdata_regressors!$A$1:$L$2000,MATCH($A49,vdata_regressors!$A$2:$A$2000,0)+1,MATCH(F$2,vdata_regressors!$A$1:$R$1,0)),"")</f>
        <v/>
      </c>
      <c r="G49" s="23" t="str">
        <f>IFERROR(INDEX(vdata_regressors!$A$1:$L$2000,MATCH($A49,vdata_regressors!$A$2:$A$2000,0)+1,MATCH(G$2,vdata_regressors!$A$1:$R$1,0)),"")</f>
        <v/>
      </c>
      <c r="H49" s="23" t="str">
        <f>IFERROR(INDEX(vdata_regressors!$A$1:$L$2000,MATCH($A49,vdata_regressors!$A$2:$A$2000,0)+1,MATCH(H$2,vdata_regressors!$A$1:$R$1,0)),"")</f>
        <v/>
      </c>
      <c r="I49" s="23" t="str">
        <f>IFERROR(INDEX(vdata_regressors!$A$1:$L$2000,MATCH($A49,vdata_regressors!$A$2:$A$2000,0)+1,MATCH(I$2,vdata_regressors!$A$1:$R$1,0)),"")</f>
        <v/>
      </c>
      <c r="J49" s="23" t="str">
        <f>IFERROR(INDEX(vdata_regressors!$A$1:$L$2000,MATCH($A49,vdata_regressors!$A$2:$A$2000,0)+1,MATCH(J$2,vdata_regressors!$A$1:$R$1,0)),"")</f>
        <v/>
      </c>
      <c r="K49" s="23" t="str">
        <f>IFERROR(INDEX(vdata_regressors!$A$1:$L$2000,MATCH($A49,vdata_regressors!$A$2:$A$2000,0)+1,MATCH(K$2,vdata_regressors!$A$1:$R$1,0)),"")</f>
        <v/>
      </c>
      <c r="L49" s="23" t="str">
        <f>IFERROR(INDEX(vdata_regressors!$A$1:$L$2000,MATCH($A49,vdata_regressors!$A$2:$A$2000,0)+1,MATCH(L$2,vdata_regressors!$A$1:$R$1,0)),"")</f>
        <v/>
      </c>
      <c r="M49" s="23" t="str">
        <f>IFERROR(VLOOKUP(A49,vdata_hours!$A$2:$B$1000,2,FALSE),"")</f>
        <v/>
      </c>
    </row>
    <row r="50" spans="1:13" x14ac:dyDescent="0.25">
      <c r="A50" s="23" t="str">
        <f>IF(vdata_hours!A49=0,"",vdata_hours!A49)</f>
        <v/>
      </c>
      <c r="B50" s="23" t="str">
        <f>IFERROR(INDEX(vdata_regressors!$A$1:$L$2000,MATCH($A50,vdata_regressors!$A$2:$A$2000,0)+1,MATCH(B$2,vdata_regressors!$A$1:$R$1,0)),"")</f>
        <v/>
      </c>
      <c r="C50" s="23" t="str">
        <f>IFERROR(INDEX(vdata_regressors!$A$1:$L$2000,MATCH($A50,vdata_regressors!$A$2:$A$2000,0)+1,MATCH(C$2,vdata_regressors!$A$1:$R$1,0)),"")</f>
        <v/>
      </c>
      <c r="D50" s="23" t="str">
        <f>IFERROR(INDEX(vdata_regressors!$A$1:$L$2000,MATCH($A50,vdata_regressors!$A$2:$A$2000,0)+1,MATCH(D$2,vdata_regressors!$A$1:$R$1,0)),"")</f>
        <v/>
      </c>
      <c r="E50" s="23" t="str">
        <f>IFERROR(INDEX(vdata_regressors!$A$1:$L$2000,MATCH($A50,vdata_regressors!$A$2:$A$2000,0)+1,MATCH(E$2,vdata_regressors!$A$1:$R$1,0)),"")</f>
        <v/>
      </c>
      <c r="F50" s="23" t="str">
        <f>IFERROR(INDEX(vdata_regressors!$A$1:$L$2000,MATCH($A50,vdata_regressors!$A$2:$A$2000,0)+1,MATCH(F$2,vdata_regressors!$A$1:$R$1,0)),"")</f>
        <v/>
      </c>
      <c r="G50" s="23" t="str">
        <f>IFERROR(INDEX(vdata_regressors!$A$1:$L$2000,MATCH($A50,vdata_regressors!$A$2:$A$2000,0)+1,MATCH(G$2,vdata_regressors!$A$1:$R$1,0)),"")</f>
        <v/>
      </c>
      <c r="H50" s="23" t="str">
        <f>IFERROR(INDEX(vdata_regressors!$A$1:$L$2000,MATCH($A50,vdata_regressors!$A$2:$A$2000,0)+1,MATCH(H$2,vdata_regressors!$A$1:$R$1,0)),"")</f>
        <v/>
      </c>
      <c r="I50" s="23" t="str">
        <f>IFERROR(INDEX(vdata_regressors!$A$1:$L$2000,MATCH($A50,vdata_regressors!$A$2:$A$2000,0)+1,MATCH(I$2,vdata_regressors!$A$1:$R$1,0)),"")</f>
        <v/>
      </c>
      <c r="J50" s="23" t="str">
        <f>IFERROR(INDEX(vdata_regressors!$A$1:$L$2000,MATCH($A50,vdata_regressors!$A$2:$A$2000,0)+1,MATCH(J$2,vdata_regressors!$A$1:$R$1,0)),"")</f>
        <v/>
      </c>
      <c r="K50" s="23" t="str">
        <f>IFERROR(INDEX(vdata_regressors!$A$1:$L$2000,MATCH($A50,vdata_regressors!$A$2:$A$2000,0)+1,MATCH(K$2,vdata_regressors!$A$1:$R$1,0)),"")</f>
        <v/>
      </c>
      <c r="L50" s="23" t="str">
        <f>IFERROR(INDEX(vdata_regressors!$A$1:$L$2000,MATCH($A50,vdata_regressors!$A$2:$A$2000,0)+1,MATCH(L$2,vdata_regressors!$A$1:$R$1,0)),"")</f>
        <v/>
      </c>
      <c r="M50" s="23" t="str">
        <f>IFERROR(VLOOKUP(A50,vdata_hours!$A$2:$B$1000,2,FALSE),"")</f>
        <v/>
      </c>
    </row>
    <row r="51" spans="1:13" x14ac:dyDescent="0.25">
      <c r="A51" s="23" t="str">
        <f>IF(vdata_hours!A50=0,"",vdata_hours!A50)</f>
        <v/>
      </c>
      <c r="B51" s="23" t="str">
        <f>IFERROR(INDEX(vdata_regressors!$A$1:$L$2000,MATCH($A51,vdata_regressors!$A$2:$A$2000,0)+1,MATCH(B$2,vdata_regressors!$A$1:$R$1,0)),"")</f>
        <v/>
      </c>
      <c r="C51" s="23" t="str">
        <f>IFERROR(INDEX(vdata_regressors!$A$1:$L$2000,MATCH($A51,vdata_regressors!$A$2:$A$2000,0)+1,MATCH(C$2,vdata_regressors!$A$1:$R$1,0)),"")</f>
        <v/>
      </c>
      <c r="D51" s="23" t="str">
        <f>IFERROR(INDEX(vdata_regressors!$A$1:$L$2000,MATCH($A51,vdata_regressors!$A$2:$A$2000,0)+1,MATCH(D$2,vdata_regressors!$A$1:$R$1,0)),"")</f>
        <v/>
      </c>
      <c r="E51" s="23" t="str">
        <f>IFERROR(INDEX(vdata_regressors!$A$1:$L$2000,MATCH($A51,vdata_regressors!$A$2:$A$2000,0)+1,MATCH(E$2,vdata_regressors!$A$1:$R$1,0)),"")</f>
        <v/>
      </c>
      <c r="F51" s="23" t="str">
        <f>IFERROR(INDEX(vdata_regressors!$A$1:$L$2000,MATCH($A51,vdata_regressors!$A$2:$A$2000,0)+1,MATCH(F$2,vdata_regressors!$A$1:$R$1,0)),"")</f>
        <v/>
      </c>
      <c r="G51" s="23" t="str">
        <f>IFERROR(INDEX(vdata_regressors!$A$1:$L$2000,MATCH($A51,vdata_regressors!$A$2:$A$2000,0)+1,MATCH(G$2,vdata_regressors!$A$1:$R$1,0)),"")</f>
        <v/>
      </c>
      <c r="H51" s="23" t="str">
        <f>IFERROR(INDEX(vdata_regressors!$A$1:$L$2000,MATCH($A51,vdata_regressors!$A$2:$A$2000,0)+1,MATCH(H$2,vdata_regressors!$A$1:$R$1,0)),"")</f>
        <v/>
      </c>
      <c r="I51" s="23" t="str">
        <f>IFERROR(INDEX(vdata_regressors!$A$1:$L$2000,MATCH($A51,vdata_regressors!$A$2:$A$2000,0)+1,MATCH(I$2,vdata_regressors!$A$1:$R$1,0)),"")</f>
        <v/>
      </c>
      <c r="J51" s="23" t="str">
        <f>IFERROR(INDEX(vdata_regressors!$A$1:$L$2000,MATCH($A51,vdata_regressors!$A$2:$A$2000,0)+1,MATCH(J$2,vdata_regressors!$A$1:$R$1,0)),"")</f>
        <v/>
      </c>
      <c r="K51" s="23" t="str">
        <f>IFERROR(INDEX(vdata_regressors!$A$1:$L$2000,MATCH($A51,vdata_regressors!$A$2:$A$2000,0)+1,MATCH(K$2,vdata_regressors!$A$1:$R$1,0)),"")</f>
        <v/>
      </c>
      <c r="L51" s="23" t="str">
        <f>IFERROR(INDEX(vdata_regressors!$A$1:$L$2000,MATCH($A51,vdata_regressors!$A$2:$A$2000,0)+1,MATCH(L$2,vdata_regressors!$A$1:$R$1,0)),"")</f>
        <v/>
      </c>
      <c r="M51" s="23" t="str">
        <f>IFERROR(VLOOKUP(A51,vdata_hours!$A$2:$B$1000,2,FALSE),"")</f>
        <v/>
      </c>
    </row>
    <row r="52" spans="1:13" x14ac:dyDescent="0.25">
      <c r="A52" s="23" t="str">
        <f>IF(vdata_hours!A51=0,"",vdata_hours!A51)</f>
        <v/>
      </c>
      <c r="B52" s="23" t="str">
        <f>IFERROR(INDEX(vdata_regressors!$A$1:$L$2000,MATCH($A52,vdata_regressors!$A$2:$A$2000,0)+1,MATCH(B$2,vdata_regressors!$A$1:$R$1,0)),"")</f>
        <v/>
      </c>
      <c r="C52" s="23" t="str">
        <f>IFERROR(INDEX(vdata_regressors!$A$1:$L$2000,MATCH($A52,vdata_regressors!$A$2:$A$2000,0)+1,MATCH(C$2,vdata_regressors!$A$1:$R$1,0)),"")</f>
        <v/>
      </c>
      <c r="D52" s="23" t="str">
        <f>IFERROR(INDEX(vdata_regressors!$A$1:$L$2000,MATCH($A52,vdata_regressors!$A$2:$A$2000,0)+1,MATCH(D$2,vdata_regressors!$A$1:$R$1,0)),"")</f>
        <v/>
      </c>
      <c r="E52" s="23" t="str">
        <f>IFERROR(INDEX(vdata_regressors!$A$1:$L$2000,MATCH($A52,vdata_regressors!$A$2:$A$2000,0)+1,MATCH(E$2,vdata_regressors!$A$1:$R$1,0)),"")</f>
        <v/>
      </c>
      <c r="F52" s="23" t="str">
        <f>IFERROR(INDEX(vdata_regressors!$A$1:$L$2000,MATCH($A52,vdata_regressors!$A$2:$A$2000,0)+1,MATCH(F$2,vdata_regressors!$A$1:$R$1,0)),"")</f>
        <v/>
      </c>
      <c r="G52" s="23" t="str">
        <f>IFERROR(INDEX(vdata_regressors!$A$1:$L$2000,MATCH($A52,vdata_regressors!$A$2:$A$2000,0)+1,MATCH(G$2,vdata_regressors!$A$1:$R$1,0)),"")</f>
        <v/>
      </c>
      <c r="H52" s="23" t="str">
        <f>IFERROR(INDEX(vdata_regressors!$A$1:$L$2000,MATCH($A52,vdata_regressors!$A$2:$A$2000,0)+1,MATCH(H$2,vdata_regressors!$A$1:$R$1,0)),"")</f>
        <v/>
      </c>
      <c r="I52" s="23" t="str">
        <f>IFERROR(INDEX(vdata_regressors!$A$1:$L$2000,MATCH($A52,vdata_regressors!$A$2:$A$2000,0)+1,MATCH(I$2,vdata_regressors!$A$1:$R$1,0)),"")</f>
        <v/>
      </c>
      <c r="J52" s="23" t="str">
        <f>IFERROR(INDEX(vdata_regressors!$A$1:$L$2000,MATCH($A52,vdata_regressors!$A$2:$A$2000,0)+1,MATCH(J$2,vdata_regressors!$A$1:$R$1,0)),"")</f>
        <v/>
      </c>
      <c r="K52" s="23" t="str">
        <f>IFERROR(INDEX(vdata_regressors!$A$1:$L$2000,MATCH($A52,vdata_regressors!$A$2:$A$2000,0)+1,MATCH(K$2,vdata_regressors!$A$1:$R$1,0)),"")</f>
        <v/>
      </c>
      <c r="L52" s="23" t="str">
        <f>IFERROR(INDEX(vdata_regressors!$A$1:$L$2000,MATCH($A52,vdata_regressors!$A$2:$A$2000,0)+1,MATCH(L$2,vdata_regressors!$A$1:$R$1,0)),"")</f>
        <v/>
      </c>
      <c r="M52" s="23" t="str">
        <f>IFERROR(VLOOKUP(A52,vdata_hours!$A$2:$B$1000,2,FALSE),"")</f>
        <v/>
      </c>
    </row>
    <row r="53" spans="1:13" x14ac:dyDescent="0.25">
      <c r="A53" s="23" t="str">
        <f>IF(vdata_hours!A52=0,"",vdata_hours!A52)</f>
        <v/>
      </c>
      <c r="B53" s="23" t="str">
        <f>IFERROR(INDEX(vdata_regressors!$A$1:$L$2000,MATCH($A53,vdata_regressors!$A$2:$A$2000,0)+1,MATCH(B$2,vdata_regressors!$A$1:$R$1,0)),"")</f>
        <v/>
      </c>
      <c r="C53" s="23" t="str">
        <f>IFERROR(INDEX(vdata_regressors!$A$1:$L$2000,MATCH($A53,vdata_regressors!$A$2:$A$2000,0)+1,MATCH(C$2,vdata_regressors!$A$1:$R$1,0)),"")</f>
        <v/>
      </c>
      <c r="D53" s="23" t="str">
        <f>IFERROR(INDEX(vdata_regressors!$A$1:$L$2000,MATCH($A53,vdata_regressors!$A$2:$A$2000,0)+1,MATCH(D$2,vdata_regressors!$A$1:$R$1,0)),"")</f>
        <v/>
      </c>
      <c r="E53" s="23" t="str">
        <f>IFERROR(INDEX(vdata_regressors!$A$1:$L$2000,MATCH($A53,vdata_regressors!$A$2:$A$2000,0)+1,MATCH(E$2,vdata_regressors!$A$1:$R$1,0)),"")</f>
        <v/>
      </c>
      <c r="F53" s="23" t="str">
        <f>IFERROR(INDEX(vdata_regressors!$A$1:$L$2000,MATCH($A53,vdata_regressors!$A$2:$A$2000,0)+1,MATCH(F$2,vdata_regressors!$A$1:$R$1,0)),"")</f>
        <v/>
      </c>
      <c r="G53" s="23" t="str">
        <f>IFERROR(INDEX(vdata_regressors!$A$1:$L$2000,MATCH($A53,vdata_regressors!$A$2:$A$2000,0)+1,MATCH(G$2,vdata_regressors!$A$1:$R$1,0)),"")</f>
        <v/>
      </c>
      <c r="H53" s="23" t="str">
        <f>IFERROR(INDEX(vdata_regressors!$A$1:$L$2000,MATCH($A53,vdata_regressors!$A$2:$A$2000,0)+1,MATCH(H$2,vdata_regressors!$A$1:$R$1,0)),"")</f>
        <v/>
      </c>
      <c r="I53" s="23" t="str">
        <f>IFERROR(INDEX(vdata_regressors!$A$1:$L$2000,MATCH($A53,vdata_regressors!$A$2:$A$2000,0)+1,MATCH(I$2,vdata_regressors!$A$1:$R$1,0)),"")</f>
        <v/>
      </c>
      <c r="J53" s="23" t="str">
        <f>IFERROR(INDEX(vdata_regressors!$A$1:$L$2000,MATCH($A53,vdata_regressors!$A$2:$A$2000,0)+1,MATCH(J$2,vdata_regressors!$A$1:$R$1,0)),"")</f>
        <v/>
      </c>
      <c r="K53" s="23" t="str">
        <f>IFERROR(INDEX(vdata_regressors!$A$1:$L$2000,MATCH($A53,vdata_regressors!$A$2:$A$2000,0)+1,MATCH(K$2,vdata_regressors!$A$1:$R$1,0)),"")</f>
        <v/>
      </c>
      <c r="L53" s="23" t="str">
        <f>IFERROR(INDEX(vdata_regressors!$A$1:$L$2000,MATCH($A53,vdata_regressors!$A$2:$A$2000,0)+1,MATCH(L$2,vdata_regressors!$A$1:$R$1,0)),"")</f>
        <v/>
      </c>
      <c r="M53" s="23" t="str">
        <f>IFERROR(VLOOKUP(A53,vdata_hours!$A$2:$B$1000,2,FALSE),"")</f>
        <v/>
      </c>
    </row>
    <row r="54" spans="1:13" x14ac:dyDescent="0.25">
      <c r="A54" s="23" t="str">
        <f>IF(vdata_hours!A53=0,"",vdata_hours!A53)</f>
        <v/>
      </c>
      <c r="B54" s="23" t="str">
        <f>IFERROR(INDEX(vdata_regressors!$A$1:$L$2000,MATCH($A54,vdata_regressors!$A$2:$A$2000,0)+1,MATCH(B$2,vdata_regressors!$A$1:$R$1,0)),"")</f>
        <v/>
      </c>
      <c r="C54" s="23" t="str">
        <f>IFERROR(INDEX(vdata_regressors!$A$1:$L$2000,MATCH($A54,vdata_regressors!$A$2:$A$2000,0)+1,MATCH(C$2,vdata_regressors!$A$1:$R$1,0)),"")</f>
        <v/>
      </c>
      <c r="D54" s="23" t="str">
        <f>IFERROR(INDEX(vdata_regressors!$A$1:$L$2000,MATCH($A54,vdata_regressors!$A$2:$A$2000,0)+1,MATCH(D$2,vdata_regressors!$A$1:$R$1,0)),"")</f>
        <v/>
      </c>
      <c r="E54" s="23" t="str">
        <f>IFERROR(INDEX(vdata_regressors!$A$1:$L$2000,MATCH($A54,vdata_regressors!$A$2:$A$2000,0)+1,MATCH(E$2,vdata_regressors!$A$1:$R$1,0)),"")</f>
        <v/>
      </c>
      <c r="F54" s="23" t="str">
        <f>IFERROR(INDEX(vdata_regressors!$A$1:$L$2000,MATCH($A54,vdata_regressors!$A$2:$A$2000,0)+1,MATCH(F$2,vdata_regressors!$A$1:$R$1,0)),"")</f>
        <v/>
      </c>
      <c r="G54" s="23" t="str">
        <f>IFERROR(INDEX(vdata_regressors!$A$1:$L$2000,MATCH($A54,vdata_regressors!$A$2:$A$2000,0)+1,MATCH(G$2,vdata_regressors!$A$1:$R$1,0)),"")</f>
        <v/>
      </c>
      <c r="H54" s="23" t="str">
        <f>IFERROR(INDEX(vdata_regressors!$A$1:$L$2000,MATCH($A54,vdata_regressors!$A$2:$A$2000,0)+1,MATCH(H$2,vdata_regressors!$A$1:$R$1,0)),"")</f>
        <v/>
      </c>
      <c r="I54" s="23" t="str">
        <f>IFERROR(INDEX(vdata_regressors!$A$1:$L$2000,MATCH($A54,vdata_regressors!$A$2:$A$2000,0)+1,MATCH(I$2,vdata_regressors!$A$1:$R$1,0)),"")</f>
        <v/>
      </c>
      <c r="J54" s="23" t="str">
        <f>IFERROR(INDEX(vdata_regressors!$A$1:$L$2000,MATCH($A54,vdata_regressors!$A$2:$A$2000,0)+1,MATCH(J$2,vdata_regressors!$A$1:$R$1,0)),"")</f>
        <v/>
      </c>
      <c r="K54" s="23" t="str">
        <f>IFERROR(INDEX(vdata_regressors!$A$1:$L$2000,MATCH($A54,vdata_regressors!$A$2:$A$2000,0)+1,MATCH(K$2,vdata_regressors!$A$1:$R$1,0)),"")</f>
        <v/>
      </c>
      <c r="L54" s="23" t="str">
        <f>IFERROR(INDEX(vdata_regressors!$A$1:$L$2000,MATCH($A54,vdata_regressors!$A$2:$A$2000,0)+1,MATCH(L$2,vdata_regressors!$A$1:$R$1,0)),"")</f>
        <v/>
      </c>
      <c r="M54" s="23" t="str">
        <f>IFERROR(VLOOKUP(A54,vdata_hours!$A$2:$B$1000,2,FALSE),"")</f>
        <v/>
      </c>
    </row>
    <row r="55" spans="1:13" x14ac:dyDescent="0.25">
      <c r="A55" s="23" t="str">
        <f>IF(vdata_hours!A54=0,"",vdata_hours!A54)</f>
        <v/>
      </c>
      <c r="B55" s="23" t="str">
        <f>IFERROR(INDEX(vdata_regressors!$A$1:$L$2000,MATCH($A55,vdata_regressors!$A$2:$A$2000,0)+1,MATCH(B$2,vdata_regressors!$A$1:$R$1,0)),"")</f>
        <v/>
      </c>
      <c r="C55" s="23" t="str">
        <f>IFERROR(INDEX(vdata_regressors!$A$1:$L$2000,MATCH($A55,vdata_regressors!$A$2:$A$2000,0)+1,MATCH(C$2,vdata_regressors!$A$1:$R$1,0)),"")</f>
        <v/>
      </c>
      <c r="D55" s="23" t="str">
        <f>IFERROR(INDEX(vdata_regressors!$A$1:$L$2000,MATCH($A55,vdata_regressors!$A$2:$A$2000,0)+1,MATCH(D$2,vdata_regressors!$A$1:$R$1,0)),"")</f>
        <v/>
      </c>
      <c r="E55" s="23" t="str">
        <f>IFERROR(INDEX(vdata_regressors!$A$1:$L$2000,MATCH($A55,vdata_regressors!$A$2:$A$2000,0)+1,MATCH(E$2,vdata_regressors!$A$1:$R$1,0)),"")</f>
        <v/>
      </c>
      <c r="F55" s="23" t="str">
        <f>IFERROR(INDEX(vdata_regressors!$A$1:$L$2000,MATCH($A55,vdata_regressors!$A$2:$A$2000,0)+1,MATCH(F$2,vdata_regressors!$A$1:$R$1,0)),"")</f>
        <v/>
      </c>
      <c r="G55" s="23" t="str">
        <f>IFERROR(INDEX(vdata_regressors!$A$1:$L$2000,MATCH($A55,vdata_regressors!$A$2:$A$2000,0)+1,MATCH(G$2,vdata_regressors!$A$1:$R$1,0)),"")</f>
        <v/>
      </c>
      <c r="H55" s="23" t="str">
        <f>IFERROR(INDEX(vdata_regressors!$A$1:$L$2000,MATCH($A55,vdata_regressors!$A$2:$A$2000,0)+1,MATCH(H$2,vdata_regressors!$A$1:$R$1,0)),"")</f>
        <v/>
      </c>
      <c r="I55" s="23" t="str">
        <f>IFERROR(INDEX(vdata_regressors!$A$1:$L$2000,MATCH($A55,vdata_regressors!$A$2:$A$2000,0)+1,MATCH(I$2,vdata_regressors!$A$1:$R$1,0)),"")</f>
        <v/>
      </c>
      <c r="J55" s="23" t="str">
        <f>IFERROR(INDEX(vdata_regressors!$A$1:$L$2000,MATCH($A55,vdata_regressors!$A$2:$A$2000,0)+1,MATCH(J$2,vdata_regressors!$A$1:$R$1,0)),"")</f>
        <v/>
      </c>
      <c r="K55" s="23" t="str">
        <f>IFERROR(INDEX(vdata_regressors!$A$1:$L$2000,MATCH($A55,vdata_regressors!$A$2:$A$2000,0)+1,MATCH(K$2,vdata_regressors!$A$1:$R$1,0)),"")</f>
        <v/>
      </c>
      <c r="L55" s="23" t="str">
        <f>IFERROR(INDEX(vdata_regressors!$A$1:$L$2000,MATCH($A55,vdata_regressors!$A$2:$A$2000,0)+1,MATCH(L$2,vdata_regressors!$A$1:$R$1,0)),"")</f>
        <v/>
      </c>
      <c r="M55" s="23" t="str">
        <f>IFERROR(VLOOKUP(A55,vdata_hours!$A$2:$B$1000,2,FALSE),"")</f>
        <v/>
      </c>
    </row>
    <row r="56" spans="1:13" x14ac:dyDescent="0.25">
      <c r="A56" s="23" t="str">
        <f>IF(vdata_hours!A55=0,"",vdata_hours!A55)</f>
        <v/>
      </c>
      <c r="B56" s="23" t="str">
        <f>IFERROR(INDEX(vdata_regressors!$A$1:$L$2000,MATCH($A56,vdata_regressors!$A$2:$A$2000,0)+1,MATCH(B$2,vdata_regressors!$A$1:$R$1,0)),"")</f>
        <v/>
      </c>
      <c r="C56" s="23" t="str">
        <f>IFERROR(INDEX(vdata_regressors!$A$1:$L$2000,MATCH($A56,vdata_regressors!$A$2:$A$2000,0)+1,MATCH(C$2,vdata_regressors!$A$1:$R$1,0)),"")</f>
        <v/>
      </c>
      <c r="D56" s="23" t="str">
        <f>IFERROR(INDEX(vdata_regressors!$A$1:$L$2000,MATCH($A56,vdata_regressors!$A$2:$A$2000,0)+1,MATCH(D$2,vdata_regressors!$A$1:$R$1,0)),"")</f>
        <v/>
      </c>
      <c r="E56" s="23" t="str">
        <f>IFERROR(INDEX(vdata_regressors!$A$1:$L$2000,MATCH($A56,vdata_regressors!$A$2:$A$2000,0)+1,MATCH(E$2,vdata_regressors!$A$1:$R$1,0)),"")</f>
        <v/>
      </c>
      <c r="F56" s="23" t="str">
        <f>IFERROR(INDEX(vdata_regressors!$A$1:$L$2000,MATCH($A56,vdata_regressors!$A$2:$A$2000,0)+1,MATCH(F$2,vdata_regressors!$A$1:$R$1,0)),"")</f>
        <v/>
      </c>
      <c r="G56" s="23" t="str">
        <f>IFERROR(INDEX(vdata_regressors!$A$1:$L$2000,MATCH($A56,vdata_regressors!$A$2:$A$2000,0)+1,MATCH(G$2,vdata_regressors!$A$1:$R$1,0)),"")</f>
        <v/>
      </c>
      <c r="H56" s="23" t="str">
        <f>IFERROR(INDEX(vdata_regressors!$A$1:$L$2000,MATCH($A56,vdata_regressors!$A$2:$A$2000,0)+1,MATCH(H$2,vdata_regressors!$A$1:$R$1,0)),"")</f>
        <v/>
      </c>
      <c r="I56" s="23" t="str">
        <f>IFERROR(INDEX(vdata_regressors!$A$1:$L$2000,MATCH($A56,vdata_regressors!$A$2:$A$2000,0)+1,MATCH(I$2,vdata_regressors!$A$1:$R$1,0)),"")</f>
        <v/>
      </c>
      <c r="J56" s="23" t="str">
        <f>IFERROR(INDEX(vdata_regressors!$A$1:$L$2000,MATCH($A56,vdata_regressors!$A$2:$A$2000,0)+1,MATCH(J$2,vdata_regressors!$A$1:$R$1,0)),"")</f>
        <v/>
      </c>
      <c r="K56" s="23" t="str">
        <f>IFERROR(INDEX(vdata_regressors!$A$1:$L$2000,MATCH($A56,vdata_regressors!$A$2:$A$2000,0)+1,MATCH(K$2,vdata_regressors!$A$1:$R$1,0)),"")</f>
        <v/>
      </c>
      <c r="L56" s="23" t="str">
        <f>IFERROR(INDEX(vdata_regressors!$A$1:$L$2000,MATCH($A56,vdata_regressors!$A$2:$A$2000,0)+1,MATCH(L$2,vdata_regressors!$A$1:$R$1,0)),"")</f>
        <v/>
      </c>
      <c r="M56" s="23" t="str">
        <f>IFERROR(VLOOKUP(A56,vdata_hours!$A$2:$B$1000,2,FALSE),"")</f>
        <v/>
      </c>
    </row>
    <row r="57" spans="1:13" x14ac:dyDescent="0.25">
      <c r="A57" s="23" t="str">
        <f>IF(vdata_hours!A56=0,"",vdata_hours!A56)</f>
        <v/>
      </c>
      <c r="B57" s="23" t="str">
        <f>IFERROR(INDEX(vdata_regressors!$A$1:$L$2000,MATCH($A57,vdata_regressors!$A$2:$A$2000,0)+1,MATCH(B$2,vdata_regressors!$A$1:$R$1,0)),"")</f>
        <v/>
      </c>
      <c r="C57" s="23" t="str">
        <f>IFERROR(INDEX(vdata_regressors!$A$1:$L$2000,MATCH($A57,vdata_regressors!$A$2:$A$2000,0)+1,MATCH(C$2,vdata_regressors!$A$1:$R$1,0)),"")</f>
        <v/>
      </c>
      <c r="D57" s="23" t="str">
        <f>IFERROR(INDEX(vdata_regressors!$A$1:$L$2000,MATCH($A57,vdata_regressors!$A$2:$A$2000,0)+1,MATCH(D$2,vdata_regressors!$A$1:$R$1,0)),"")</f>
        <v/>
      </c>
      <c r="E57" s="23" t="str">
        <f>IFERROR(INDEX(vdata_regressors!$A$1:$L$2000,MATCH($A57,vdata_regressors!$A$2:$A$2000,0)+1,MATCH(E$2,vdata_regressors!$A$1:$R$1,0)),"")</f>
        <v/>
      </c>
      <c r="F57" s="23" t="str">
        <f>IFERROR(INDEX(vdata_regressors!$A$1:$L$2000,MATCH($A57,vdata_regressors!$A$2:$A$2000,0)+1,MATCH(F$2,vdata_regressors!$A$1:$R$1,0)),"")</f>
        <v/>
      </c>
      <c r="G57" s="23" t="str">
        <f>IFERROR(INDEX(vdata_regressors!$A$1:$L$2000,MATCH($A57,vdata_regressors!$A$2:$A$2000,0)+1,MATCH(G$2,vdata_regressors!$A$1:$R$1,0)),"")</f>
        <v/>
      </c>
      <c r="H57" s="23" t="str">
        <f>IFERROR(INDEX(vdata_regressors!$A$1:$L$2000,MATCH($A57,vdata_regressors!$A$2:$A$2000,0)+1,MATCH(H$2,vdata_regressors!$A$1:$R$1,0)),"")</f>
        <v/>
      </c>
      <c r="I57" s="23" t="str">
        <f>IFERROR(INDEX(vdata_regressors!$A$1:$L$2000,MATCH($A57,vdata_regressors!$A$2:$A$2000,0)+1,MATCH(I$2,vdata_regressors!$A$1:$R$1,0)),"")</f>
        <v/>
      </c>
      <c r="J57" s="23" t="str">
        <f>IFERROR(INDEX(vdata_regressors!$A$1:$L$2000,MATCH($A57,vdata_regressors!$A$2:$A$2000,0)+1,MATCH(J$2,vdata_regressors!$A$1:$R$1,0)),"")</f>
        <v/>
      </c>
      <c r="K57" s="23" t="str">
        <f>IFERROR(INDEX(vdata_regressors!$A$1:$L$2000,MATCH($A57,vdata_regressors!$A$2:$A$2000,0)+1,MATCH(K$2,vdata_regressors!$A$1:$R$1,0)),"")</f>
        <v/>
      </c>
      <c r="L57" s="23" t="str">
        <f>IFERROR(INDEX(vdata_regressors!$A$1:$L$2000,MATCH($A57,vdata_regressors!$A$2:$A$2000,0)+1,MATCH(L$2,vdata_regressors!$A$1:$R$1,0)),"")</f>
        <v/>
      </c>
      <c r="M57" s="23" t="str">
        <f>IFERROR(VLOOKUP(A57,vdata_hours!$A$2:$B$1000,2,FALSE),"")</f>
        <v/>
      </c>
    </row>
    <row r="58" spans="1:13" x14ac:dyDescent="0.25">
      <c r="A58" s="23" t="str">
        <f>IF(vdata_hours!A57=0,"",vdata_hours!A57)</f>
        <v/>
      </c>
      <c r="B58" s="23" t="str">
        <f>IFERROR(INDEX(vdata_regressors!$A$1:$L$2000,MATCH($A58,vdata_regressors!$A$2:$A$2000,0)+1,MATCH(B$2,vdata_regressors!$A$1:$R$1,0)),"")</f>
        <v/>
      </c>
      <c r="C58" s="23" t="str">
        <f>IFERROR(INDEX(vdata_regressors!$A$1:$L$2000,MATCH($A58,vdata_regressors!$A$2:$A$2000,0)+1,MATCH(C$2,vdata_regressors!$A$1:$R$1,0)),"")</f>
        <v/>
      </c>
      <c r="D58" s="23" t="str">
        <f>IFERROR(INDEX(vdata_regressors!$A$1:$L$2000,MATCH($A58,vdata_regressors!$A$2:$A$2000,0)+1,MATCH(D$2,vdata_regressors!$A$1:$R$1,0)),"")</f>
        <v/>
      </c>
      <c r="E58" s="23" t="str">
        <f>IFERROR(INDEX(vdata_regressors!$A$1:$L$2000,MATCH($A58,vdata_regressors!$A$2:$A$2000,0)+1,MATCH(E$2,vdata_regressors!$A$1:$R$1,0)),"")</f>
        <v/>
      </c>
      <c r="F58" s="23" t="str">
        <f>IFERROR(INDEX(vdata_regressors!$A$1:$L$2000,MATCH($A58,vdata_regressors!$A$2:$A$2000,0)+1,MATCH(F$2,vdata_regressors!$A$1:$R$1,0)),"")</f>
        <v/>
      </c>
      <c r="G58" s="23" t="str">
        <f>IFERROR(INDEX(vdata_regressors!$A$1:$L$2000,MATCH($A58,vdata_regressors!$A$2:$A$2000,0)+1,MATCH(G$2,vdata_regressors!$A$1:$R$1,0)),"")</f>
        <v/>
      </c>
      <c r="H58" s="23" t="str">
        <f>IFERROR(INDEX(vdata_regressors!$A$1:$L$2000,MATCH($A58,vdata_regressors!$A$2:$A$2000,0)+1,MATCH(H$2,vdata_regressors!$A$1:$R$1,0)),"")</f>
        <v/>
      </c>
      <c r="I58" s="23" t="str">
        <f>IFERROR(INDEX(vdata_regressors!$A$1:$L$2000,MATCH($A58,vdata_regressors!$A$2:$A$2000,0)+1,MATCH(I$2,vdata_regressors!$A$1:$R$1,0)),"")</f>
        <v/>
      </c>
      <c r="J58" s="23" t="str">
        <f>IFERROR(INDEX(vdata_regressors!$A$1:$L$2000,MATCH($A58,vdata_regressors!$A$2:$A$2000,0)+1,MATCH(J$2,vdata_regressors!$A$1:$R$1,0)),"")</f>
        <v/>
      </c>
      <c r="K58" s="23" t="str">
        <f>IFERROR(INDEX(vdata_regressors!$A$1:$L$2000,MATCH($A58,vdata_regressors!$A$2:$A$2000,0)+1,MATCH(K$2,vdata_regressors!$A$1:$R$1,0)),"")</f>
        <v/>
      </c>
      <c r="L58" s="23" t="str">
        <f>IFERROR(INDEX(vdata_regressors!$A$1:$L$2000,MATCH($A58,vdata_regressors!$A$2:$A$2000,0)+1,MATCH(L$2,vdata_regressors!$A$1:$R$1,0)),"")</f>
        <v/>
      </c>
      <c r="M58" s="23" t="str">
        <f>IFERROR(VLOOKUP(A58,vdata_hours!$A$2:$B$1000,2,FALSE),"")</f>
        <v/>
      </c>
    </row>
    <row r="59" spans="1:13" x14ac:dyDescent="0.25">
      <c r="A59" s="23" t="str">
        <f>IF(vdata_hours!A58=0,"",vdata_hours!A58)</f>
        <v/>
      </c>
      <c r="B59" s="23" t="str">
        <f>IFERROR(INDEX(vdata_regressors!$A$1:$L$2000,MATCH($A59,vdata_regressors!$A$2:$A$2000,0)+1,MATCH(B$2,vdata_regressors!$A$1:$R$1,0)),"")</f>
        <v/>
      </c>
      <c r="C59" s="23" t="str">
        <f>IFERROR(INDEX(vdata_regressors!$A$1:$L$2000,MATCH($A59,vdata_regressors!$A$2:$A$2000,0)+1,MATCH(C$2,vdata_regressors!$A$1:$R$1,0)),"")</f>
        <v/>
      </c>
      <c r="D59" s="23" t="str">
        <f>IFERROR(INDEX(vdata_regressors!$A$1:$L$2000,MATCH($A59,vdata_regressors!$A$2:$A$2000,0)+1,MATCH(D$2,vdata_regressors!$A$1:$R$1,0)),"")</f>
        <v/>
      </c>
      <c r="E59" s="23" t="str">
        <f>IFERROR(INDEX(vdata_regressors!$A$1:$L$2000,MATCH($A59,vdata_regressors!$A$2:$A$2000,0)+1,MATCH(E$2,vdata_regressors!$A$1:$R$1,0)),"")</f>
        <v/>
      </c>
      <c r="F59" s="23" t="str">
        <f>IFERROR(INDEX(vdata_regressors!$A$1:$L$2000,MATCH($A59,vdata_regressors!$A$2:$A$2000,0)+1,MATCH(F$2,vdata_regressors!$A$1:$R$1,0)),"")</f>
        <v/>
      </c>
      <c r="G59" s="23" t="str">
        <f>IFERROR(INDEX(vdata_regressors!$A$1:$L$2000,MATCH($A59,vdata_regressors!$A$2:$A$2000,0)+1,MATCH(G$2,vdata_regressors!$A$1:$R$1,0)),"")</f>
        <v/>
      </c>
      <c r="H59" s="23" t="str">
        <f>IFERROR(INDEX(vdata_regressors!$A$1:$L$2000,MATCH($A59,vdata_regressors!$A$2:$A$2000,0)+1,MATCH(H$2,vdata_regressors!$A$1:$R$1,0)),"")</f>
        <v/>
      </c>
      <c r="I59" s="23" t="str">
        <f>IFERROR(INDEX(vdata_regressors!$A$1:$L$2000,MATCH($A59,vdata_regressors!$A$2:$A$2000,0)+1,MATCH(I$2,vdata_regressors!$A$1:$R$1,0)),"")</f>
        <v/>
      </c>
      <c r="J59" s="23" t="str">
        <f>IFERROR(INDEX(vdata_regressors!$A$1:$L$2000,MATCH($A59,vdata_regressors!$A$2:$A$2000,0)+1,MATCH(J$2,vdata_regressors!$A$1:$R$1,0)),"")</f>
        <v/>
      </c>
      <c r="K59" s="23" t="str">
        <f>IFERROR(INDEX(vdata_regressors!$A$1:$L$2000,MATCH($A59,vdata_regressors!$A$2:$A$2000,0)+1,MATCH(K$2,vdata_regressors!$A$1:$R$1,0)),"")</f>
        <v/>
      </c>
      <c r="L59" s="23" t="str">
        <f>IFERROR(INDEX(vdata_regressors!$A$1:$L$2000,MATCH($A59,vdata_regressors!$A$2:$A$2000,0)+1,MATCH(L$2,vdata_regressors!$A$1:$R$1,0)),"")</f>
        <v/>
      </c>
      <c r="M59" s="23" t="str">
        <f>IFERROR(VLOOKUP(A59,vdata_hours!$A$2:$B$1000,2,FALSE),"")</f>
        <v/>
      </c>
    </row>
    <row r="60" spans="1:13" x14ac:dyDescent="0.25">
      <c r="A60" s="23" t="str">
        <f>IF(vdata_hours!A59=0,"",vdata_hours!A59)</f>
        <v/>
      </c>
      <c r="B60" s="23" t="str">
        <f>IFERROR(INDEX(vdata_regressors!$A$1:$L$2000,MATCH($A60,vdata_regressors!$A$2:$A$2000,0)+1,MATCH(B$2,vdata_regressors!$A$1:$R$1,0)),"")</f>
        <v/>
      </c>
      <c r="C60" s="23" t="str">
        <f>IFERROR(INDEX(vdata_regressors!$A$1:$L$2000,MATCH($A60,vdata_regressors!$A$2:$A$2000,0)+1,MATCH(C$2,vdata_regressors!$A$1:$R$1,0)),"")</f>
        <v/>
      </c>
      <c r="D60" s="23" t="str">
        <f>IFERROR(INDEX(vdata_regressors!$A$1:$L$2000,MATCH($A60,vdata_regressors!$A$2:$A$2000,0)+1,MATCH(D$2,vdata_regressors!$A$1:$R$1,0)),"")</f>
        <v/>
      </c>
      <c r="E60" s="23" t="str">
        <f>IFERROR(INDEX(vdata_regressors!$A$1:$L$2000,MATCH($A60,vdata_regressors!$A$2:$A$2000,0)+1,MATCH(E$2,vdata_regressors!$A$1:$R$1,0)),"")</f>
        <v/>
      </c>
      <c r="F60" s="23" t="str">
        <f>IFERROR(INDEX(vdata_regressors!$A$1:$L$2000,MATCH($A60,vdata_regressors!$A$2:$A$2000,0)+1,MATCH(F$2,vdata_regressors!$A$1:$R$1,0)),"")</f>
        <v/>
      </c>
      <c r="G60" s="23" t="str">
        <f>IFERROR(INDEX(vdata_regressors!$A$1:$L$2000,MATCH($A60,vdata_regressors!$A$2:$A$2000,0)+1,MATCH(G$2,vdata_regressors!$A$1:$R$1,0)),"")</f>
        <v/>
      </c>
      <c r="H60" s="23" t="str">
        <f>IFERROR(INDEX(vdata_regressors!$A$1:$L$2000,MATCH($A60,vdata_regressors!$A$2:$A$2000,0)+1,MATCH(H$2,vdata_regressors!$A$1:$R$1,0)),"")</f>
        <v/>
      </c>
      <c r="I60" s="23" t="str">
        <f>IFERROR(INDEX(vdata_regressors!$A$1:$L$2000,MATCH($A60,vdata_regressors!$A$2:$A$2000,0)+1,MATCH(I$2,vdata_regressors!$A$1:$R$1,0)),"")</f>
        <v/>
      </c>
      <c r="J60" s="23" t="str">
        <f>IFERROR(INDEX(vdata_regressors!$A$1:$L$2000,MATCH($A60,vdata_regressors!$A$2:$A$2000,0)+1,MATCH(J$2,vdata_regressors!$A$1:$R$1,0)),"")</f>
        <v/>
      </c>
      <c r="K60" s="23" t="str">
        <f>IFERROR(INDEX(vdata_regressors!$A$1:$L$2000,MATCH($A60,vdata_regressors!$A$2:$A$2000,0)+1,MATCH(K$2,vdata_regressors!$A$1:$R$1,0)),"")</f>
        <v/>
      </c>
      <c r="L60" s="23" t="str">
        <f>IFERROR(INDEX(vdata_regressors!$A$1:$L$2000,MATCH($A60,vdata_regressors!$A$2:$A$2000,0)+1,MATCH(L$2,vdata_regressors!$A$1:$R$1,0)),"")</f>
        <v/>
      </c>
      <c r="M60" s="23" t="str">
        <f>IFERROR(VLOOKUP(A60,vdata_hours!$A$2:$B$1000,2,FALSE),"")</f>
        <v/>
      </c>
    </row>
    <row r="61" spans="1:13" x14ac:dyDescent="0.25">
      <c r="A61" s="23" t="str">
        <f>IF(vdata_hours!A60=0,"",vdata_hours!A60)</f>
        <v/>
      </c>
      <c r="B61" s="23" t="str">
        <f>IFERROR(INDEX(vdata_regressors!$A$1:$L$2000,MATCH($A61,vdata_regressors!$A$2:$A$2000,0)+1,MATCH(B$2,vdata_regressors!$A$1:$R$1,0)),"")</f>
        <v/>
      </c>
      <c r="C61" s="23" t="str">
        <f>IFERROR(INDEX(vdata_regressors!$A$1:$L$2000,MATCH($A61,vdata_regressors!$A$2:$A$2000,0)+1,MATCH(C$2,vdata_regressors!$A$1:$R$1,0)),"")</f>
        <v/>
      </c>
      <c r="D61" s="23" t="str">
        <f>IFERROR(INDEX(vdata_regressors!$A$1:$L$2000,MATCH($A61,vdata_regressors!$A$2:$A$2000,0)+1,MATCH(D$2,vdata_regressors!$A$1:$R$1,0)),"")</f>
        <v/>
      </c>
      <c r="E61" s="23" t="str">
        <f>IFERROR(INDEX(vdata_regressors!$A$1:$L$2000,MATCH($A61,vdata_regressors!$A$2:$A$2000,0)+1,MATCH(E$2,vdata_regressors!$A$1:$R$1,0)),"")</f>
        <v/>
      </c>
      <c r="F61" s="23" t="str">
        <f>IFERROR(INDEX(vdata_regressors!$A$1:$L$2000,MATCH($A61,vdata_regressors!$A$2:$A$2000,0)+1,MATCH(F$2,vdata_regressors!$A$1:$R$1,0)),"")</f>
        <v/>
      </c>
      <c r="G61" s="23" t="str">
        <f>IFERROR(INDEX(vdata_regressors!$A$1:$L$2000,MATCH($A61,vdata_regressors!$A$2:$A$2000,0)+1,MATCH(G$2,vdata_regressors!$A$1:$R$1,0)),"")</f>
        <v/>
      </c>
      <c r="H61" s="23" t="str">
        <f>IFERROR(INDEX(vdata_regressors!$A$1:$L$2000,MATCH($A61,vdata_regressors!$A$2:$A$2000,0)+1,MATCH(H$2,vdata_regressors!$A$1:$R$1,0)),"")</f>
        <v/>
      </c>
      <c r="I61" s="23" t="str">
        <f>IFERROR(INDEX(vdata_regressors!$A$1:$L$2000,MATCH($A61,vdata_regressors!$A$2:$A$2000,0)+1,MATCH(I$2,vdata_regressors!$A$1:$R$1,0)),"")</f>
        <v/>
      </c>
      <c r="J61" s="23" t="str">
        <f>IFERROR(INDEX(vdata_regressors!$A$1:$L$2000,MATCH($A61,vdata_regressors!$A$2:$A$2000,0)+1,MATCH(J$2,vdata_regressors!$A$1:$R$1,0)),"")</f>
        <v/>
      </c>
      <c r="K61" s="23" t="str">
        <f>IFERROR(INDEX(vdata_regressors!$A$1:$L$2000,MATCH($A61,vdata_regressors!$A$2:$A$2000,0)+1,MATCH(K$2,vdata_regressors!$A$1:$R$1,0)),"")</f>
        <v/>
      </c>
      <c r="L61" s="23" t="str">
        <f>IFERROR(INDEX(vdata_regressors!$A$1:$L$2000,MATCH($A61,vdata_regressors!$A$2:$A$2000,0)+1,MATCH(L$2,vdata_regressors!$A$1:$R$1,0)),"")</f>
        <v/>
      </c>
      <c r="M61" s="23" t="str">
        <f>IFERROR(VLOOKUP(A61,vdata_hours!$A$2:$B$1000,2,FALSE),"")</f>
        <v/>
      </c>
    </row>
    <row r="62" spans="1:13" x14ac:dyDescent="0.25">
      <c r="A62" s="23" t="str">
        <f>IF(vdata_hours!A61=0,"",vdata_hours!A61)</f>
        <v/>
      </c>
      <c r="B62" s="23" t="str">
        <f>IFERROR(INDEX(vdata_regressors!$A$1:$L$2000,MATCH($A62,vdata_regressors!$A$2:$A$2000,0)+1,MATCH(B$2,vdata_regressors!$A$1:$R$1,0)),"")</f>
        <v/>
      </c>
      <c r="C62" s="23" t="str">
        <f>IFERROR(INDEX(vdata_regressors!$A$1:$L$2000,MATCH($A62,vdata_regressors!$A$2:$A$2000,0)+1,MATCH(C$2,vdata_regressors!$A$1:$R$1,0)),"")</f>
        <v/>
      </c>
      <c r="D62" s="23" t="str">
        <f>IFERROR(INDEX(vdata_regressors!$A$1:$L$2000,MATCH($A62,vdata_regressors!$A$2:$A$2000,0)+1,MATCH(D$2,vdata_regressors!$A$1:$R$1,0)),"")</f>
        <v/>
      </c>
      <c r="E62" s="23" t="str">
        <f>IFERROR(INDEX(vdata_regressors!$A$1:$L$2000,MATCH($A62,vdata_regressors!$A$2:$A$2000,0)+1,MATCH(E$2,vdata_regressors!$A$1:$R$1,0)),"")</f>
        <v/>
      </c>
      <c r="F62" s="23" t="str">
        <f>IFERROR(INDEX(vdata_regressors!$A$1:$L$2000,MATCH($A62,vdata_regressors!$A$2:$A$2000,0)+1,MATCH(F$2,vdata_regressors!$A$1:$R$1,0)),"")</f>
        <v/>
      </c>
      <c r="G62" s="23" t="str">
        <f>IFERROR(INDEX(vdata_regressors!$A$1:$L$2000,MATCH($A62,vdata_regressors!$A$2:$A$2000,0)+1,MATCH(G$2,vdata_regressors!$A$1:$R$1,0)),"")</f>
        <v/>
      </c>
      <c r="H62" s="23" t="str">
        <f>IFERROR(INDEX(vdata_regressors!$A$1:$L$2000,MATCH($A62,vdata_regressors!$A$2:$A$2000,0)+1,MATCH(H$2,vdata_regressors!$A$1:$R$1,0)),"")</f>
        <v/>
      </c>
      <c r="I62" s="23" t="str">
        <f>IFERROR(INDEX(vdata_regressors!$A$1:$L$2000,MATCH($A62,vdata_regressors!$A$2:$A$2000,0)+1,MATCH(I$2,vdata_regressors!$A$1:$R$1,0)),"")</f>
        <v/>
      </c>
      <c r="J62" s="23" t="str">
        <f>IFERROR(INDEX(vdata_regressors!$A$1:$L$2000,MATCH($A62,vdata_regressors!$A$2:$A$2000,0)+1,MATCH(J$2,vdata_regressors!$A$1:$R$1,0)),"")</f>
        <v/>
      </c>
      <c r="K62" s="23" t="str">
        <f>IFERROR(INDEX(vdata_regressors!$A$1:$L$2000,MATCH($A62,vdata_regressors!$A$2:$A$2000,0)+1,MATCH(K$2,vdata_regressors!$A$1:$R$1,0)),"")</f>
        <v/>
      </c>
      <c r="L62" s="23" t="str">
        <f>IFERROR(INDEX(vdata_regressors!$A$1:$L$2000,MATCH($A62,vdata_regressors!$A$2:$A$2000,0)+1,MATCH(L$2,vdata_regressors!$A$1:$R$1,0)),"")</f>
        <v/>
      </c>
      <c r="M62" s="23" t="str">
        <f>IFERROR(VLOOKUP(A62,vdata_hours!$A$2:$B$1000,2,FALSE),"")</f>
        <v/>
      </c>
    </row>
    <row r="63" spans="1:13" x14ac:dyDescent="0.25">
      <c r="A63" s="23" t="str">
        <f>IF(vdata_hours!A62=0,"",vdata_hours!A62)</f>
        <v/>
      </c>
      <c r="B63" s="23" t="str">
        <f>IFERROR(INDEX(vdata_regressors!$A$1:$L$2000,MATCH($A63,vdata_regressors!$A$2:$A$2000,0)+1,MATCH(B$2,vdata_regressors!$A$1:$R$1,0)),"")</f>
        <v/>
      </c>
      <c r="C63" s="23" t="str">
        <f>IFERROR(INDEX(vdata_regressors!$A$1:$L$2000,MATCH($A63,vdata_regressors!$A$2:$A$2000,0)+1,MATCH(C$2,vdata_regressors!$A$1:$R$1,0)),"")</f>
        <v/>
      </c>
      <c r="D63" s="23" t="str">
        <f>IFERROR(INDEX(vdata_regressors!$A$1:$L$2000,MATCH($A63,vdata_regressors!$A$2:$A$2000,0)+1,MATCH(D$2,vdata_regressors!$A$1:$R$1,0)),"")</f>
        <v/>
      </c>
      <c r="E63" s="23" t="str">
        <f>IFERROR(INDEX(vdata_regressors!$A$1:$L$2000,MATCH($A63,vdata_regressors!$A$2:$A$2000,0)+1,MATCH(E$2,vdata_regressors!$A$1:$R$1,0)),"")</f>
        <v/>
      </c>
      <c r="F63" s="23" t="str">
        <f>IFERROR(INDEX(vdata_regressors!$A$1:$L$2000,MATCH($A63,vdata_regressors!$A$2:$A$2000,0)+1,MATCH(F$2,vdata_regressors!$A$1:$R$1,0)),"")</f>
        <v/>
      </c>
      <c r="G63" s="23" t="str">
        <f>IFERROR(INDEX(vdata_regressors!$A$1:$L$2000,MATCH($A63,vdata_regressors!$A$2:$A$2000,0)+1,MATCH(G$2,vdata_regressors!$A$1:$R$1,0)),"")</f>
        <v/>
      </c>
      <c r="H63" s="23" t="str">
        <f>IFERROR(INDEX(vdata_regressors!$A$1:$L$2000,MATCH($A63,vdata_regressors!$A$2:$A$2000,0)+1,MATCH(H$2,vdata_regressors!$A$1:$R$1,0)),"")</f>
        <v/>
      </c>
      <c r="I63" s="23" t="str">
        <f>IFERROR(INDEX(vdata_regressors!$A$1:$L$2000,MATCH($A63,vdata_regressors!$A$2:$A$2000,0)+1,MATCH(I$2,vdata_regressors!$A$1:$R$1,0)),"")</f>
        <v/>
      </c>
      <c r="J63" s="23" t="str">
        <f>IFERROR(INDEX(vdata_regressors!$A$1:$L$2000,MATCH($A63,vdata_regressors!$A$2:$A$2000,0)+1,MATCH(J$2,vdata_regressors!$A$1:$R$1,0)),"")</f>
        <v/>
      </c>
      <c r="K63" s="23" t="str">
        <f>IFERROR(INDEX(vdata_regressors!$A$1:$L$2000,MATCH($A63,vdata_regressors!$A$2:$A$2000,0)+1,MATCH(K$2,vdata_regressors!$A$1:$R$1,0)),"")</f>
        <v/>
      </c>
      <c r="L63" s="23" t="str">
        <f>IFERROR(INDEX(vdata_regressors!$A$1:$L$2000,MATCH($A63,vdata_regressors!$A$2:$A$2000,0)+1,MATCH(L$2,vdata_regressors!$A$1:$R$1,0)),"")</f>
        <v/>
      </c>
      <c r="M63" s="23" t="str">
        <f>IFERROR(VLOOKUP(A63,vdata_hours!$A$2:$B$1000,2,FALSE),"")</f>
        <v/>
      </c>
    </row>
    <row r="64" spans="1:13" x14ac:dyDescent="0.25">
      <c r="A64" s="23" t="str">
        <f>IF(vdata_hours!A63=0,"",vdata_hours!A63)</f>
        <v/>
      </c>
      <c r="B64" s="23" t="str">
        <f>IFERROR(INDEX(vdata_regressors!$A$1:$L$2000,MATCH($A64,vdata_regressors!$A$2:$A$2000,0)+1,MATCH(B$2,vdata_regressors!$A$1:$R$1,0)),"")</f>
        <v/>
      </c>
      <c r="C64" s="23" t="str">
        <f>IFERROR(INDEX(vdata_regressors!$A$1:$L$2000,MATCH($A64,vdata_regressors!$A$2:$A$2000,0)+1,MATCH(C$2,vdata_regressors!$A$1:$R$1,0)),"")</f>
        <v/>
      </c>
      <c r="D64" s="23" t="str">
        <f>IFERROR(INDEX(vdata_regressors!$A$1:$L$2000,MATCH($A64,vdata_regressors!$A$2:$A$2000,0)+1,MATCH(D$2,vdata_regressors!$A$1:$R$1,0)),"")</f>
        <v/>
      </c>
      <c r="E64" s="23" t="str">
        <f>IFERROR(INDEX(vdata_regressors!$A$1:$L$2000,MATCH($A64,vdata_regressors!$A$2:$A$2000,0)+1,MATCH(E$2,vdata_regressors!$A$1:$R$1,0)),"")</f>
        <v/>
      </c>
      <c r="F64" s="23" t="str">
        <f>IFERROR(INDEX(vdata_regressors!$A$1:$L$2000,MATCH($A64,vdata_regressors!$A$2:$A$2000,0)+1,MATCH(F$2,vdata_regressors!$A$1:$R$1,0)),"")</f>
        <v/>
      </c>
      <c r="G64" s="23" t="str">
        <f>IFERROR(INDEX(vdata_regressors!$A$1:$L$2000,MATCH($A64,vdata_regressors!$A$2:$A$2000,0)+1,MATCH(G$2,vdata_regressors!$A$1:$R$1,0)),"")</f>
        <v/>
      </c>
      <c r="H64" s="23" t="str">
        <f>IFERROR(INDEX(vdata_regressors!$A$1:$L$2000,MATCH($A64,vdata_regressors!$A$2:$A$2000,0)+1,MATCH(H$2,vdata_regressors!$A$1:$R$1,0)),"")</f>
        <v/>
      </c>
      <c r="I64" s="23" t="str">
        <f>IFERROR(INDEX(vdata_regressors!$A$1:$L$2000,MATCH($A64,vdata_regressors!$A$2:$A$2000,0)+1,MATCH(I$2,vdata_regressors!$A$1:$R$1,0)),"")</f>
        <v/>
      </c>
      <c r="J64" s="23" t="str">
        <f>IFERROR(INDEX(vdata_regressors!$A$1:$L$2000,MATCH($A64,vdata_regressors!$A$2:$A$2000,0)+1,MATCH(J$2,vdata_regressors!$A$1:$R$1,0)),"")</f>
        <v/>
      </c>
      <c r="K64" s="23" t="str">
        <f>IFERROR(INDEX(vdata_regressors!$A$1:$L$2000,MATCH($A64,vdata_regressors!$A$2:$A$2000,0)+1,MATCH(K$2,vdata_regressors!$A$1:$R$1,0)),"")</f>
        <v/>
      </c>
      <c r="L64" s="23" t="str">
        <f>IFERROR(INDEX(vdata_regressors!$A$1:$L$2000,MATCH($A64,vdata_regressors!$A$2:$A$2000,0)+1,MATCH(L$2,vdata_regressors!$A$1:$R$1,0)),"")</f>
        <v/>
      </c>
      <c r="M64" s="23" t="str">
        <f>IFERROR(VLOOKUP(A64,vdata_hours!$A$2:$B$1000,2,FALSE),"")</f>
        <v/>
      </c>
    </row>
    <row r="65" spans="1:13" x14ac:dyDescent="0.25">
      <c r="A65" s="23" t="str">
        <f>IF(vdata_hours!A64=0,"",vdata_hours!A64)</f>
        <v/>
      </c>
      <c r="B65" s="23" t="str">
        <f>IFERROR(INDEX(vdata_regressors!$A$1:$L$2000,MATCH($A65,vdata_regressors!$A$2:$A$2000,0)+1,MATCH(B$2,vdata_regressors!$A$1:$R$1,0)),"")</f>
        <v/>
      </c>
      <c r="C65" s="23" t="str">
        <f>IFERROR(INDEX(vdata_regressors!$A$1:$L$2000,MATCH($A65,vdata_regressors!$A$2:$A$2000,0)+1,MATCH(C$2,vdata_regressors!$A$1:$R$1,0)),"")</f>
        <v/>
      </c>
      <c r="D65" s="23" t="str">
        <f>IFERROR(INDEX(vdata_regressors!$A$1:$L$2000,MATCH($A65,vdata_regressors!$A$2:$A$2000,0)+1,MATCH(D$2,vdata_regressors!$A$1:$R$1,0)),"")</f>
        <v/>
      </c>
      <c r="E65" s="23" t="str">
        <f>IFERROR(INDEX(vdata_regressors!$A$1:$L$2000,MATCH($A65,vdata_regressors!$A$2:$A$2000,0)+1,MATCH(E$2,vdata_regressors!$A$1:$R$1,0)),"")</f>
        <v/>
      </c>
      <c r="F65" s="23" t="str">
        <f>IFERROR(INDEX(vdata_regressors!$A$1:$L$2000,MATCH($A65,vdata_regressors!$A$2:$A$2000,0)+1,MATCH(F$2,vdata_regressors!$A$1:$R$1,0)),"")</f>
        <v/>
      </c>
      <c r="G65" s="23" t="str">
        <f>IFERROR(INDEX(vdata_regressors!$A$1:$L$2000,MATCH($A65,vdata_regressors!$A$2:$A$2000,0)+1,MATCH(G$2,vdata_regressors!$A$1:$R$1,0)),"")</f>
        <v/>
      </c>
      <c r="H65" s="23" t="str">
        <f>IFERROR(INDEX(vdata_regressors!$A$1:$L$2000,MATCH($A65,vdata_regressors!$A$2:$A$2000,0)+1,MATCH(H$2,vdata_regressors!$A$1:$R$1,0)),"")</f>
        <v/>
      </c>
      <c r="I65" s="23" t="str">
        <f>IFERROR(INDEX(vdata_regressors!$A$1:$L$2000,MATCH($A65,vdata_regressors!$A$2:$A$2000,0)+1,MATCH(I$2,vdata_regressors!$A$1:$R$1,0)),"")</f>
        <v/>
      </c>
      <c r="J65" s="23" t="str">
        <f>IFERROR(INDEX(vdata_regressors!$A$1:$L$2000,MATCH($A65,vdata_regressors!$A$2:$A$2000,0)+1,MATCH(J$2,vdata_regressors!$A$1:$R$1,0)),"")</f>
        <v/>
      </c>
      <c r="K65" s="23" t="str">
        <f>IFERROR(INDEX(vdata_regressors!$A$1:$L$2000,MATCH($A65,vdata_regressors!$A$2:$A$2000,0)+1,MATCH(K$2,vdata_regressors!$A$1:$R$1,0)),"")</f>
        <v/>
      </c>
      <c r="L65" s="23" t="str">
        <f>IFERROR(INDEX(vdata_regressors!$A$1:$L$2000,MATCH($A65,vdata_regressors!$A$2:$A$2000,0)+1,MATCH(L$2,vdata_regressors!$A$1:$R$1,0)),"")</f>
        <v/>
      </c>
      <c r="M65" s="23" t="str">
        <f>IFERROR(VLOOKUP(A65,vdata_hours!$A$2:$B$1000,2,FALSE),"")</f>
        <v/>
      </c>
    </row>
    <row r="66" spans="1:13" x14ac:dyDescent="0.25">
      <c r="A66" s="23" t="str">
        <f>IF(vdata_hours!A65=0,"",vdata_hours!A65)</f>
        <v/>
      </c>
      <c r="B66" s="23" t="str">
        <f>IFERROR(INDEX(vdata_regressors!$A$1:$L$2000,MATCH($A66,vdata_regressors!$A$2:$A$2000,0)+1,MATCH(B$2,vdata_regressors!$A$1:$R$1,0)),"")</f>
        <v/>
      </c>
      <c r="C66" s="23" t="str">
        <f>IFERROR(INDEX(vdata_regressors!$A$1:$L$2000,MATCH($A66,vdata_regressors!$A$2:$A$2000,0)+1,MATCH(C$2,vdata_regressors!$A$1:$R$1,0)),"")</f>
        <v/>
      </c>
      <c r="D66" s="23" t="str">
        <f>IFERROR(INDEX(vdata_regressors!$A$1:$L$2000,MATCH($A66,vdata_regressors!$A$2:$A$2000,0)+1,MATCH(D$2,vdata_regressors!$A$1:$R$1,0)),"")</f>
        <v/>
      </c>
      <c r="E66" s="23" t="str">
        <f>IFERROR(INDEX(vdata_regressors!$A$1:$L$2000,MATCH($A66,vdata_regressors!$A$2:$A$2000,0)+1,MATCH(E$2,vdata_regressors!$A$1:$R$1,0)),"")</f>
        <v/>
      </c>
      <c r="F66" s="23" t="str">
        <f>IFERROR(INDEX(vdata_regressors!$A$1:$L$2000,MATCH($A66,vdata_regressors!$A$2:$A$2000,0)+1,MATCH(F$2,vdata_regressors!$A$1:$R$1,0)),"")</f>
        <v/>
      </c>
      <c r="G66" s="23" t="str">
        <f>IFERROR(INDEX(vdata_regressors!$A$1:$L$2000,MATCH($A66,vdata_regressors!$A$2:$A$2000,0)+1,MATCH(G$2,vdata_regressors!$A$1:$R$1,0)),"")</f>
        <v/>
      </c>
      <c r="H66" s="23" t="str">
        <f>IFERROR(INDEX(vdata_regressors!$A$1:$L$2000,MATCH($A66,vdata_regressors!$A$2:$A$2000,0)+1,MATCH(H$2,vdata_regressors!$A$1:$R$1,0)),"")</f>
        <v/>
      </c>
      <c r="I66" s="23" t="str">
        <f>IFERROR(INDEX(vdata_regressors!$A$1:$L$2000,MATCH($A66,vdata_regressors!$A$2:$A$2000,0)+1,MATCH(I$2,vdata_regressors!$A$1:$R$1,0)),"")</f>
        <v/>
      </c>
      <c r="J66" s="23" t="str">
        <f>IFERROR(INDEX(vdata_regressors!$A$1:$L$2000,MATCH($A66,vdata_regressors!$A$2:$A$2000,0)+1,MATCH(J$2,vdata_regressors!$A$1:$R$1,0)),"")</f>
        <v/>
      </c>
      <c r="K66" s="23" t="str">
        <f>IFERROR(INDEX(vdata_regressors!$A$1:$L$2000,MATCH($A66,vdata_regressors!$A$2:$A$2000,0)+1,MATCH(K$2,vdata_regressors!$A$1:$R$1,0)),"")</f>
        <v/>
      </c>
      <c r="L66" s="23" t="str">
        <f>IFERROR(INDEX(vdata_regressors!$A$1:$L$2000,MATCH($A66,vdata_regressors!$A$2:$A$2000,0)+1,MATCH(L$2,vdata_regressors!$A$1:$R$1,0)),"")</f>
        <v/>
      </c>
      <c r="M66" s="23" t="str">
        <f>IFERROR(VLOOKUP(A66,vdata_hours!$A$2:$B$1000,2,FALSE),"")</f>
        <v/>
      </c>
    </row>
    <row r="67" spans="1:13" x14ac:dyDescent="0.25">
      <c r="A67" s="23" t="str">
        <f>IF(vdata_hours!A66=0,"",vdata_hours!A66)</f>
        <v/>
      </c>
      <c r="B67" s="23" t="str">
        <f>IFERROR(INDEX(vdata_regressors!$A$1:$L$2000,MATCH($A67,vdata_regressors!$A$2:$A$2000,0)+1,MATCH(B$2,vdata_regressors!$A$1:$R$1,0)),"")</f>
        <v/>
      </c>
      <c r="C67" s="23" t="str">
        <f>IFERROR(INDEX(vdata_regressors!$A$1:$L$2000,MATCH($A67,vdata_regressors!$A$2:$A$2000,0)+1,MATCH(C$2,vdata_regressors!$A$1:$R$1,0)),"")</f>
        <v/>
      </c>
      <c r="D67" s="23" t="str">
        <f>IFERROR(INDEX(vdata_regressors!$A$1:$L$2000,MATCH($A67,vdata_regressors!$A$2:$A$2000,0)+1,MATCH(D$2,vdata_regressors!$A$1:$R$1,0)),"")</f>
        <v/>
      </c>
      <c r="E67" s="23" t="str">
        <f>IFERROR(INDEX(vdata_regressors!$A$1:$L$2000,MATCH($A67,vdata_regressors!$A$2:$A$2000,0)+1,MATCH(E$2,vdata_regressors!$A$1:$R$1,0)),"")</f>
        <v/>
      </c>
      <c r="F67" s="23" t="str">
        <f>IFERROR(INDEX(vdata_regressors!$A$1:$L$2000,MATCH($A67,vdata_regressors!$A$2:$A$2000,0)+1,MATCH(F$2,vdata_regressors!$A$1:$R$1,0)),"")</f>
        <v/>
      </c>
      <c r="G67" s="23" t="str">
        <f>IFERROR(INDEX(vdata_regressors!$A$1:$L$2000,MATCH($A67,vdata_regressors!$A$2:$A$2000,0)+1,MATCH(G$2,vdata_regressors!$A$1:$R$1,0)),"")</f>
        <v/>
      </c>
      <c r="H67" s="23" t="str">
        <f>IFERROR(INDEX(vdata_regressors!$A$1:$L$2000,MATCH($A67,vdata_regressors!$A$2:$A$2000,0)+1,MATCH(H$2,vdata_regressors!$A$1:$R$1,0)),"")</f>
        <v/>
      </c>
      <c r="I67" s="23" t="str">
        <f>IFERROR(INDEX(vdata_regressors!$A$1:$L$2000,MATCH($A67,vdata_regressors!$A$2:$A$2000,0)+1,MATCH(I$2,vdata_regressors!$A$1:$R$1,0)),"")</f>
        <v/>
      </c>
      <c r="J67" s="23" t="str">
        <f>IFERROR(INDEX(vdata_regressors!$A$1:$L$2000,MATCH($A67,vdata_regressors!$A$2:$A$2000,0)+1,MATCH(J$2,vdata_regressors!$A$1:$R$1,0)),"")</f>
        <v/>
      </c>
      <c r="K67" s="23" t="str">
        <f>IFERROR(INDEX(vdata_regressors!$A$1:$L$2000,MATCH($A67,vdata_regressors!$A$2:$A$2000,0)+1,MATCH(K$2,vdata_regressors!$A$1:$R$1,0)),"")</f>
        <v/>
      </c>
      <c r="L67" s="23" t="str">
        <f>IFERROR(INDEX(vdata_regressors!$A$1:$L$2000,MATCH($A67,vdata_regressors!$A$2:$A$2000,0)+1,MATCH(L$2,vdata_regressors!$A$1:$R$1,0)),"")</f>
        <v/>
      </c>
      <c r="M67" s="23" t="str">
        <f>IFERROR(VLOOKUP(A67,vdata_hours!$A$2:$B$1000,2,FALSE),"")</f>
        <v/>
      </c>
    </row>
    <row r="68" spans="1:13" x14ac:dyDescent="0.25">
      <c r="A68" s="23" t="str">
        <f>IF(vdata_hours!A67=0,"",vdata_hours!A67)</f>
        <v/>
      </c>
      <c r="B68" s="23" t="str">
        <f>IFERROR(INDEX(vdata_regressors!$A$1:$L$2000,MATCH($A68,vdata_regressors!$A$2:$A$2000,0)+1,MATCH(B$2,vdata_regressors!$A$1:$R$1,0)),"")</f>
        <v/>
      </c>
      <c r="C68" s="23" t="str">
        <f>IFERROR(INDEX(vdata_regressors!$A$1:$L$2000,MATCH($A68,vdata_regressors!$A$2:$A$2000,0)+1,MATCH(C$2,vdata_regressors!$A$1:$R$1,0)),"")</f>
        <v/>
      </c>
      <c r="D68" s="23" t="str">
        <f>IFERROR(INDEX(vdata_regressors!$A$1:$L$2000,MATCH($A68,vdata_regressors!$A$2:$A$2000,0)+1,MATCH(D$2,vdata_regressors!$A$1:$R$1,0)),"")</f>
        <v/>
      </c>
      <c r="E68" s="23" t="str">
        <f>IFERROR(INDEX(vdata_regressors!$A$1:$L$2000,MATCH($A68,vdata_regressors!$A$2:$A$2000,0)+1,MATCH(E$2,vdata_regressors!$A$1:$R$1,0)),"")</f>
        <v/>
      </c>
      <c r="F68" s="23" t="str">
        <f>IFERROR(INDEX(vdata_regressors!$A$1:$L$2000,MATCH($A68,vdata_regressors!$A$2:$A$2000,0)+1,MATCH(F$2,vdata_regressors!$A$1:$R$1,0)),"")</f>
        <v/>
      </c>
      <c r="G68" s="23" t="str">
        <f>IFERROR(INDEX(vdata_regressors!$A$1:$L$2000,MATCH($A68,vdata_regressors!$A$2:$A$2000,0)+1,MATCH(G$2,vdata_regressors!$A$1:$R$1,0)),"")</f>
        <v/>
      </c>
      <c r="H68" s="23" t="str">
        <f>IFERROR(INDEX(vdata_regressors!$A$1:$L$2000,MATCH($A68,vdata_regressors!$A$2:$A$2000,0)+1,MATCH(H$2,vdata_regressors!$A$1:$R$1,0)),"")</f>
        <v/>
      </c>
      <c r="I68" s="23" t="str">
        <f>IFERROR(INDEX(vdata_regressors!$A$1:$L$2000,MATCH($A68,vdata_regressors!$A$2:$A$2000,0)+1,MATCH(I$2,vdata_regressors!$A$1:$R$1,0)),"")</f>
        <v/>
      </c>
      <c r="J68" s="23" t="str">
        <f>IFERROR(INDEX(vdata_regressors!$A$1:$L$2000,MATCH($A68,vdata_regressors!$A$2:$A$2000,0)+1,MATCH(J$2,vdata_regressors!$A$1:$R$1,0)),"")</f>
        <v/>
      </c>
      <c r="K68" s="23" t="str">
        <f>IFERROR(INDEX(vdata_regressors!$A$1:$L$2000,MATCH($A68,vdata_regressors!$A$2:$A$2000,0)+1,MATCH(K$2,vdata_regressors!$A$1:$R$1,0)),"")</f>
        <v/>
      </c>
      <c r="L68" s="23" t="str">
        <f>IFERROR(INDEX(vdata_regressors!$A$1:$L$2000,MATCH($A68,vdata_regressors!$A$2:$A$2000,0)+1,MATCH(L$2,vdata_regressors!$A$1:$R$1,0)),"")</f>
        <v/>
      </c>
      <c r="M68" s="23" t="str">
        <f>IFERROR(VLOOKUP(A68,vdata_hours!$A$2:$B$1000,2,FALSE),"")</f>
        <v/>
      </c>
    </row>
    <row r="69" spans="1:13" x14ac:dyDescent="0.25">
      <c r="A69" s="23" t="str">
        <f>IF(vdata_hours!A68=0,"",vdata_hours!A68)</f>
        <v/>
      </c>
      <c r="B69" s="23" t="str">
        <f>IFERROR(INDEX(vdata_regressors!$A$1:$L$2000,MATCH($A69,vdata_regressors!$A$2:$A$2000,0)+1,MATCH(B$2,vdata_regressors!$A$1:$R$1,0)),"")</f>
        <v/>
      </c>
      <c r="C69" s="23" t="str">
        <f>IFERROR(INDEX(vdata_regressors!$A$1:$L$2000,MATCH($A69,vdata_regressors!$A$2:$A$2000,0)+1,MATCH(C$2,vdata_regressors!$A$1:$R$1,0)),"")</f>
        <v/>
      </c>
      <c r="D69" s="23" t="str">
        <f>IFERROR(INDEX(vdata_regressors!$A$1:$L$2000,MATCH($A69,vdata_regressors!$A$2:$A$2000,0)+1,MATCH(D$2,vdata_regressors!$A$1:$R$1,0)),"")</f>
        <v/>
      </c>
      <c r="E69" s="23" t="str">
        <f>IFERROR(INDEX(vdata_regressors!$A$1:$L$2000,MATCH($A69,vdata_regressors!$A$2:$A$2000,0)+1,MATCH(E$2,vdata_regressors!$A$1:$R$1,0)),"")</f>
        <v/>
      </c>
      <c r="F69" s="23" t="str">
        <f>IFERROR(INDEX(vdata_regressors!$A$1:$L$2000,MATCH($A69,vdata_regressors!$A$2:$A$2000,0)+1,MATCH(F$2,vdata_regressors!$A$1:$R$1,0)),"")</f>
        <v/>
      </c>
      <c r="G69" s="23" t="str">
        <f>IFERROR(INDEX(vdata_regressors!$A$1:$L$2000,MATCH($A69,vdata_regressors!$A$2:$A$2000,0)+1,MATCH(G$2,vdata_regressors!$A$1:$R$1,0)),"")</f>
        <v/>
      </c>
      <c r="H69" s="23" t="str">
        <f>IFERROR(INDEX(vdata_regressors!$A$1:$L$2000,MATCH($A69,vdata_regressors!$A$2:$A$2000,0)+1,MATCH(H$2,vdata_regressors!$A$1:$R$1,0)),"")</f>
        <v/>
      </c>
      <c r="I69" s="23" t="str">
        <f>IFERROR(INDEX(vdata_regressors!$A$1:$L$2000,MATCH($A69,vdata_regressors!$A$2:$A$2000,0)+1,MATCH(I$2,vdata_regressors!$A$1:$R$1,0)),"")</f>
        <v/>
      </c>
      <c r="J69" s="23" t="str">
        <f>IFERROR(INDEX(vdata_regressors!$A$1:$L$2000,MATCH($A69,vdata_regressors!$A$2:$A$2000,0)+1,MATCH(J$2,vdata_regressors!$A$1:$R$1,0)),"")</f>
        <v/>
      </c>
      <c r="K69" s="23" t="str">
        <f>IFERROR(INDEX(vdata_regressors!$A$1:$L$2000,MATCH($A69,vdata_regressors!$A$2:$A$2000,0)+1,MATCH(K$2,vdata_regressors!$A$1:$R$1,0)),"")</f>
        <v/>
      </c>
      <c r="L69" s="23" t="str">
        <f>IFERROR(INDEX(vdata_regressors!$A$1:$L$2000,MATCH($A69,vdata_regressors!$A$2:$A$2000,0)+1,MATCH(L$2,vdata_regressors!$A$1:$R$1,0)),"")</f>
        <v/>
      </c>
      <c r="M69" s="23" t="str">
        <f>IFERROR(VLOOKUP(A69,vdata_hours!$A$2:$B$1000,2,FALSE),"")</f>
        <v/>
      </c>
    </row>
    <row r="70" spans="1:13" x14ac:dyDescent="0.25">
      <c r="A70" s="23" t="str">
        <f>IF(vdata_hours!A69=0,"",vdata_hours!A69)</f>
        <v/>
      </c>
      <c r="B70" s="23" t="str">
        <f>IFERROR(INDEX(vdata_regressors!$A$1:$L$2000,MATCH($A70,vdata_regressors!$A$2:$A$2000,0)+1,MATCH(B$2,vdata_regressors!$A$1:$R$1,0)),"")</f>
        <v/>
      </c>
      <c r="C70" s="23" t="str">
        <f>IFERROR(INDEX(vdata_regressors!$A$1:$L$2000,MATCH($A70,vdata_regressors!$A$2:$A$2000,0)+1,MATCH(C$2,vdata_regressors!$A$1:$R$1,0)),"")</f>
        <v/>
      </c>
      <c r="D70" s="23" t="str">
        <f>IFERROR(INDEX(vdata_regressors!$A$1:$L$2000,MATCH($A70,vdata_regressors!$A$2:$A$2000,0)+1,MATCH(D$2,vdata_regressors!$A$1:$R$1,0)),"")</f>
        <v/>
      </c>
      <c r="E70" s="23" t="str">
        <f>IFERROR(INDEX(vdata_regressors!$A$1:$L$2000,MATCH($A70,vdata_regressors!$A$2:$A$2000,0)+1,MATCH(E$2,vdata_regressors!$A$1:$R$1,0)),"")</f>
        <v/>
      </c>
      <c r="F70" s="23" t="str">
        <f>IFERROR(INDEX(vdata_regressors!$A$1:$L$2000,MATCH($A70,vdata_regressors!$A$2:$A$2000,0)+1,MATCH(F$2,vdata_regressors!$A$1:$R$1,0)),"")</f>
        <v/>
      </c>
      <c r="G70" s="23" t="str">
        <f>IFERROR(INDEX(vdata_regressors!$A$1:$L$2000,MATCH($A70,vdata_regressors!$A$2:$A$2000,0)+1,MATCH(G$2,vdata_regressors!$A$1:$R$1,0)),"")</f>
        <v/>
      </c>
      <c r="H70" s="23" t="str">
        <f>IFERROR(INDEX(vdata_regressors!$A$1:$L$2000,MATCH($A70,vdata_regressors!$A$2:$A$2000,0)+1,MATCH(H$2,vdata_regressors!$A$1:$R$1,0)),"")</f>
        <v/>
      </c>
      <c r="I70" s="23" t="str">
        <f>IFERROR(INDEX(vdata_regressors!$A$1:$L$2000,MATCH($A70,vdata_regressors!$A$2:$A$2000,0)+1,MATCH(I$2,vdata_regressors!$A$1:$R$1,0)),"")</f>
        <v/>
      </c>
      <c r="J70" s="23" t="str">
        <f>IFERROR(INDEX(vdata_regressors!$A$1:$L$2000,MATCH($A70,vdata_regressors!$A$2:$A$2000,0)+1,MATCH(J$2,vdata_regressors!$A$1:$R$1,0)),"")</f>
        <v/>
      </c>
      <c r="K70" s="23" t="str">
        <f>IFERROR(INDEX(vdata_regressors!$A$1:$L$2000,MATCH($A70,vdata_regressors!$A$2:$A$2000,0)+1,MATCH(K$2,vdata_regressors!$A$1:$R$1,0)),"")</f>
        <v/>
      </c>
      <c r="L70" s="23" t="str">
        <f>IFERROR(INDEX(vdata_regressors!$A$1:$L$2000,MATCH($A70,vdata_regressors!$A$2:$A$2000,0)+1,MATCH(L$2,vdata_regressors!$A$1:$R$1,0)),"")</f>
        <v/>
      </c>
      <c r="M70" s="23" t="str">
        <f>IFERROR(VLOOKUP(A70,vdata_hours!$A$2:$B$1000,2,FALSE),"")</f>
        <v/>
      </c>
    </row>
    <row r="71" spans="1:13" x14ac:dyDescent="0.25">
      <c r="A71" s="23" t="str">
        <f>IF(vdata_hours!A70=0,"",vdata_hours!A70)</f>
        <v/>
      </c>
      <c r="B71" s="23" t="str">
        <f>IFERROR(INDEX(vdata_regressors!$A$1:$L$2000,MATCH($A71,vdata_regressors!$A$2:$A$2000,0)+1,MATCH(B$2,vdata_regressors!$A$1:$R$1,0)),"")</f>
        <v/>
      </c>
      <c r="C71" s="23" t="str">
        <f>IFERROR(INDEX(vdata_regressors!$A$1:$L$2000,MATCH($A71,vdata_regressors!$A$2:$A$2000,0)+1,MATCH(C$2,vdata_regressors!$A$1:$R$1,0)),"")</f>
        <v/>
      </c>
      <c r="D71" s="23" t="str">
        <f>IFERROR(INDEX(vdata_regressors!$A$1:$L$2000,MATCH($A71,vdata_regressors!$A$2:$A$2000,0)+1,MATCH(D$2,vdata_regressors!$A$1:$R$1,0)),"")</f>
        <v/>
      </c>
      <c r="E71" s="23" t="str">
        <f>IFERROR(INDEX(vdata_regressors!$A$1:$L$2000,MATCH($A71,vdata_regressors!$A$2:$A$2000,0)+1,MATCH(E$2,vdata_regressors!$A$1:$R$1,0)),"")</f>
        <v/>
      </c>
      <c r="F71" s="23" t="str">
        <f>IFERROR(INDEX(vdata_regressors!$A$1:$L$2000,MATCH($A71,vdata_regressors!$A$2:$A$2000,0)+1,MATCH(F$2,vdata_regressors!$A$1:$R$1,0)),"")</f>
        <v/>
      </c>
      <c r="G71" s="23" t="str">
        <f>IFERROR(INDEX(vdata_regressors!$A$1:$L$2000,MATCH($A71,vdata_regressors!$A$2:$A$2000,0)+1,MATCH(G$2,vdata_regressors!$A$1:$R$1,0)),"")</f>
        <v/>
      </c>
      <c r="H71" s="23" t="str">
        <f>IFERROR(INDEX(vdata_regressors!$A$1:$L$2000,MATCH($A71,vdata_regressors!$A$2:$A$2000,0)+1,MATCH(H$2,vdata_regressors!$A$1:$R$1,0)),"")</f>
        <v/>
      </c>
      <c r="I71" s="23" t="str">
        <f>IFERROR(INDEX(vdata_regressors!$A$1:$L$2000,MATCH($A71,vdata_regressors!$A$2:$A$2000,0)+1,MATCH(I$2,vdata_regressors!$A$1:$R$1,0)),"")</f>
        <v/>
      </c>
      <c r="J71" s="23" t="str">
        <f>IFERROR(INDEX(vdata_regressors!$A$1:$L$2000,MATCH($A71,vdata_regressors!$A$2:$A$2000,0)+1,MATCH(J$2,vdata_regressors!$A$1:$R$1,0)),"")</f>
        <v/>
      </c>
      <c r="K71" s="23" t="str">
        <f>IFERROR(INDEX(vdata_regressors!$A$1:$L$2000,MATCH($A71,vdata_regressors!$A$2:$A$2000,0)+1,MATCH(K$2,vdata_regressors!$A$1:$R$1,0)),"")</f>
        <v/>
      </c>
      <c r="L71" s="23" t="str">
        <f>IFERROR(INDEX(vdata_regressors!$A$1:$L$2000,MATCH($A71,vdata_regressors!$A$2:$A$2000,0)+1,MATCH(L$2,vdata_regressors!$A$1:$R$1,0)),"")</f>
        <v/>
      </c>
      <c r="M71" s="23" t="str">
        <f>IFERROR(VLOOKUP(A71,vdata_hours!$A$2:$B$1000,2,FALSE),"")</f>
        <v/>
      </c>
    </row>
    <row r="72" spans="1:13" x14ac:dyDescent="0.25">
      <c r="A72" s="23" t="str">
        <f>IF(vdata_hours!A71=0,"",vdata_hours!A71)</f>
        <v/>
      </c>
      <c r="B72" s="23" t="str">
        <f>IFERROR(INDEX(vdata_regressors!$A$1:$L$2000,MATCH($A72,vdata_regressors!$A$2:$A$2000,0)+1,MATCH(B$2,vdata_regressors!$A$1:$R$1,0)),"")</f>
        <v/>
      </c>
      <c r="C72" s="23" t="str">
        <f>IFERROR(INDEX(vdata_regressors!$A$1:$L$2000,MATCH($A72,vdata_regressors!$A$2:$A$2000,0)+1,MATCH(C$2,vdata_regressors!$A$1:$R$1,0)),"")</f>
        <v/>
      </c>
      <c r="D72" s="23" t="str">
        <f>IFERROR(INDEX(vdata_regressors!$A$1:$L$2000,MATCH($A72,vdata_regressors!$A$2:$A$2000,0)+1,MATCH(D$2,vdata_regressors!$A$1:$R$1,0)),"")</f>
        <v/>
      </c>
      <c r="E72" s="23" t="str">
        <f>IFERROR(INDEX(vdata_regressors!$A$1:$L$2000,MATCH($A72,vdata_regressors!$A$2:$A$2000,0)+1,MATCH(E$2,vdata_regressors!$A$1:$R$1,0)),"")</f>
        <v/>
      </c>
      <c r="F72" s="23" t="str">
        <f>IFERROR(INDEX(vdata_regressors!$A$1:$L$2000,MATCH($A72,vdata_regressors!$A$2:$A$2000,0)+1,MATCH(F$2,vdata_regressors!$A$1:$R$1,0)),"")</f>
        <v/>
      </c>
      <c r="G72" s="23" t="str">
        <f>IFERROR(INDEX(vdata_regressors!$A$1:$L$2000,MATCH($A72,vdata_regressors!$A$2:$A$2000,0)+1,MATCH(G$2,vdata_regressors!$A$1:$R$1,0)),"")</f>
        <v/>
      </c>
      <c r="H72" s="23" t="str">
        <f>IFERROR(INDEX(vdata_regressors!$A$1:$L$2000,MATCH($A72,vdata_regressors!$A$2:$A$2000,0)+1,MATCH(H$2,vdata_regressors!$A$1:$R$1,0)),"")</f>
        <v/>
      </c>
      <c r="I72" s="23" t="str">
        <f>IFERROR(INDEX(vdata_regressors!$A$1:$L$2000,MATCH($A72,vdata_regressors!$A$2:$A$2000,0)+1,MATCH(I$2,vdata_regressors!$A$1:$R$1,0)),"")</f>
        <v/>
      </c>
      <c r="J72" s="23" t="str">
        <f>IFERROR(INDEX(vdata_regressors!$A$1:$L$2000,MATCH($A72,vdata_regressors!$A$2:$A$2000,0)+1,MATCH(J$2,vdata_regressors!$A$1:$R$1,0)),"")</f>
        <v/>
      </c>
      <c r="K72" s="23" t="str">
        <f>IFERROR(INDEX(vdata_regressors!$A$1:$L$2000,MATCH($A72,vdata_regressors!$A$2:$A$2000,0)+1,MATCH(K$2,vdata_regressors!$A$1:$R$1,0)),"")</f>
        <v/>
      </c>
      <c r="L72" s="23" t="str">
        <f>IFERROR(INDEX(vdata_regressors!$A$1:$L$2000,MATCH($A72,vdata_regressors!$A$2:$A$2000,0)+1,MATCH(L$2,vdata_regressors!$A$1:$R$1,0)),"")</f>
        <v/>
      </c>
      <c r="M72" s="23" t="str">
        <f>IFERROR(VLOOKUP(A72,vdata_hours!$A$2:$B$1000,2,FALSE),"")</f>
        <v/>
      </c>
    </row>
    <row r="73" spans="1:13" x14ac:dyDescent="0.25">
      <c r="A73" s="23" t="str">
        <f>IF(vdata_hours!A72=0,"",vdata_hours!A72)</f>
        <v/>
      </c>
      <c r="B73" s="23" t="str">
        <f>IFERROR(INDEX(vdata_regressors!$A$1:$L$2000,MATCH($A73,vdata_regressors!$A$2:$A$2000,0)+1,MATCH(B$2,vdata_regressors!$A$1:$R$1,0)),"")</f>
        <v/>
      </c>
      <c r="C73" s="23" t="str">
        <f>IFERROR(INDEX(vdata_regressors!$A$1:$L$2000,MATCH($A73,vdata_regressors!$A$2:$A$2000,0)+1,MATCH(C$2,vdata_regressors!$A$1:$R$1,0)),"")</f>
        <v/>
      </c>
      <c r="D73" s="23" t="str">
        <f>IFERROR(INDEX(vdata_regressors!$A$1:$L$2000,MATCH($A73,vdata_regressors!$A$2:$A$2000,0)+1,MATCH(D$2,vdata_regressors!$A$1:$R$1,0)),"")</f>
        <v/>
      </c>
      <c r="E73" s="23" t="str">
        <f>IFERROR(INDEX(vdata_regressors!$A$1:$L$2000,MATCH($A73,vdata_regressors!$A$2:$A$2000,0)+1,MATCH(E$2,vdata_regressors!$A$1:$R$1,0)),"")</f>
        <v/>
      </c>
      <c r="F73" s="23" t="str">
        <f>IFERROR(INDEX(vdata_regressors!$A$1:$L$2000,MATCH($A73,vdata_regressors!$A$2:$A$2000,0)+1,MATCH(F$2,vdata_regressors!$A$1:$R$1,0)),"")</f>
        <v/>
      </c>
      <c r="G73" s="23" t="str">
        <f>IFERROR(INDEX(vdata_regressors!$A$1:$L$2000,MATCH($A73,vdata_regressors!$A$2:$A$2000,0)+1,MATCH(G$2,vdata_regressors!$A$1:$R$1,0)),"")</f>
        <v/>
      </c>
      <c r="H73" s="23" t="str">
        <f>IFERROR(INDEX(vdata_regressors!$A$1:$L$2000,MATCH($A73,vdata_regressors!$A$2:$A$2000,0)+1,MATCH(H$2,vdata_regressors!$A$1:$R$1,0)),"")</f>
        <v/>
      </c>
      <c r="I73" s="23" t="str">
        <f>IFERROR(INDEX(vdata_regressors!$A$1:$L$2000,MATCH($A73,vdata_regressors!$A$2:$A$2000,0)+1,MATCH(I$2,vdata_regressors!$A$1:$R$1,0)),"")</f>
        <v/>
      </c>
      <c r="J73" s="23" t="str">
        <f>IFERROR(INDEX(vdata_regressors!$A$1:$L$2000,MATCH($A73,vdata_regressors!$A$2:$A$2000,0)+1,MATCH(J$2,vdata_regressors!$A$1:$R$1,0)),"")</f>
        <v/>
      </c>
      <c r="K73" s="23" t="str">
        <f>IFERROR(INDEX(vdata_regressors!$A$1:$L$2000,MATCH($A73,vdata_regressors!$A$2:$A$2000,0)+1,MATCH(K$2,vdata_regressors!$A$1:$R$1,0)),"")</f>
        <v/>
      </c>
      <c r="L73" s="23" t="str">
        <f>IFERROR(INDEX(vdata_regressors!$A$1:$L$2000,MATCH($A73,vdata_regressors!$A$2:$A$2000,0)+1,MATCH(L$2,vdata_regressors!$A$1:$R$1,0)),"")</f>
        <v/>
      </c>
      <c r="M73" s="23" t="str">
        <f>IFERROR(VLOOKUP(A73,vdata_hours!$A$2:$B$1000,2,FALSE),"")</f>
        <v/>
      </c>
    </row>
    <row r="74" spans="1:13" x14ac:dyDescent="0.25">
      <c r="A74" s="23" t="str">
        <f>IF(vdata_hours!A73=0,"",vdata_hours!A73)</f>
        <v/>
      </c>
      <c r="B74" s="23" t="str">
        <f>IFERROR(INDEX(vdata_regressors!$A$1:$L$2000,MATCH($A74,vdata_regressors!$A$2:$A$2000,0)+1,MATCH(B$2,vdata_regressors!$A$1:$R$1,0)),"")</f>
        <v/>
      </c>
      <c r="C74" s="23" t="str">
        <f>IFERROR(INDEX(vdata_regressors!$A$1:$L$2000,MATCH($A74,vdata_regressors!$A$2:$A$2000,0)+1,MATCH(C$2,vdata_regressors!$A$1:$R$1,0)),"")</f>
        <v/>
      </c>
      <c r="D74" s="23" t="str">
        <f>IFERROR(INDEX(vdata_regressors!$A$1:$L$2000,MATCH($A74,vdata_regressors!$A$2:$A$2000,0)+1,MATCH(D$2,vdata_regressors!$A$1:$R$1,0)),"")</f>
        <v/>
      </c>
      <c r="E74" s="23" t="str">
        <f>IFERROR(INDEX(vdata_regressors!$A$1:$L$2000,MATCH($A74,vdata_regressors!$A$2:$A$2000,0)+1,MATCH(E$2,vdata_regressors!$A$1:$R$1,0)),"")</f>
        <v/>
      </c>
      <c r="F74" s="23" t="str">
        <f>IFERROR(INDEX(vdata_regressors!$A$1:$L$2000,MATCH($A74,vdata_regressors!$A$2:$A$2000,0)+1,MATCH(F$2,vdata_regressors!$A$1:$R$1,0)),"")</f>
        <v/>
      </c>
      <c r="G74" s="23" t="str">
        <f>IFERROR(INDEX(vdata_regressors!$A$1:$L$2000,MATCH($A74,vdata_regressors!$A$2:$A$2000,0)+1,MATCH(G$2,vdata_regressors!$A$1:$R$1,0)),"")</f>
        <v/>
      </c>
      <c r="H74" s="23" t="str">
        <f>IFERROR(INDEX(vdata_regressors!$A$1:$L$2000,MATCH($A74,vdata_regressors!$A$2:$A$2000,0)+1,MATCH(H$2,vdata_regressors!$A$1:$R$1,0)),"")</f>
        <v/>
      </c>
      <c r="I74" s="23" t="str">
        <f>IFERROR(INDEX(vdata_regressors!$A$1:$L$2000,MATCH($A74,vdata_regressors!$A$2:$A$2000,0)+1,MATCH(I$2,vdata_regressors!$A$1:$R$1,0)),"")</f>
        <v/>
      </c>
      <c r="J74" s="23" t="str">
        <f>IFERROR(INDEX(vdata_regressors!$A$1:$L$2000,MATCH($A74,vdata_regressors!$A$2:$A$2000,0)+1,MATCH(J$2,vdata_regressors!$A$1:$R$1,0)),"")</f>
        <v/>
      </c>
      <c r="K74" s="23" t="str">
        <f>IFERROR(INDEX(vdata_regressors!$A$1:$L$2000,MATCH($A74,vdata_regressors!$A$2:$A$2000,0)+1,MATCH(K$2,vdata_regressors!$A$1:$R$1,0)),"")</f>
        <v/>
      </c>
      <c r="L74" s="23" t="str">
        <f>IFERROR(INDEX(vdata_regressors!$A$1:$L$2000,MATCH($A74,vdata_regressors!$A$2:$A$2000,0)+1,MATCH(L$2,vdata_regressors!$A$1:$R$1,0)),"")</f>
        <v/>
      </c>
      <c r="M74" s="23" t="str">
        <f>IFERROR(VLOOKUP(A74,vdata_hours!$A$2:$B$1000,2,FALSE),"")</f>
        <v/>
      </c>
    </row>
    <row r="75" spans="1:13" x14ac:dyDescent="0.25">
      <c r="A75" s="23" t="str">
        <f>IF(vdata_hours!A74=0,"",vdata_hours!A74)</f>
        <v/>
      </c>
      <c r="B75" s="23" t="str">
        <f>IFERROR(INDEX(vdata_regressors!$A$1:$L$2000,MATCH($A75,vdata_regressors!$A$2:$A$2000,0)+1,MATCH(B$2,vdata_regressors!$A$1:$R$1,0)),"")</f>
        <v/>
      </c>
      <c r="C75" s="23" t="str">
        <f>IFERROR(INDEX(vdata_regressors!$A$1:$L$2000,MATCH($A75,vdata_regressors!$A$2:$A$2000,0)+1,MATCH(C$2,vdata_regressors!$A$1:$R$1,0)),"")</f>
        <v/>
      </c>
      <c r="D75" s="23" t="str">
        <f>IFERROR(INDEX(vdata_regressors!$A$1:$L$2000,MATCH($A75,vdata_regressors!$A$2:$A$2000,0)+1,MATCH(D$2,vdata_regressors!$A$1:$R$1,0)),"")</f>
        <v/>
      </c>
      <c r="E75" s="23" t="str">
        <f>IFERROR(INDEX(vdata_regressors!$A$1:$L$2000,MATCH($A75,vdata_regressors!$A$2:$A$2000,0)+1,MATCH(E$2,vdata_regressors!$A$1:$R$1,0)),"")</f>
        <v/>
      </c>
      <c r="F75" s="23" t="str">
        <f>IFERROR(INDEX(vdata_regressors!$A$1:$L$2000,MATCH($A75,vdata_regressors!$A$2:$A$2000,0)+1,MATCH(F$2,vdata_regressors!$A$1:$R$1,0)),"")</f>
        <v/>
      </c>
      <c r="G75" s="23" t="str">
        <f>IFERROR(INDEX(vdata_regressors!$A$1:$L$2000,MATCH($A75,vdata_regressors!$A$2:$A$2000,0)+1,MATCH(G$2,vdata_regressors!$A$1:$R$1,0)),"")</f>
        <v/>
      </c>
      <c r="H75" s="23" t="str">
        <f>IFERROR(INDEX(vdata_regressors!$A$1:$L$2000,MATCH($A75,vdata_regressors!$A$2:$A$2000,0)+1,MATCH(H$2,vdata_regressors!$A$1:$R$1,0)),"")</f>
        <v/>
      </c>
      <c r="I75" s="23" t="str">
        <f>IFERROR(INDEX(vdata_regressors!$A$1:$L$2000,MATCH($A75,vdata_regressors!$A$2:$A$2000,0)+1,MATCH(I$2,vdata_regressors!$A$1:$R$1,0)),"")</f>
        <v/>
      </c>
      <c r="J75" s="23" t="str">
        <f>IFERROR(INDEX(vdata_regressors!$A$1:$L$2000,MATCH($A75,vdata_regressors!$A$2:$A$2000,0)+1,MATCH(J$2,vdata_regressors!$A$1:$R$1,0)),"")</f>
        <v/>
      </c>
      <c r="K75" s="23" t="str">
        <f>IFERROR(INDEX(vdata_regressors!$A$1:$L$2000,MATCH($A75,vdata_regressors!$A$2:$A$2000,0)+1,MATCH(K$2,vdata_regressors!$A$1:$R$1,0)),"")</f>
        <v/>
      </c>
      <c r="L75" s="23" t="str">
        <f>IFERROR(INDEX(vdata_regressors!$A$1:$L$2000,MATCH($A75,vdata_regressors!$A$2:$A$2000,0)+1,MATCH(L$2,vdata_regressors!$A$1:$R$1,0)),"")</f>
        <v/>
      </c>
      <c r="M75" s="23" t="str">
        <f>IFERROR(VLOOKUP(A75,vdata_hours!$A$2:$B$1000,2,FALSE),"")</f>
        <v/>
      </c>
    </row>
    <row r="76" spans="1:13" x14ac:dyDescent="0.25">
      <c r="A76" s="23" t="str">
        <f>IF(vdata_hours!A75=0,"",vdata_hours!A75)</f>
        <v/>
      </c>
      <c r="B76" s="23" t="str">
        <f>IFERROR(INDEX(vdata_regressors!$A$1:$L$2000,MATCH($A76,vdata_regressors!$A$2:$A$2000,0)+1,MATCH(B$2,vdata_regressors!$A$1:$R$1,0)),"")</f>
        <v/>
      </c>
      <c r="C76" s="23" t="str">
        <f>IFERROR(INDEX(vdata_regressors!$A$1:$L$2000,MATCH($A76,vdata_regressors!$A$2:$A$2000,0)+1,MATCH(C$2,vdata_regressors!$A$1:$R$1,0)),"")</f>
        <v/>
      </c>
      <c r="D76" s="23" t="str">
        <f>IFERROR(INDEX(vdata_regressors!$A$1:$L$2000,MATCH($A76,vdata_regressors!$A$2:$A$2000,0)+1,MATCH(D$2,vdata_regressors!$A$1:$R$1,0)),"")</f>
        <v/>
      </c>
      <c r="E76" s="23" t="str">
        <f>IFERROR(INDEX(vdata_regressors!$A$1:$L$2000,MATCH($A76,vdata_regressors!$A$2:$A$2000,0)+1,MATCH(E$2,vdata_regressors!$A$1:$R$1,0)),"")</f>
        <v/>
      </c>
      <c r="F76" s="23" t="str">
        <f>IFERROR(INDEX(vdata_regressors!$A$1:$L$2000,MATCH($A76,vdata_regressors!$A$2:$A$2000,0)+1,MATCH(F$2,vdata_regressors!$A$1:$R$1,0)),"")</f>
        <v/>
      </c>
      <c r="G76" s="23" t="str">
        <f>IFERROR(INDEX(vdata_regressors!$A$1:$L$2000,MATCH($A76,vdata_regressors!$A$2:$A$2000,0)+1,MATCH(G$2,vdata_regressors!$A$1:$R$1,0)),"")</f>
        <v/>
      </c>
      <c r="H76" s="23" t="str">
        <f>IFERROR(INDEX(vdata_regressors!$A$1:$L$2000,MATCH($A76,vdata_regressors!$A$2:$A$2000,0)+1,MATCH(H$2,vdata_regressors!$A$1:$R$1,0)),"")</f>
        <v/>
      </c>
      <c r="I76" s="23" t="str">
        <f>IFERROR(INDEX(vdata_regressors!$A$1:$L$2000,MATCH($A76,vdata_regressors!$A$2:$A$2000,0)+1,MATCH(I$2,vdata_regressors!$A$1:$R$1,0)),"")</f>
        <v/>
      </c>
      <c r="J76" s="23" t="str">
        <f>IFERROR(INDEX(vdata_regressors!$A$1:$L$2000,MATCH($A76,vdata_regressors!$A$2:$A$2000,0)+1,MATCH(J$2,vdata_regressors!$A$1:$R$1,0)),"")</f>
        <v/>
      </c>
      <c r="K76" s="23" t="str">
        <f>IFERROR(INDEX(vdata_regressors!$A$1:$L$2000,MATCH($A76,vdata_regressors!$A$2:$A$2000,0)+1,MATCH(K$2,vdata_regressors!$A$1:$R$1,0)),"")</f>
        <v/>
      </c>
      <c r="L76" s="23" t="str">
        <f>IFERROR(INDEX(vdata_regressors!$A$1:$L$2000,MATCH($A76,vdata_regressors!$A$2:$A$2000,0)+1,MATCH(L$2,vdata_regressors!$A$1:$R$1,0)),"")</f>
        <v/>
      </c>
      <c r="M76" s="23" t="str">
        <f>IFERROR(VLOOKUP(A76,vdata_hours!$A$2:$B$1000,2,FALSE),"")</f>
        <v/>
      </c>
    </row>
    <row r="77" spans="1:13" x14ac:dyDescent="0.25">
      <c r="A77" s="23" t="str">
        <f>IF(vdata_hours!A76=0,"",vdata_hours!A76)</f>
        <v/>
      </c>
      <c r="B77" s="23" t="str">
        <f>IFERROR(INDEX(vdata_regressors!$A$1:$L$2000,MATCH($A77,vdata_regressors!$A$2:$A$2000,0)+1,MATCH(B$2,vdata_regressors!$A$1:$R$1,0)),"")</f>
        <v/>
      </c>
      <c r="C77" s="23" t="str">
        <f>IFERROR(INDEX(vdata_regressors!$A$1:$L$2000,MATCH($A77,vdata_regressors!$A$2:$A$2000,0)+1,MATCH(C$2,vdata_regressors!$A$1:$R$1,0)),"")</f>
        <v/>
      </c>
      <c r="D77" s="23" t="str">
        <f>IFERROR(INDEX(vdata_regressors!$A$1:$L$2000,MATCH($A77,vdata_regressors!$A$2:$A$2000,0)+1,MATCH(D$2,vdata_regressors!$A$1:$R$1,0)),"")</f>
        <v/>
      </c>
      <c r="E77" s="23" t="str">
        <f>IFERROR(INDEX(vdata_regressors!$A$1:$L$2000,MATCH($A77,vdata_regressors!$A$2:$A$2000,0)+1,MATCH(E$2,vdata_regressors!$A$1:$R$1,0)),"")</f>
        <v/>
      </c>
      <c r="F77" s="23" t="str">
        <f>IFERROR(INDEX(vdata_regressors!$A$1:$L$2000,MATCH($A77,vdata_regressors!$A$2:$A$2000,0)+1,MATCH(F$2,vdata_regressors!$A$1:$R$1,0)),"")</f>
        <v/>
      </c>
      <c r="G77" s="23" t="str">
        <f>IFERROR(INDEX(vdata_regressors!$A$1:$L$2000,MATCH($A77,vdata_regressors!$A$2:$A$2000,0)+1,MATCH(G$2,vdata_regressors!$A$1:$R$1,0)),"")</f>
        <v/>
      </c>
      <c r="H77" s="23" t="str">
        <f>IFERROR(INDEX(vdata_regressors!$A$1:$L$2000,MATCH($A77,vdata_regressors!$A$2:$A$2000,0)+1,MATCH(H$2,vdata_regressors!$A$1:$R$1,0)),"")</f>
        <v/>
      </c>
      <c r="I77" s="23" t="str">
        <f>IFERROR(INDEX(vdata_regressors!$A$1:$L$2000,MATCH($A77,vdata_regressors!$A$2:$A$2000,0)+1,MATCH(I$2,vdata_regressors!$A$1:$R$1,0)),"")</f>
        <v/>
      </c>
      <c r="J77" s="23" t="str">
        <f>IFERROR(INDEX(vdata_regressors!$A$1:$L$2000,MATCH($A77,vdata_regressors!$A$2:$A$2000,0)+1,MATCH(J$2,vdata_regressors!$A$1:$R$1,0)),"")</f>
        <v/>
      </c>
      <c r="K77" s="23" t="str">
        <f>IFERROR(INDEX(vdata_regressors!$A$1:$L$2000,MATCH($A77,vdata_regressors!$A$2:$A$2000,0)+1,MATCH(K$2,vdata_regressors!$A$1:$R$1,0)),"")</f>
        <v/>
      </c>
      <c r="L77" s="23" t="str">
        <f>IFERROR(INDEX(vdata_regressors!$A$1:$L$2000,MATCH($A77,vdata_regressors!$A$2:$A$2000,0)+1,MATCH(L$2,vdata_regressors!$A$1:$R$1,0)),"")</f>
        <v/>
      </c>
      <c r="M77" s="23" t="str">
        <f>IFERROR(VLOOKUP(A77,vdata_hours!$A$2:$B$1000,2,FALSE),"")</f>
        <v/>
      </c>
    </row>
    <row r="78" spans="1:13" x14ac:dyDescent="0.25">
      <c r="A78" s="23" t="str">
        <f>IF(vdata_hours!A77=0,"",vdata_hours!A77)</f>
        <v/>
      </c>
      <c r="B78" s="23" t="str">
        <f>IFERROR(INDEX(vdata_regressors!$A$1:$L$2000,MATCH($A78,vdata_regressors!$A$2:$A$2000,0)+1,MATCH(B$2,vdata_regressors!$A$1:$R$1,0)),"")</f>
        <v/>
      </c>
      <c r="C78" s="23" t="str">
        <f>IFERROR(INDEX(vdata_regressors!$A$1:$L$2000,MATCH($A78,vdata_regressors!$A$2:$A$2000,0)+1,MATCH(C$2,vdata_regressors!$A$1:$R$1,0)),"")</f>
        <v/>
      </c>
      <c r="D78" s="23" t="str">
        <f>IFERROR(INDEX(vdata_regressors!$A$1:$L$2000,MATCH($A78,vdata_regressors!$A$2:$A$2000,0)+1,MATCH(D$2,vdata_regressors!$A$1:$R$1,0)),"")</f>
        <v/>
      </c>
      <c r="E78" s="23" t="str">
        <f>IFERROR(INDEX(vdata_regressors!$A$1:$L$2000,MATCH($A78,vdata_regressors!$A$2:$A$2000,0)+1,MATCH(E$2,vdata_regressors!$A$1:$R$1,0)),"")</f>
        <v/>
      </c>
      <c r="F78" s="23" t="str">
        <f>IFERROR(INDEX(vdata_regressors!$A$1:$L$2000,MATCH($A78,vdata_regressors!$A$2:$A$2000,0)+1,MATCH(F$2,vdata_regressors!$A$1:$R$1,0)),"")</f>
        <v/>
      </c>
      <c r="G78" s="23" t="str">
        <f>IFERROR(INDEX(vdata_regressors!$A$1:$L$2000,MATCH($A78,vdata_regressors!$A$2:$A$2000,0)+1,MATCH(G$2,vdata_regressors!$A$1:$R$1,0)),"")</f>
        <v/>
      </c>
      <c r="H78" s="23" t="str">
        <f>IFERROR(INDEX(vdata_regressors!$A$1:$L$2000,MATCH($A78,vdata_regressors!$A$2:$A$2000,0)+1,MATCH(H$2,vdata_regressors!$A$1:$R$1,0)),"")</f>
        <v/>
      </c>
      <c r="I78" s="23" t="str">
        <f>IFERROR(INDEX(vdata_regressors!$A$1:$L$2000,MATCH($A78,vdata_regressors!$A$2:$A$2000,0)+1,MATCH(I$2,vdata_regressors!$A$1:$R$1,0)),"")</f>
        <v/>
      </c>
      <c r="J78" s="23" t="str">
        <f>IFERROR(INDEX(vdata_regressors!$A$1:$L$2000,MATCH($A78,vdata_regressors!$A$2:$A$2000,0)+1,MATCH(J$2,vdata_regressors!$A$1:$R$1,0)),"")</f>
        <v/>
      </c>
      <c r="K78" s="23" t="str">
        <f>IFERROR(INDEX(vdata_regressors!$A$1:$L$2000,MATCH($A78,vdata_regressors!$A$2:$A$2000,0)+1,MATCH(K$2,vdata_regressors!$A$1:$R$1,0)),"")</f>
        <v/>
      </c>
      <c r="L78" s="23" t="str">
        <f>IFERROR(INDEX(vdata_regressors!$A$1:$L$2000,MATCH($A78,vdata_regressors!$A$2:$A$2000,0)+1,MATCH(L$2,vdata_regressors!$A$1:$R$1,0)),"")</f>
        <v/>
      </c>
      <c r="M78" s="23" t="str">
        <f>IFERROR(VLOOKUP(A78,vdata_hours!$A$2:$B$1000,2,FALSE),"")</f>
        <v/>
      </c>
    </row>
    <row r="79" spans="1:13" x14ac:dyDescent="0.25">
      <c r="A79" s="23" t="str">
        <f>IF(vdata_hours!A78=0,"",vdata_hours!A78)</f>
        <v/>
      </c>
      <c r="B79" s="23" t="str">
        <f>IFERROR(INDEX(vdata_regressors!$A$1:$L$2000,MATCH($A79,vdata_regressors!$A$2:$A$2000,0)+1,MATCH(B$2,vdata_regressors!$A$1:$R$1,0)),"")</f>
        <v/>
      </c>
      <c r="C79" s="23" t="str">
        <f>IFERROR(INDEX(vdata_regressors!$A$1:$L$2000,MATCH($A79,vdata_regressors!$A$2:$A$2000,0)+1,MATCH(C$2,vdata_regressors!$A$1:$R$1,0)),"")</f>
        <v/>
      </c>
      <c r="D79" s="23" t="str">
        <f>IFERROR(INDEX(vdata_regressors!$A$1:$L$2000,MATCH($A79,vdata_regressors!$A$2:$A$2000,0)+1,MATCH(D$2,vdata_regressors!$A$1:$R$1,0)),"")</f>
        <v/>
      </c>
      <c r="E79" s="23" t="str">
        <f>IFERROR(INDEX(vdata_regressors!$A$1:$L$2000,MATCH($A79,vdata_regressors!$A$2:$A$2000,0)+1,MATCH(E$2,vdata_regressors!$A$1:$R$1,0)),"")</f>
        <v/>
      </c>
      <c r="F79" s="23" t="str">
        <f>IFERROR(INDEX(vdata_regressors!$A$1:$L$2000,MATCH($A79,vdata_regressors!$A$2:$A$2000,0)+1,MATCH(F$2,vdata_regressors!$A$1:$R$1,0)),"")</f>
        <v/>
      </c>
      <c r="G79" s="23" t="str">
        <f>IFERROR(INDEX(vdata_regressors!$A$1:$L$2000,MATCH($A79,vdata_regressors!$A$2:$A$2000,0)+1,MATCH(G$2,vdata_regressors!$A$1:$R$1,0)),"")</f>
        <v/>
      </c>
      <c r="H79" s="23" t="str">
        <f>IFERROR(INDEX(vdata_regressors!$A$1:$L$2000,MATCH($A79,vdata_regressors!$A$2:$A$2000,0)+1,MATCH(H$2,vdata_regressors!$A$1:$R$1,0)),"")</f>
        <v/>
      </c>
      <c r="I79" s="23" t="str">
        <f>IFERROR(INDEX(vdata_regressors!$A$1:$L$2000,MATCH($A79,vdata_regressors!$A$2:$A$2000,0)+1,MATCH(I$2,vdata_regressors!$A$1:$R$1,0)),"")</f>
        <v/>
      </c>
      <c r="J79" s="23" t="str">
        <f>IFERROR(INDEX(vdata_regressors!$A$1:$L$2000,MATCH($A79,vdata_regressors!$A$2:$A$2000,0)+1,MATCH(J$2,vdata_regressors!$A$1:$R$1,0)),"")</f>
        <v/>
      </c>
      <c r="K79" s="23" t="str">
        <f>IFERROR(INDEX(vdata_regressors!$A$1:$L$2000,MATCH($A79,vdata_regressors!$A$2:$A$2000,0)+1,MATCH(K$2,vdata_regressors!$A$1:$R$1,0)),"")</f>
        <v/>
      </c>
      <c r="L79" s="23" t="str">
        <f>IFERROR(INDEX(vdata_regressors!$A$1:$L$2000,MATCH($A79,vdata_regressors!$A$2:$A$2000,0)+1,MATCH(L$2,vdata_regressors!$A$1:$R$1,0)),"")</f>
        <v/>
      </c>
      <c r="M79" s="23" t="str">
        <f>IFERROR(VLOOKUP(A79,vdata_hours!$A$2:$B$1000,2,FALSE),"")</f>
        <v/>
      </c>
    </row>
    <row r="80" spans="1:13" x14ac:dyDescent="0.25">
      <c r="A80" s="23" t="str">
        <f>IF(vdata_hours!A79=0,"",vdata_hours!A79)</f>
        <v/>
      </c>
      <c r="B80" s="23" t="str">
        <f>IFERROR(INDEX(vdata_regressors!$A$1:$L$2000,MATCH($A80,vdata_regressors!$A$2:$A$2000,0)+1,MATCH(B$2,vdata_regressors!$A$1:$R$1,0)),"")</f>
        <v/>
      </c>
      <c r="C80" s="23" t="str">
        <f>IFERROR(INDEX(vdata_regressors!$A$1:$L$2000,MATCH($A80,vdata_regressors!$A$2:$A$2000,0)+1,MATCH(C$2,vdata_regressors!$A$1:$R$1,0)),"")</f>
        <v/>
      </c>
      <c r="D80" s="23" t="str">
        <f>IFERROR(INDEX(vdata_regressors!$A$1:$L$2000,MATCH($A80,vdata_regressors!$A$2:$A$2000,0)+1,MATCH(D$2,vdata_regressors!$A$1:$R$1,0)),"")</f>
        <v/>
      </c>
      <c r="E80" s="23" t="str">
        <f>IFERROR(INDEX(vdata_regressors!$A$1:$L$2000,MATCH($A80,vdata_regressors!$A$2:$A$2000,0)+1,MATCH(E$2,vdata_regressors!$A$1:$R$1,0)),"")</f>
        <v/>
      </c>
      <c r="F80" s="23" t="str">
        <f>IFERROR(INDEX(vdata_regressors!$A$1:$L$2000,MATCH($A80,vdata_regressors!$A$2:$A$2000,0)+1,MATCH(F$2,vdata_regressors!$A$1:$R$1,0)),"")</f>
        <v/>
      </c>
      <c r="G80" s="23" t="str">
        <f>IFERROR(INDEX(vdata_regressors!$A$1:$L$2000,MATCH($A80,vdata_regressors!$A$2:$A$2000,0)+1,MATCH(G$2,vdata_regressors!$A$1:$R$1,0)),"")</f>
        <v/>
      </c>
      <c r="H80" s="23" t="str">
        <f>IFERROR(INDEX(vdata_regressors!$A$1:$L$2000,MATCH($A80,vdata_regressors!$A$2:$A$2000,0)+1,MATCH(H$2,vdata_regressors!$A$1:$R$1,0)),"")</f>
        <v/>
      </c>
      <c r="I80" s="23" t="str">
        <f>IFERROR(INDEX(vdata_regressors!$A$1:$L$2000,MATCH($A80,vdata_regressors!$A$2:$A$2000,0)+1,MATCH(I$2,vdata_regressors!$A$1:$R$1,0)),"")</f>
        <v/>
      </c>
      <c r="J80" s="23" t="str">
        <f>IFERROR(INDEX(vdata_regressors!$A$1:$L$2000,MATCH($A80,vdata_regressors!$A$2:$A$2000,0)+1,MATCH(J$2,vdata_regressors!$A$1:$R$1,0)),"")</f>
        <v/>
      </c>
      <c r="K80" s="23" t="str">
        <f>IFERROR(INDEX(vdata_regressors!$A$1:$L$2000,MATCH($A80,vdata_regressors!$A$2:$A$2000,0)+1,MATCH(K$2,vdata_regressors!$A$1:$R$1,0)),"")</f>
        <v/>
      </c>
      <c r="L80" s="23" t="str">
        <f>IFERROR(INDEX(vdata_regressors!$A$1:$L$2000,MATCH($A80,vdata_regressors!$A$2:$A$2000,0)+1,MATCH(L$2,vdata_regressors!$A$1:$R$1,0)),"")</f>
        <v/>
      </c>
      <c r="M80" s="23" t="str">
        <f>IFERROR(VLOOKUP(A80,vdata_hours!$A$2:$B$1000,2,FALSE),"")</f>
        <v/>
      </c>
    </row>
    <row r="81" spans="1:13" x14ac:dyDescent="0.25">
      <c r="A81" s="23" t="str">
        <f>IF(vdata_hours!A80=0,"",vdata_hours!A80)</f>
        <v/>
      </c>
      <c r="B81" s="23" t="str">
        <f>IFERROR(INDEX(vdata_regressors!$A$1:$L$2000,MATCH($A81,vdata_regressors!$A$2:$A$2000,0)+1,MATCH(B$2,vdata_regressors!$A$1:$R$1,0)),"")</f>
        <v/>
      </c>
      <c r="C81" s="23" t="str">
        <f>IFERROR(INDEX(vdata_regressors!$A$1:$L$2000,MATCH($A81,vdata_regressors!$A$2:$A$2000,0)+1,MATCH(C$2,vdata_regressors!$A$1:$R$1,0)),"")</f>
        <v/>
      </c>
      <c r="D81" s="23" t="str">
        <f>IFERROR(INDEX(vdata_regressors!$A$1:$L$2000,MATCH($A81,vdata_regressors!$A$2:$A$2000,0)+1,MATCH(D$2,vdata_regressors!$A$1:$R$1,0)),"")</f>
        <v/>
      </c>
      <c r="E81" s="23" t="str">
        <f>IFERROR(INDEX(vdata_regressors!$A$1:$L$2000,MATCH($A81,vdata_regressors!$A$2:$A$2000,0)+1,MATCH(E$2,vdata_regressors!$A$1:$R$1,0)),"")</f>
        <v/>
      </c>
      <c r="F81" s="23" t="str">
        <f>IFERROR(INDEX(vdata_regressors!$A$1:$L$2000,MATCH($A81,vdata_regressors!$A$2:$A$2000,0)+1,MATCH(F$2,vdata_regressors!$A$1:$R$1,0)),"")</f>
        <v/>
      </c>
      <c r="G81" s="23" t="str">
        <f>IFERROR(INDEX(vdata_regressors!$A$1:$L$2000,MATCH($A81,vdata_regressors!$A$2:$A$2000,0)+1,MATCH(G$2,vdata_regressors!$A$1:$R$1,0)),"")</f>
        <v/>
      </c>
      <c r="H81" s="23" t="str">
        <f>IFERROR(INDEX(vdata_regressors!$A$1:$L$2000,MATCH($A81,vdata_regressors!$A$2:$A$2000,0)+1,MATCH(H$2,vdata_regressors!$A$1:$R$1,0)),"")</f>
        <v/>
      </c>
      <c r="I81" s="23" t="str">
        <f>IFERROR(INDEX(vdata_regressors!$A$1:$L$2000,MATCH($A81,vdata_regressors!$A$2:$A$2000,0)+1,MATCH(I$2,vdata_regressors!$A$1:$R$1,0)),"")</f>
        <v/>
      </c>
      <c r="J81" s="23" t="str">
        <f>IFERROR(INDEX(vdata_regressors!$A$1:$L$2000,MATCH($A81,vdata_regressors!$A$2:$A$2000,0)+1,MATCH(J$2,vdata_regressors!$A$1:$R$1,0)),"")</f>
        <v/>
      </c>
      <c r="K81" s="23" t="str">
        <f>IFERROR(INDEX(vdata_regressors!$A$1:$L$2000,MATCH($A81,vdata_regressors!$A$2:$A$2000,0)+1,MATCH(K$2,vdata_regressors!$A$1:$R$1,0)),"")</f>
        <v/>
      </c>
      <c r="L81" s="23" t="str">
        <f>IFERROR(INDEX(vdata_regressors!$A$1:$L$2000,MATCH($A81,vdata_regressors!$A$2:$A$2000,0)+1,MATCH(L$2,vdata_regressors!$A$1:$R$1,0)),"")</f>
        <v/>
      </c>
      <c r="M81" s="23" t="str">
        <f>IFERROR(VLOOKUP(A81,vdata_hours!$A$2:$B$1000,2,FALSE),"")</f>
        <v/>
      </c>
    </row>
    <row r="82" spans="1:13" x14ac:dyDescent="0.25">
      <c r="A82" s="23" t="str">
        <f>IF(vdata_hours!A81=0,"",vdata_hours!A81)</f>
        <v/>
      </c>
      <c r="B82" s="23" t="str">
        <f>IFERROR(INDEX(vdata_regressors!$A$1:$L$2000,MATCH($A82,vdata_regressors!$A$2:$A$2000,0)+1,MATCH(B$2,vdata_regressors!$A$1:$R$1,0)),"")</f>
        <v/>
      </c>
      <c r="C82" s="23" t="str">
        <f>IFERROR(INDEX(vdata_regressors!$A$1:$L$2000,MATCH($A82,vdata_regressors!$A$2:$A$2000,0)+1,MATCH(C$2,vdata_regressors!$A$1:$R$1,0)),"")</f>
        <v/>
      </c>
      <c r="D82" s="23" t="str">
        <f>IFERROR(INDEX(vdata_regressors!$A$1:$L$2000,MATCH($A82,vdata_regressors!$A$2:$A$2000,0)+1,MATCH(D$2,vdata_regressors!$A$1:$R$1,0)),"")</f>
        <v/>
      </c>
      <c r="E82" s="23" t="str">
        <f>IFERROR(INDEX(vdata_regressors!$A$1:$L$2000,MATCH($A82,vdata_regressors!$A$2:$A$2000,0)+1,MATCH(E$2,vdata_regressors!$A$1:$R$1,0)),"")</f>
        <v/>
      </c>
      <c r="F82" s="23" t="str">
        <f>IFERROR(INDEX(vdata_regressors!$A$1:$L$2000,MATCH($A82,vdata_regressors!$A$2:$A$2000,0)+1,MATCH(F$2,vdata_regressors!$A$1:$R$1,0)),"")</f>
        <v/>
      </c>
      <c r="G82" s="23" t="str">
        <f>IFERROR(INDEX(vdata_regressors!$A$1:$L$2000,MATCH($A82,vdata_regressors!$A$2:$A$2000,0)+1,MATCH(G$2,vdata_regressors!$A$1:$R$1,0)),"")</f>
        <v/>
      </c>
      <c r="H82" s="23" t="str">
        <f>IFERROR(INDEX(vdata_regressors!$A$1:$L$2000,MATCH($A82,vdata_regressors!$A$2:$A$2000,0)+1,MATCH(H$2,vdata_regressors!$A$1:$R$1,0)),"")</f>
        <v/>
      </c>
      <c r="I82" s="23" t="str">
        <f>IFERROR(INDEX(vdata_regressors!$A$1:$L$2000,MATCH($A82,vdata_regressors!$A$2:$A$2000,0)+1,MATCH(I$2,vdata_regressors!$A$1:$R$1,0)),"")</f>
        <v/>
      </c>
      <c r="J82" s="23" t="str">
        <f>IFERROR(INDEX(vdata_regressors!$A$1:$L$2000,MATCH($A82,vdata_regressors!$A$2:$A$2000,0)+1,MATCH(J$2,vdata_regressors!$A$1:$R$1,0)),"")</f>
        <v/>
      </c>
      <c r="K82" s="23" t="str">
        <f>IFERROR(INDEX(vdata_regressors!$A$1:$L$2000,MATCH($A82,vdata_regressors!$A$2:$A$2000,0)+1,MATCH(K$2,vdata_regressors!$A$1:$R$1,0)),"")</f>
        <v/>
      </c>
      <c r="L82" s="23" t="str">
        <f>IFERROR(INDEX(vdata_regressors!$A$1:$L$2000,MATCH($A82,vdata_regressors!$A$2:$A$2000,0)+1,MATCH(L$2,vdata_regressors!$A$1:$R$1,0)),"")</f>
        <v/>
      </c>
      <c r="M82" s="23" t="str">
        <f>IFERROR(VLOOKUP(A82,vdata_hours!$A$2:$B$1000,2,FALSE),"")</f>
        <v/>
      </c>
    </row>
    <row r="83" spans="1:13" x14ac:dyDescent="0.25">
      <c r="A83" s="23" t="str">
        <f>IF(vdata_hours!A82=0,"",vdata_hours!A82)</f>
        <v/>
      </c>
      <c r="B83" s="23" t="str">
        <f>IFERROR(INDEX(vdata_regressors!$A$1:$L$2000,MATCH($A83,vdata_regressors!$A$2:$A$2000,0)+1,MATCH(B$2,vdata_regressors!$A$1:$R$1,0)),"")</f>
        <v/>
      </c>
      <c r="C83" s="23" t="str">
        <f>IFERROR(INDEX(vdata_regressors!$A$1:$L$2000,MATCH($A83,vdata_regressors!$A$2:$A$2000,0)+1,MATCH(C$2,vdata_regressors!$A$1:$R$1,0)),"")</f>
        <v/>
      </c>
      <c r="D83" s="23" t="str">
        <f>IFERROR(INDEX(vdata_regressors!$A$1:$L$2000,MATCH($A83,vdata_regressors!$A$2:$A$2000,0)+1,MATCH(D$2,vdata_regressors!$A$1:$R$1,0)),"")</f>
        <v/>
      </c>
      <c r="E83" s="23" t="str">
        <f>IFERROR(INDEX(vdata_regressors!$A$1:$L$2000,MATCH($A83,vdata_regressors!$A$2:$A$2000,0)+1,MATCH(E$2,vdata_regressors!$A$1:$R$1,0)),"")</f>
        <v/>
      </c>
      <c r="F83" s="23" t="str">
        <f>IFERROR(INDEX(vdata_regressors!$A$1:$L$2000,MATCH($A83,vdata_regressors!$A$2:$A$2000,0)+1,MATCH(F$2,vdata_regressors!$A$1:$R$1,0)),"")</f>
        <v/>
      </c>
      <c r="G83" s="23" t="str">
        <f>IFERROR(INDEX(vdata_regressors!$A$1:$L$2000,MATCH($A83,vdata_regressors!$A$2:$A$2000,0)+1,MATCH(G$2,vdata_regressors!$A$1:$R$1,0)),"")</f>
        <v/>
      </c>
      <c r="H83" s="23" t="str">
        <f>IFERROR(INDEX(vdata_regressors!$A$1:$L$2000,MATCH($A83,vdata_regressors!$A$2:$A$2000,0)+1,MATCH(H$2,vdata_regressors!$A$1:$R$1,0)),"")</f>
        <v/>
      </c>
      <c r="I83" s="23" t="str">
        <f>IFERROR(INDEX(vdata_regressors!$A$1:$L$2000,MATCH($A83,vdata_regressors!$A$2:$A$2000,0)+1,MATCH(I$2,vdata_regressors!$A$1:$R$1,0)),"")</f>
        <v/>
      </c>
      <c r="J83" s="23" t="str">
        <f>IFERROR(INDEX(vdata_regressors!$A$1:$L$2000,MATCH($A83,vdata_regressors!$A$2:$A$2000,0)+1,MATCH(J$2,vdata_regressors!$A$1:$R$1,0)),"")</f>
        <v/>
      </c>
      <c r="K83" s="23" t="str">
        <f>IFERROR(INDEX(vdata_regressors!$A$1:$L$2000,MATCH($A83,vdata_regressors!$A$2:$A$2000,0)+1,MATCH(K$2,vdata_regressors!$A$1:$R$1,0)),"")</f>
        <v/>
      </c>
      <c r="L83" s="23" t="str">
        <f>IFERROR(INDEX(vdata_regressors!$A$1:$L$2000,MATCH($A83,vdata_regressors!$A$2:$A$2000,0)+1,MATCH(L$2,vdata_regressors!$A$1:$R$1,0)),"")</f>
        <v/>
      </c>
      <c r="M83" s="23" t="str">
        <f>IFERROR(VLOOKUP(A83,vdata_hours!$A$2:$B$1000,2,FALSE),"")</f>
        <v/>
      </c>
    </row>
    <row r="84" spans="1:13" x14ac:dyDescent="0.25">
      <c r="A84" s="23" t="str">
        <f>IF(vdata_hours!A83=0,"",vdata_hours!A83)</f>
        <v/>
      </c>
      <c r="B84" s="23" t="str">
        <f>IFERROR(INDEX(vdata_regressors!$A$1:$L$2000,MATCH($A84,vdata_regressors!$A$2:$A$2000,0)+1,MATCH(B$2,vdata_regressors!$A$1:$R$1,0)),"")</f>
        <v/>
      </c>
      <c r="C84" s="23" t="str">
        <f>IFERROR(INDEX(vdata_regressors!$A$1:$L$2000,MATCH($A84,vdata_regressors!$A$2:$A$2000,0)+1,MATCH(C$2,vdata_regressors!$A$1:$R$1,0)),"")</f>
        <v/>
      </c>
      <c r="D84" s="23" t="str">
        <f>IFERROR(INDEX(vdata_regressors!$A$1:$L$2000,MATCH($A84,vdata_regressors!$A$2:$A$2000,0)+1,MATCH(D$2,vdata_regressors!$A$1:$R$1,0)),"")</f>
        <v/>
      </c>
      <c r="E84" s="23" t="str">
        <f>IFERROR(INDEX(vdata_regressors!$A$1:$L$2000,MATCH($A84,vdata_regressors!$A$2:$A$2000,0)+1,MATCH(E$2,vdata_regressors!$A$1:$R$1,0)),"")</f>
        <v/>
      </c>
      <c r="F84" s="23" t="str">
        <f>IFERROR(INDEX(vdata_regressors!$A$1:$L$2000,MATCH($A84,vdata_regressors!$A$2:$A$2000,0)+1,MATCH(F$2,vdata_regressors!$A$1:$R$1,0)),"")</f>
        <v/>
      </c>
      <c r="G84" s="23" t="str">
        <f>IFERROR(INDEX(vdata_regressors!$A$1:$L$2000,MATCH($A84,vdata_regressors!$A$2:$A$2000,0)+1,MATCH(G$2,vdata_regressors!$A$1:$R$1,0)),"")</f>
        <v/>
      </c>
      <c r="H84" s="23" t="str">
        <f>IFERROR(INDEX(vdata_regressors!$A$1:$L$2000,MATCH($A84,vdata_regressors!$A$2:$A$2000,0)+1,MATCH(H$2,vdata_regressors!$A$1:$R$1,0)),"")</f>
        <v/>
      </c>
      <c r="I84" s="23" t="str">
        <f>IFERROR(INDEX(vdata_regressors!$A$1:$L$2000,MATCH($A84,vdata_regressors!$A$2:$A$2000,0)+1,MATCH(I$2,vdata_regressors!$A$1:$R$1,0)),"")</f>
        <v/>
      </c>
      <c r="J84" s="23" t="str">
        <f>IFERROR(INDEX(vdata_regressors!$A$1:$L$2000,MATCH($A84,vdata_regressors!$A$2:$A$2000,0)+1,MATCH(J$2,vdata_regressors!$A$1:$R$1,0)),"")</f>
        <v/>
      </c>
      <c r="K84" s="23" t="str">
        <f>IFERROR(INDEX(vdata_regressors!$A$1:$L$2000,MATCH($A84,vdata_regressors!$A$2:$A$2000,0)+1,MATCH(K$2,vdata_regressors!$A$1:$R$1,0)),"")</f>
        <v/>
      </c>
      <c r="L84" s="23" t="str">
        <f>IFERROR(INDEX(vdata_regressors!$A$1:$L$2000,MATCH($A84,vdata_regressors!$A$2:$A$2000,0)+1,MATCH(L$2,vdata_regressors!$A$1:$R$1,0)),"")</f>
        <v/>
      </c>
      <c r="M84" s="23" t="str">
        <f>IFERROR(VLOOKUP(A84,vdata_hours!$A$2:$B$1000,2,FALSE),"")</f>
        <v/>
      </c>
    </row>
    <row r="85" spans="1:13" x14ac:dyDescent="0.25">
      <c r="A85" s="23" t="str">
        <f>IF(vdata_hours!A84=0,"",vdata_hours!A84)</f>
        <v/>
      </c>
      <c r="B85" s="23" t="str">
        <f>IFERROR(INDEX(vdata_regressors!$A$1:$L$2000,MATCH($A85,vdata_regressors!$A$2:$A$2000,0)+1,MATCH(B$2,vdata_regressors!$A$1:$R$1,0)),"")</f>
        <v/>
      </c>
      <c r="C85" s="23" t="str">
        <f>IFERROR(INDEX(vdata_regressors!$A$1:$L$2000,MATCH($A85,vdata_regressors!$A$2:$A$2000,0)+1,MATCH(C$2,vdata_regressors!$A$1:$R$1,0)),"")</f>
        <v/>
      </c>
      <c r="D85" s="23" t="str">
        <f>IFERROR(INDEX(vdata_regressors!$A$1:$L$2000,MATCH($A85,vdata_regressors!$A$2:$A$2000,0)+1,MATCH(D$2,vdata_regressors!$A$1:$R$1,0)),"")</f>
        <v/>
      </c>
      <c r="E85" s="23" t="str">
        <f>IFERROR(INDEX(vdata_regressors!$A$1:$L$2000,MATCH($A85,vdata_regressors!$A$2:$A$2000,0)+1,MATCH(E$2,vdata_regressors!$A$1:$R$1,0)),"")</f>
        <v/>
      </c>
      <c r="F85" s="23" t="str">
        <f>IFERROR(INDEX(vdata_regressors!$A$1:$L$2000,MATCH($A85,vdata_regressors!$A$2:$A$2000,0)+1,MATCH(F$2,vdata_regressors!$A$1:$R$1,0)),"")</f>
        <v/>
      </c>
      <c r="G85" s="23" t="str">
        <f>IFERROR(INDEX(vdata_regressors!$A$1:$L$2000,MATCH($A85,vdata_regressors!$A$2:$A$2000,0)+1,MATCH(G$2,vdata_regressors!$A$1:$R$1,0)),"")</f>
        <v/>
      </c>
      <c r="H85" s="23" t="str">
        <f>IFERROR(INDEX(vdata_regressors!$A$1:$L$2000,MATCH($A85,vdata_regressors!$A$2:$A$2000,0)+1,MATCH(H$2,vdata_regressors!$A$1:$R$1,0)),"")</f>
        <v/>
      </c>
      <c r="I85" s="23" t="str">
        <f>IFERROR(INDEX(vdata_regressors!$A$1:$L$2000,MATCH($A85,vdata_regressors!$A$2:$A$2000,0)+1,MATCH(I$2,vdata_regressors!$A$1:$R$1,0)),"")</f>
        <v/>
      </c>
      <c r="J85" s="23" t="str">
        <f>IFERROR(INDEX(vdata_regressors!$A$1:$L$2000,MATCH($A85,vdata_regressors!$A$2:$A$2000,0)+1,MATCH(J$2,vdata_regressors!$A$1:$R$1,0)),"")</f>
        <v/>
      </c>
      <c r="K85" s="23" t="str">
        <f>IFERROR(INDEX(vdata_regressors!$A$1:$L$2000,MATCH($A85,vdata_regressors!$A$2:$A$2000,0)+1,MATCH(K$2,vdata_regressors!$A$1:$R$1,0)),"")</f>
        <v/>
      </c>
      <c r="L85" s="23" t="str">
        <f>IFERROR(INDEX(vdata_regressors!$A$1:$L$2000,MATCH($A85,vdata_regressors!$A$2:$A$2000,0)+1,MATCH(L$2,vdata_regressors!$A$1:$R$1,0)),"")</f>
        <v/>
      </c>
      <c r="M85" s="23" t="str">
        <f>IFERROR(VLOOKUP(A85,vdata_hours!$A$2:$B$1000,2,FALSE),"")</f>
        <v/>
      </c>
    </row>
    <row r="86" spans="1:13" x14ac:dyDescent="0.25">
      <c r="A86" s="23" t="str">
        <f>IF(vdata_hours!A85=0,"",vdata_hours!A85)</f>
        <v/>
      </c>
      <c r="B86" s="23" t="str">
        <f>IFERROR(INDEX(vdata_regressors!$A$1:$L$2000,MATCH($A86,vdata_regressors!$A$2:$A$2000,0)+1,MATCH(B$2,vdata_regressors!$A$1:$R$1,0)),"")</f>
        <v/>
      </c>
      <c r="C86" s="23" t="str">
        <f>IFERROR(INDEX(vdata_regressors!$A$1:$L$2000,MATCH($A86,vdata_regressors!$A$2:$A$2000,0)+1,MATCH(C$2,vdata_regressors!$A$1:$R$1,0)),"")</f>
        <v/>
      </c>
      <c r="D86" s="23" t="str">
        <f>IFERROR(INDEX(vdata_regressors!$A$1:$L$2000,MATCH($A86,vdata_regressors!$A$2:$A$2000,0)+1,MATCH(D$2,vdata_regressors!$A$1:$R$1,0)),"")</f>
        <v/>
      </c>
      <c r="E86" s="23" t="str">
        <f>IFERROR(INDEX(vdata_regressors!$A$1:$L$2000,MATCH($A86,vdata_regressors!$A$2:$A$2000,0)+1,MATCH(E$2,vdata_regressors!$A$1:$R$1,0)),"")</f>
        <v/>
      </c>
      <c r="F86" s="23" t="str">
        <f>IFERROR(INDEX(vdata_regressors!$A$1:$L$2000,MATCH($A86,vdata_regressors!$A$2:$A$2000,0)+1,MATCH(F$2,vdata_regressors!$A$1:$R$1,0)),"")</f>
        <v/>
      </c>
      <c r="G86" s="23" t="str">
        <f>IFERROR(INDEX(vdata_regressors!$A$1:$L$2000,MATCH($A86,vdata_regressors!$A$2:$A$2000,0)+1,MATCH(G$2,vdata_regressors!$A$1:$R$1,0)),"")</f>
        <v/>
      </c>
      <c r="H86" s="23" t="str">
        <f>IFERROR(INDEX(vdata_regressors!$A$1:$L$2000,MATCH($A86,vdata_regressors!$A$2:$A$2000,0)+1,MATCH(H$2,vdata_regressors!$A$1:$R$1,0)),"")</f>
        <v/>
      </c>
      <c r="I86" s="23" t="str">
        <f>IFERROR(INDEX(vdata_regressors!$A$1:$L$2000,MATCH($A86,vdata_regressors!$A$2:$A$2000,0)+1,MATCH(I$2,vdata_regressors!$A$1:$R$1,0)),"")</f>
        <v/>
      </c>
      <c r="J86" s="23" t="str">
        <f>IFERROR(INDEX(vdata_regressors!$A$1:$L$2000,MATCH($A86,vdata_regressors!$A$2:$A$2000,0)+1,MATCH(J$2,vdata_regressors!$A$1:$R$1,0)),"")</f>
        <v/>
      </c>
      <c r="K86" s="23" t="str">
        <f>IFERROR(INDEX(vdata_regressors!$A$1:$L$2000,MATCH($A86,vdata_regressors!$A$2:$A$2000,0)+1,MATCH(K$2,vdata_regressors!$A$1:$R$1,0)),"")</f>
        <v/>
      </c>
      <c r="L86" s="23" t="str">
        <f>IFERROR(INDEX(vdata_regressors!$A$1:$L$2000,MATCH($A86,vdata_regressors!$A$2:$A$2000,0)+1,MATCH(L$2,vdata_regressors!$A$1:$R$1,0)),"")</f>
        <v/>
      </c>
      <c r="M86" s="23" t="str">
        <f>IFERROR(VLOOKUP(A86,vdata_hours!$A$2:$B$1000,2,FALSE),"")</f>
        <v/>
      </c>
    </row>
    <row r="87" spans="1:13" x14ac:dyDescent="0.25">
      <c r="A87" s="23" t="str">
        <f>IF(vdata_hours!A86=0,"",vdata_hours!A86)</f>
        <v/>
      </c>
      <c r="B87" s="23" t="str">
        <f>IFERROR(INDEX(vdata_regressors!$A$1:$L$2000,MATCH($A87,vdata_regressors!$A$2:$A$2000,0)+1,MATCH(B$2,vdata_regressors!$A$1:$R$1,0)),"")</f>
        <v/>
      </c>
      <c r="C87" s="23" t="str">
        <f>IFERROR(INDEX(vdata_regressors!$A$1:$L$2000,MATCH($A87,vdata_regressors!$A$2:$A$2000,0)+1,MATCH(C$2,vdata_regressors!$A$1:$R$1,0)),"")</f>
        <v/>
      </c>
      <c r="D87" s="23" t="str">
        <f>IFERROR(INDEX(vdata_regressors!$A$1:$L$2000,MATCH($A87,vdata_regressors!$A$2:$A$2000,0)+1,MATCH(D$2,vdata_regressors!$A$1:$R$1,0)),"")</f>
        <v/>
      </c>
      <c r="E87" s="23" t="str">
        <f>IFERROR(INDEX(vdata_regressors!$A$1:$L$2000,MATCH($A87,vdata_regressors!$A$2:$A$2000,0)+1,MATCH(E$2,vdata_regressors!$A$1:$R$1,0)),"")</f>
        <v/>
      </c>
      <c r="F87" s="23" t="str">
        <f>IFERROR(INDEX(vdata_regressors!$A$1:$L$2000,MATCH($A87,vdata_regressors!$A$2:$A$2000,0)+1,MATCH(F$2,vdata_regressors!$A$1:$R$1,0)),"")</f>
        <v/>
      </c>
      <c r="G87" s="23" t="str">
        <f>IFERROR(INDEX(vdata_regressors!$A$1:$L$2000,MATCH($A87,vdata_regressors!$A$2:$A$2000,0)+1,MATCH(G$2,vdata_regressors!$A$1:$R$1,0)),"")</f>
        <v/>
      </c>
      <c r="H87" s="23" t="str">
        <f>IFERROR(INDEX(vdata_regressors!$A$1:$L$2000,MATCH($A87,vdata_regressors!$A$2:$A$2000,0)+1,MATCH(H$2,vdata_regressors!$A$1:$R$1,0)),"")</f>
        <v/>
      </c>
      <c r="I87" s="23" t="str">
        <f>IFERROR(INDEX(vdata_regressors!$A$1:$L$2000,MATCH($A87,vdata_regressors!$A$2:$A$2000,0)+1,MATCH(I$2,vdata_regressors!$A$1:$R$1,0)),"")</f>
        <v/>
      </c>
      <c r="J87" s="23" t="str">
        <f>IFERROR(INDEX(vdata_regressors!$A$1:$L$2000,MATCH($A87,vdata_regressors!$A$2:$A$2000,0)+1,MATCH(J$2,vdata_regressors!$A$1:$R$1,0)),"")</f>
        <v/>
      </c>
      <c r="K87" s="23" t="str">
        <f>IFERROR(INDEX(vdata_regressors!$A$1:$L$2000,MATCH($A87,vdata_regressors!$A$2:$A$2000,0)+1,MATCH(K$2,vdata_regressors!$A$1:$R$1,0)),"")</f>
        <v/>
      </c>
      <c r="L87" s="23" t="str">
        <f>IFERROR(INDEX(vdata_regressors!$A$1:$L$2000,MATCH($A87,vdata_regressors!$A$2:$A$2000,0)+1,MATCH(L$2,vdata_regressors!$A$1:$R$1,0)),"")</f>
        <v/>
      </c>
      <c r="M87" s="23" t="str">
        <f>IFERROR(VLOOKUP(A87,vdata_hours!$A$2:$B$1000,2,FALSE),"")</f>
        <v/>
      </c>
    </row>
    <row r="88" spans="1:13" x14ac:dyDescent="0.25">
      <c r="A88" s="23" t="str">
        <f>IF(vdata_hours!A87=0,"",vdata_hours!A87)</f>
        <v/>
      </c>
      <c r="B88" s="23" t="str">
        <f>IFERROR(INDEX(vdata_regressors!$A$1:$L$2000,MATCH($A88,vdata_regressors!$A$2:$A$2000,0)+1,MATCH(B$2,vdata_regressors!$A$1:$R$1,0)),"")</f>
        <v/>
      </c>
      <c r="C88" s="23" t="str">
        <f>IFERROR(INDEX(vdata_regressors!$A$1:$L$2000,MATCH($A88,vdata_regressors!$A$2:$A$2000,0)+1,MATCH(C$2,vdata_regressors!$A$1:$R$1,0)),"")</f>
        <v/>
      </c>
      <c r="D88" s="23" t="str">
        <f>IFERROR(INDEX(vdata_regressors!$A$1:$L$2000,MATCH($A88,vdata_regressors!$A$2:$A$2000,0)+1,MATCH(D$2,vdata_regressors!$A$1:$R$1,0)),"")</f>
        <v/>
      </c>
      <c r="E88" s="23" t="str">
        <f>IFERROR(INDEX(vdata_regressors!$A$1:$L$2000,MATCH($A88,vdata_regressors!$A$2:$A$2000,0)+1,MATCH(E$2,vdata_regressors!$A$1:$R$1,0)),"")</f>
        <v/>
      </c>
      <c r="F88" s="23" t="str">
        <f>IFERROR(INDEX(vdata_regressors!$A$1:$L$2000,MATCH($A88,vdata_regressors!$A$2:$A$2000,0)+1,MATCH(F$2,vdata_regressors!$A$1:$R$1,0)),"")</f>
        <v/>
      </c>
      <c r="G88" s="23" t="str">
        <f>IFERROR(INDEX(vdata_regressors!$A$1:$L$2000,MATCH($A88,vdata_regressors!$A$2:$A$2000,0)+1,MATCH(G$2,vdata_regressors!$A$1:$R$1,0)),"")</f>
        <v/>
      </c>
      <c r="H88" s="23" t="str">
        <f>IFERROR(INDEX(vdata_regressors!$A$1:$L$2000,MATCH($A88,vdata_regressors!$A$2:$A$2000,0)+1,MATCH(H$2,vdata_regressors!$A$1:$R$1,0)),"")</f>
        <v/>
      </c>
      <c r="I88" s="23" t="str">
        <f>IFERROR(INDEX(vdata_regressors!$A$1:$L$2000,MATCH($A88,vdata_regressors!$A$2:$A$2000,0)+1,MATCH(I$2,vdata_regressors!$A$1:$R$1,0)),"")</f>
        <v/>
      </c>
      <c r="J88" s="23" t="str">
        <f>IFERROR(INDEX(vdata_regressors!$A$1:$L$2000,MATCH($A88,vdata_regressors!$A$2:$A$2000,0)+1,MATCH(J$2,vdata_regressors!$A$1:$R$1,0)),"")</f>
        <v/>
      </c>
      <c r="K88" s="23" t="str">
        <f>IFERROR(INDEX(vdata_regressors!$A$1:$L$2000,MATCH($A88,vdata_regressors!$A$2:$A$2000,0)+1,MATCH(K$2,vdata_regressors!$A$1:$R$1,0)),"")</f>
        <v/>
      </c>
      <c r="L88" s="23" t="str">
        <f>IFERROR(INDEX(vdata_regressors!$A$1:$L$2000,MATCH($A88,vdata_regressors!$A$2:$A$2000,0)+1,MATCH(L$2,vdata_regressors!$A$1:$R$1,0)),"")</f>
        <v/>
      </c>
      <c r="M88" s="23" t="str">
        <f>IFERROR(VLOOKUP(A88,vdata_hours!$A$2:$B$1000,2,FALSE),"")</f>
        <v/>
      </c>
    </row>
    <row r="89" spans="1:13" x14ac:dyDescent="0.25">
      <c r="A89" s="23" t="str">
        <f>IF(vdata_hours!A88=0,"",vdata_hours!A88)</f>
        <v/>
      </c>
      <c r="B89" s="23" t="str">
        <f>IFERROR(INDEX(vdata_regressors!$A$1:$L$2000,MATCH($A89,vdata_regressors!$A$2:$A$2000,0)+1,MATCH(B$2,vdata_regressors!$A$1:$R$1,0)),"")</f>
        <v/>
      </c>
      <c r="C89" s="23" t="str">
        <f>IFERROR(INDEX(vdata_regressors!$A$1:$L$2000,MATCH($A89,vdata_regressors!$A$2:$A$2000,0)+1,MATCH(C$2,vdata_regressors!$A$1:$R$1,0)),"")</f>
        <v/>
      </c>
      <c r="D89" s="23" t="str">
        <f>IFERROR(INDEX(vdata_regressors!$A$1:$L$2000,MATCH($A89,vdata_regressors!$A$2:$A$2000,0)+1,MATCH(D$2,vdata_regressors!$A$1:$R$1,0)),"")</f>
        <v/>
      </c>
      <c r="E89" s="23" t="str">
        <f>IFERROR(INDEX(vdata_regressors!$A$1:$L$2000,MATCH($A89,vdata_regressors!$A$2:$A$2000,0)+1,MATCH(E$2,vdata_regressors!$A$1:$R$1,0)),"")</f>
        <v/>
      </c>
      <c r="F89" s="23" t="str">
        <f>IFERROR(INDEX(vdata_regressors!$A$1:$L$2000,MATCH($A89,vdata_regressors!$A$2:$A$2000,0)+1,MATCH(F$2,vdata_regressors!$A$1:$R$1,0)),"")</f>
        <v/>
      </c>
      <c r="G89" s="23" t="str">
        <f>IFERROR(INDEX(vdata_regressors!$A$1:$L$2000,MATCH($A89,vdata_regressors!$A$2:$A$2000,0)+1,MATCH(G$2,vdata_regressors!$A$1:$R$1,0)),"")</f>
        <v/>
      </c>
      <c r="H89" s="23" t="str">
        <f>IFERROR(INDEX(vdata_regressors!$A$1:$L$2000,MATCH($A89,vdata_regressors!$A$2:$A$2000,0)+1,MATCH(H$2,vdata_regressors!$A$1:$R$1,0)),"")</f>
        <v/>
      </c>
      <c r="I89" s="23" t="str">
        <f>IFERROR(INDEX(vdata_regressors!$A$1:$L$2000,MATCH($A89,vdata_regressors!$A$2:$A$2000,0)+1,MATCH(I$2,vdata_regressors!$A$1:$R$1,0)),"")</f>
        <v/>
      </c>
      <c r="J89" s="23" t="str">
        <f>IFERROR(INDEX(vdata_regressors!$A$1:$L$2000,MATCH($A89,vdata_regressors!$A$2:$A$2000,0)+1,MATCH(J$2,vdata_regressors!$A$1:$R$1,0)),"")</f>
        <v/>
      </c>
      <c r="K89" s="23" t="str">
        <f>IFERROR(INDEX(vdata_regressors!$A$1:$L$2000,MATCH($A89,vdata_regressors!$A$2:$A$2000,0)+1,MATCH(K$2,vdata_regressors!$A$1:$R$1,0)),"")</f>
        <v/>
      </c>
      <c r="L89" s="23" t="str">
        <f>IFERROR(INDEX(vdata_regressors!$A$1:$L$2000,MATCH($A89,vdata_regressors!$A$2:$A$2000,0)+1,MATCH(L$2,vdata_regressors!$A$1:$R$1,0)),"")</f>
        <v/>
      </c>
      <c r="M89" s="23" t="str">
        <f>IFERROR(VLOOKUP(A89,vdata_hours!$A$2:$B$1000,2,FALSE),"")</f>
        <v/>
      </c>
    </row>
    <row r="90" spans="1:13" x14ac:dyDescent="0.25">
      <c r="A90" s="23" t="str">
        <f>IF(vdata_hours!A89=0,"",vdata_hours!A89)</f>
        <v/>
      </c>
      <c r="B90" s="23" t="str">
        <f>IFERROR(INDEX(vdata_regressors!$A$1:$L$2000,MATCH($A90,vdata_regressors!$A$2:$A$2000,0)+1,MATCH(B$2,vdata_regressors!$A$1:$R$1,0)),"")</f>
        <v/>
      </c>
      <c r="C90" s="23" t="str">
        <f>IFERROR(INDEX(vdata_regressors!$A$1:$L$2000,MATCH($A90,vdata_regressors!$A$2:$A$2000,0)+1,MATCH(C$2,vdata_regressors!$A$1:$R$1,0)),"")</f>
        <v/>
      </c>
      <c r="D90" s="23" t="str">
        <f>IFERROR(INDEX(vdata_regressors!$A$1:$L$2000,MATCH($A90,vdata_regressors!$A$2:$A$2000,0)+1,MATCH(D$2,vdata_regressors!$A$1:$R$1,0)),"")</f>
        <v/>
      </c>
      <c r="E90" s="23" t="str">
        <f>IFERROR(INDEX(vdata_regressors!$A$1:$L$2000,MATCH($A90,vdata_regressors!$A$2:$A$2000,0)+1,MATCH(E$2,vdata_regressors!$A$1:$R$1,0)),"")</f>
        <v/>
      </c>
      <c r="F90" s="23" t="str">
        <f>IFERROR(INDEX(vdata_regressors!$A$1:$L$2000,MATCH($A90,vdata_regressors!$A$2:$A$2000,0)+1,MATCH(F$2,vdata_regressors!$A$1:$R$1,0)),"")</f>
        <v/>
      </c>
      <c r="G90" s="23" t="str">
        <f>IFERROR(INDEX(vdata_regressors!$A$1:$L$2000,MATCH($A90,vdata_regressors!$A$2:$A$2000,0)+1,MATCH(G$2,vdata_regressors!$A$1:$R$1,0)),"")</f>
        <v/>
      </c>
      <c r="H90" s="23" t="str">
        <f>IFERROR(INDEX(vdata_regressors!$A$1:$L$2000,MATCH($A90,vdata_regressors!$A$2:$A$2000,0)+1,MATCH(H$2,vdata_regressors!$A$1:$R$1,0)),"")</f>
        <v/>
      </c>
      <c r="I90" s="23" t="str">
        <f>IFERROR(INDEX(vdata_regressors!$A$1:$L$2000,MATCH($A90,vdata_regressors!$A$2:$A$2000,0)+1,MATCH(I$2,vdata_regressors!$A$1:$R$1,0)),"")</f>
        <v/>
      </c>
      <c r="J90" s="23" t="str">
        <f>IFERROR(INDEX(vdata_regressors!$A$1:$L$2000,MATCH($A90,vdata_regressors!$A$2:$A$2000,0)+1,MATCH(J$2,vdata_regressors!$A$1:$R$1,0)),"")</f>
        <v/>
      </c>
      <c r="K90" s="23" t="str">
        <f>IFERROR(INDEX(vdata_regressors!$A$1:$L$2000,MATCH($A90,vdata_regressors!$A$2:$A$2000,0)+1,MATCH(K$2,vdata_regressors!$A$1:$R$1,0)),"")</f>
        <v/>
      </c>
      <c r="L90" s="23" t="str">
        <f>IFERROR(INDEX(vdata_regressors!$A$1:$L$2000,MATCH($A90,vdata_regressors!$A$2:$A$2000,0)+1,MATCH(L$2,vdata_regressors!$A$1:$R$1,0)),"")</f>
        <v/>
      </c>
      <c r="M90" s="23" t="str">
        <f>IFERROR(VLOOKUP(A90,vdata_hours!$A$2:$B$1000,2,FALSE),"")</f>
        <v/>
      </c>
    </row>
    <row r="91" spans="1:13" x14ac:dyDescent="0.25">
      <c r="A91" s="23" t="str">
        <f>IF(vdata_hours!A90=0,"",vdata_hours!A90)</f>
        <v/>
      </c>
      <c r="B91" s="23" t="str">
        <f>IFERROR(INDEX(vdata_regressors!$A$1:$L$2000,MATCH($A91,vdata_regressors!$A$2:$A$2000,0)+1,MATCH(B$2,vdata_regressors!$A$1:$R$1,0)),"")</f>
        <v/>
      </c>
      <c r="C91" s="23" t="str">
        <f>IFERROR(INDEX(vdata_regressors!$A$1:$L$2000,MATCH($A91,vdata_regressors!$A$2:$A$2000,0)+1,MATCH(C$2,vdata_regressors!$A$1:$R$1,0)),"")</f>
        <v/>
      </c>
      <c r="D91" s="23" t="str">
        <f>IFERROR(INDEX(vdata_regressors!$A$1:$L$2000,MATCH($A91,vdata_regressors!$A$2:$A$2000,0)+1,MATCH(D$2,vdata_regressors!$A$1:$R$1,0)),"")</f>
        <v/>
      </c>
      <c r="E91" s="23" t="str">
        <f>IFERROR(INDEX(vdata_regressors!$A$1:$L$2000,MATCH($A91,vdata_regressors!$A$2:$A$2000,0)+1,MATCH(E$2,vdata_regressors!$A$1:$R$1,0)),"")</f>
        <v/>
      </c>
      <c r="F91" s="23" t="str">
        <f>IFERROR(INDEX(vdata_regressors!$A$1:$L$2000,MATCH($A91,vdata_regressors!$A$2:$A$2000,0)+1,MATCH(F$2,vdata_regressors!$A$1:$R$1,0)),"")</f>
        <v/>
      </c>
      <c r="G91" s="23" t="str">
        <f>IFERROR(INDEX(vdata_regressors!$A$1:$L$2000,MATCH($A91,vdata_regressors!$A$2:$A$2000,0)+1,MATCH(G$2,vdata_regressors!$A$1:$R$1,0)),"")</f>
        <v/>
      </c>
      <c r="H91" s="23" t="str">
        <f>IFERROR(INDEX(vdata_regressors!$A$1:$L$2000,MATCH($A91,vdata_regressors!$A$2:$A$2000,0)+1,MATCH(H$2,vdata_regressors!$A$1:$R$1,0)),"")</f>
        <v/>
      </c>
      <c r="I91" s="23" t="str">
        <f>IFERROR(INDEX(vdata_regressors!$A$1:$L$2000,MATCH($A91,vdata_regressors!$A$2:$A$2000,0)+1,MATCH(I$2,vdata_regressors!$A$1:$R$1,0)),"")</f>
        <v/>
      </c>
      <c r="J91" s="23" t="str">
        <f>IFERROR(INDEX(vdata_regressors!$A$1:$L$2000,MATCH($A91,vdata_regressors!$A$2:$A$2000,0)+1,MATCH(J$2,vdata_regressors!$A$1:$R$1,0)),"")</f>
        <v/>
      </c>
      <c r="K91" s="23" t="str">
        <f>IFERROR(INDEX(vdata_regressors!$A$1:$L$2000,MATCH($A91,vdata_regressors!$A$2:$A$2000,0)+1,MATCH(K$2,vdata_regressors!$A$1:$R$1,0)),"")</f>
        <v/>
      </c>
      <c r="L91" s="23" t="str">
        <f>IFERROR(INDEX(vdata_regressors!$A$1:$L$2000,MATCH($A91,vdata_regressors!$A$2:$A$2000,0)+1,MATCH(L$2,vdata_regressors!$A$1:$R$1,0)),"")</f>
        <v/>
      </c>
      <c r="M91" s="23" t="str">
        <f>IFERROR(VLOOKUP(A91,vdata_hours!$A$2:$B$1000,2,FALSE),"")</f>
        <v/>
      </c>
    </row>
    <row r="92" spans="1:13" x14ac:dyDescent="0.25">
      <c r="A92" s="23" t="str">
        <f>IF(vdata_hours!A91=0,"",vdata_hours!A91)</f>
        <v/>
      </c>
      <c r="B92" s="23" t="str">
        <f>IFERROR(INDEX(vdata_regressors!$A$1:$L$2000,MATCH($A92,vdata_regressors!$A$2:$A$2000,0)+1,MATCH(B$2,vdata_regressors!$A$1:$R$1,0)),"")</f>
        <v/>
      </c>
      <c r="C92" s="23" t="str">
        <f>IFERROR(INDEX(vdata_regressors!$A$1:$L$2000,MATCH($A92,vdata_regressors!$A$2:$A$2000,0)+1,MATCH(C$2,vdata_regressors!$A$1:$R$1,0)),"")</f>
        <v/>
      </c>
      <c r="D92" s="23" t="str">
        <f>IFERROR(INDEX(vdata_regressors!$A$1:$L$2000,MATCH($A92,vdata_regressors!$A$2:$A$2000,0)+1,MATCH(D$2,vdata_regressors!$A$1:$R$1,0)),"")</f>
        <v/>
      </c>
      <c r="E92" s="23" t="str">
        <f>IFERROR(INDEX(vdata_regressors!$A$1:$L$2000,MATCH($A92,vdata_regressors!$A$2:$A$2000,0)+1,MATCH(E$2,vdata_regressors!$A$1:$R$1,0)),"")</f>
        <v/>
      </c>
      <c r="F92" s="23" t="str">
        <f>IFERROR(INDEX(vdata_regressors!$A$1:$L$2000,MATCH($A92,vdata_regressors!$A$2:$A$2000,0)+1,MATCH(F$2,vdata_regressors!$A$1:$R$1,0)),"")</f>
        <v/>
      </c>
      <c r="G92" s="23" t="str">
        <f>IFERROR(INDEX(vdata_regressors!$A$1:$L$2000,MATCH($A92,vdata_regressors!$A$2:$A$2000,0)+1,MATCH(G$2,vdata_regressors!$A$1:$R$1,0)),"")</f>
        <v/>
      </c>
      <c r="H92" s="23" t="str">
        <f>IFERROR(INDEX(vdata_regressors!$A$1:$L$2000,MATCH($A92,vdata_regressors!$A$2:$A$2000,0)+1,MATCH(H$2,vdata_regressors!$A$1:$R$1,0)),"")</f>
        <v/>
      </c>
      <c r="I92" s="23" t="str">
        <f>IFERROR(INDEX(vdata_regressors!$A$1:$L$2000,MATCH($A92,vdata_regressors!$A$2:$A$2000,0)+1,MATCH(I$2,vdata_regressors!$A$1:$R$1,0)),"")</f>
        <v/>
      </c>
      <c r="J92" s="23" t="str">
        <f>IFERROR(INDEX(vdata_regressors!$A$1:$L$2000,MATCH($A92,vdata_regressors!$A$2:$A$2000,0)+1,MATCH(J$2,vdata_regressors!$A$1:$R$1,0)),"")</f>
        <v/>
      </c>
      <c r="K92" s="23" t="str">
        <f>IFERROR(INDEX(vdata_regressors!$A$1:$L$2000,MATCH($A92,vdata_regressors!$A$2:$A$2000,0)+1,MATCH(K$2,vdata_regressors!$A$1:$R$1,0)),"")</f>
        <v/>
      </c>
      <c r="L92" s="23" t="str">
        <f>IFERROR(INDEX(vdata_regressors!$A$1:$L$2000,MATCH($A92,vdata_regressors!$A$2:$A$2000,0)+1,MATCH(L$2,vdata_regressors!$A$1:$R$1,0)),"")</f>
        <v/>
      </c>
      <c r="M92" s="23" t="str">
        <f>IFERROR(VLOOKUP(A92,vdata_hours!$A$2:$B$1000,2,FALSE),"")</f>
        <v/>
      </c>
    </row>
    <row r="93" spans="1:13" x14ac:dyDescent="0.25">
      <c r="A93" s="23" t="str">
        <f>IF(vdata_hours!A92=0,"",vdata_hours!A92)</f>
        <v/>
      </c>
      <c r="B93" s="23" t="str">
        <f>IFERROR(INDEX(vdata_regressors!$A$1:$L$2000,MATCH($A93,vdata_regressors!$A$2:$A$2000,0)+1,MATCH(B$2,vdata_regressors!$A$1:$R$1,0)),"")</f>
        <v/>
      </c>
      <c r="C93" s="23" t="str">
        <f>IFERROR(INDEX(vdata_regressors!$A$1:$L$2000,MATCH($A93,vdata_regressors!$A$2:$A$2000,0)+1,MATCH(C$2,vdata_regressors!$A$1:$R$1,0)),"")</f>
        <v/>
      </c>
      <c r="D93" s="23" t="str">
        <f>IFERROR(INDEX(vdata_regressors!$A$1:$L$2000,MATCH($A93,vdata_regressors!$A$2:$A$2000,0)+1,MATCH(D$2,vdata_regressors!$A$1:$R$1,0)),"")</f>
        <v/>
      </c>
      <c r="E93" s="23" t="str">
        <f>IFERROR(INDEX(vdata_regressors!$A$1:$L$2000,MATCH($A93,vdata_regressors!$A$2:$A$2000,0)+1,MATCH(E$2,vdata_regressors!$A$1:$R$1,0)),"")</f>
        <v/>
      </c>
      <c r="F93" s="23" t="str">
        <f>IFERROR(INDEX(vdata_regressors!$A$1:$L$2000,MATCH($A93,vdata_regressors!$A$2:$A$2000,0)+1,MATCH(F$2,vdata_regressors!$A$1:$R$1,0)),"")</f>
        <v/>
      </c>
      <c r="G93" s="23" t="str">
        <f>IFERROR(INDEX(vdata_regressors!$A$1:$L$2000,MATCH($A93,vdata_regressors!$A$2:$A$2000,0)+1,MATCH(G$2,vdata_regressors!$A$1:$R$1,0)),"")</f>
        <v/>
      </c>
      <c r="H93" s="23" t="str">
        <f>IFERROR(INDEX(vdata_regressors!$A$1:$L$2000,MATCH($A93,vdata_regressors!$A$2:$A$2000,0)+1,MATCH(H$2,vdata_regressors!$A$1:$R$1,0)),"")</f>
        <v/>
      </c>
      <c r="I93" s="23" t="str">
        <f>IFERROR(INDEX(vdata_regressors!$A$1:$L$2000,MATCH($A93,vdata_regressors!$A$2:$A$2000,0)+1,MATCH(I$2,vdata_regressors!$A$1:$R$1,0)),"")</f>
        <v/>
      </c>
      <c r="J93" s="23" t="str">
        <f>IFERROR(INDEX(vdata_regressors!$A$1:$L$2000,MATCH($A93,vdata_regressors!$A$2:$A$2000,0)+1,MATCH(J$2,vdata_regressors!$A$1:$R$1,0)),"")</f>
        <v/>
      </c>
      <c r="K93" s="23" t="str">
        <f>IFERROR(INDEX(vdata_regressors!$A$1:$L$2000,MATCH($A93,vdata_regressors!$A$2:$A$2000,0)+1,MATCH(K$2,vdata_regressors!$A$1:$R$1,0)),"")</f>
        <v/>
      </c>
      <c r="L93" s="23" t="str">
        <f>IFERROR(INDEX(vdata_regressors!$A$1:$L$2000,MATCH($A93,vdata_regressors!$A$2:$A$2000,0)+1,MATCH(L$2,vdata_regressors!$A$1:$R$1,0)),"")</f>
        <v/>
      </c>
      <c r="M93" s="23" t="str">
        <f>IFERROR(VLOOKUP(A93,vdata_hours!$A$2:$B$1000,2,FALSE),"")</f>
        <v/>
      </c>
    </row>
    <row r="94" spans="1:13" x14ac:dyDescent="0.25">
      <c r="A94" s="23" t="str">
        <f>IF(vdata_hours!A93=0,"",vdata_hours!A93)</f>
        <v/>
      </c>
      <c r="B94" s="23" t="str">
        <f>IFERROR(INDEX(vdata_regressors!$A$1:$L$2000,MATCH($A94,vdata_regressors!$A$2:$A$2000,0)+1,MATCH(B$2,vdata_regressors!$A$1:$R$1,0)),"")</f>
        <v/>
      </c>
      <c r="C94" s="23" t="str">
        <f>IFERROR(INDEX(vdata_regressors!$A$1:$L$2000,MATCH($A94,vdata_regressors!$A$2:$A$2000,0)+1,MATCH(C$2,vdata_regressors!$A$1:$R$1,0)),"")</f>
        <v/>
      </c>
      <c r="D94" s="23" t="str">
        <f>IFERROR(INDEX(vdata_regressors!$A$1:$L$2000,MATCH($A94,vdata_regressors!$A$2:$A$2000,0)+1,MATCH(D$2,vdata_regressors!$A$1:$R$1,0)),"")</f>
        <v/>
      </c>
      <c r="E94" s="23" t="str">
        <f>IFERROR(INDEX(vdata_regressors!$A$1:$L$2000,MATCH($A94,vdata_regressors!$A$2:$A$2000,0)+1,MATCH(E$2,vdata_regressors!$A$1:$R$1,0)),"")</f>
        <v/>
      </c>
      <c r="F94" s="23" t="str">
        <f>IFERROR(INDEX(vdata_regressors!$A$1:$L$2000,MATCH($A94,vdata_regressors!$A$2:$A$2000,0)+1,MATCH(F$2,vdata_regressors!$A$1:$R$1,0)),"")</f>
        <v/>
      </c>
      <c r="G94" s="23" t="str">
        <f>IFERROR(INDEX(vdata_regressors!$A$1:$L$2000,MATCH($A94,vdata_regressors!$A$2:$A$2000,0)+1,MATCH(G$2,vdata_regressors!$A$1:$R$1,0)),"")</f>
        <v/>
      </c>
      <c r="H94" s="23" t="str">
        <f>IFERROR(INDEX(vdata_regressors!$A$1:$L$2000,MATCH($A94,vdata_regressors!$A$2:$A$2000,0)+1,MATCH(H$2,vdata_regressors!$A$1:$R$1,0)),"")</f>
        <v/>
      </c>
      <c r="I94" s="23" t="str">
        <f>IFERROR(INDEX(vdata_regressors!$A$1:$L$2000,MATCH($A94,vdata_regressors!$A$2:$A$2000,0)+1,MATCH(I$2,vdata_regressors!$A$1:$R$1,0)),"")</f>
        <v/>
      </c>
      <c r="J94" s="23" t="str">
        <f>IFERROR(INDEX(vdata_regressors!$A$1:$L$2000,MATCH($A94,vdata_regressors!$A$2:$A$2000,0)+1,MATCH(J$2,vdata_regressors!$A$1:$R$1,0)),"")</f>
        <v/>
      </c>
      <c r="K94" s="23" t="str">
        <f>IFERROR(INDEX(vdata_regressors!$A$1:$L$2000,MATCH($A94,vdata_regressors!$A$2:$A$2000,0)+1,MATCH(K$2,vdata_regressors!$A$1:$R$1,0)),"")</f>
        <v/>
      </c>
      <c r="L94" s="23" t="str">
        <f>IFERROR(INDEX(vdata_regressors!$A$1:$L$2000,MATCH($A94,vdata_regressors!$A$2:$A$2000,0)+1,MATCH(L$2,vdata_regressors!$A$1:$R$1,0)),"")</f>
        <v/>
      </c>
      <c r="M94" s="23" t="str">
        <f>IFERROR(VLOOKUP(A94,vdata_hours!$A$2:$B$1000,2,FALSE),"")</f>
        <v/>
      </c>
    </row>
    <row r="95" spans="1:13" x14ac:dyDescent="0.25">
      <c r="A95" s="23" t="str">
        <f>IF(vdata_hours!A94=0,"",vdata_hours!A94)</f>
        <v/>
      </c>
      <c r="B95" s="23" t="str">
        <f>IFERROR(INDEX(vdata_regressors!$A$1:$L$2000,MATCH($A95,vdata_regressors!$A$2:$A$2000,0)+1,MATCH(B$2,vdata_regressors!$A$1:$R$1,0)),"")</f>
        <v/>
      </c>
      <c r="C95" s="23" t="str">
        <f>IFERROR(INDEX(vdata_regressors!$A$1:$L$2000,MATCH($A95,vdata_regressors!$A$2:$A$2000,0)+1,MATCH(C$2,vdata_regressors!$A$1:$R$1,0)),"")</f>
        <v/>
      </c>
      <c r="D95" s="23" t="str">
        <f>IFERROR(INDEX(vdata_regressors!$A$1:$L$2000,MATCH($A95,vdata_regressors!$A$2:$A$2000,0)+1,MATCH(D$2,vdata_regressors!$A$1:$R$1,0)),"")</f>
        <v/>
      </c>
      <c r="E95" s="23" t="str">
        <f>IFERROR(INDEX(vdata_regressors!$A$1:$L$2000,MATCH($A95,vdata_regressors!$A$2:$A$2000,0)+1,MATCH(E$2,vdata_regressors!$A$1:$R$1,0)),"")</f>
        <v/>
      </c>
      <c r="F95" s="23" t="str">
        <f>IFERROR(INDEX(vdata_regressors!$A$1:$L$2000,MATCH($A95,vdata_regressors!$A$2:$A$2000,0)+1,MATCH(F$2,vdata_regressors!$A$1:$R$1,0)),"")</f>
        <v/>
      </c>
      <c r="G95" s="23" t="str">
        <f>IFERROR(INDEX(vdata_regressors!$A$1:$L$2000,MATCH($A95,vdata_regressors!$A$2:$A$2000,0)+1,MATCH(G$2,vdata_regressors!$A$1:$R$1,0)),"")</f>
        <v/>
      </c>
      <c r="H95" s="23" t="str">
        <f>IFERROR(INDEX(vdata_regressors!$A$1:$L$2000,MATCH($A95,vdata_regressors!$A$2:$A$2000,0)+1,MATCH(H$2,vdata_regressors!$A$1:$R$1,0)),"")</f>
        <v/>
      </c>
      <c r="I95" s="23" t="str">
        <f>IFERROR(INDEX(vdata_regressors!$A$1:$L$2000,MATCH($A95,vdata_regressors!$A$2:$A$2000,0)+1,MATCH(I$2,vdata_regressors!$A$1:$R$1,0)),"")</f>
        <v/>
      </c>
      <c r="J95" s="23" t="str">
        <f>IFERROR(INDEX(vdata_regressors!$A$1:$L$2000,MATCH($A95,vdata_regressors!$A$2:$A$2000,0)+1,MATCH(J$2,vdata_regressors!$A$1:$R$1,0)),"")</f>
        <v/>
      </c>
      <c r="K95" s="23" t="str">
        <f>IFERROR(INDEX(vdata_regressors!$A$1:$L$2000,MATCH($A95,vdata_regressors!$A$2:$A$2000,0)+1,MATCH(K$2,vdata_regressors!$A$1:$R$1,0)),"")</f>
        <v/>
      </c>
      <c r="L95" s="23" t="str">
        <f>IFERROR(INDEX(vdata_regressors!$A$1:$L$2000,MATCH($A95,vdata_regressors!$A$2:$A$2000,0)+1,MATCH(L$2,vdata_regressors!$A$1:$R$1,0)),"")</f>
        <v/>
      </c>
      <c r="M95" s="23" t="str">
        <f>IFERROR(VLOOKUP(A95,vdata_hours!$A$2:$B$1000,2,FALSE),"")</f>
        <v/>
      </c>
    </row>
    <row r="96" spans="1:13" x14ac:dyDescent="0.25">
      <c r="A96" s="23" t="str">
        <f>IF(vdata_hours!A95=0,"",vdata_hours!A95)</f>
        <v/>
      </c>
      <c r="B96" s="23" t="str">
        <f>IFERROR(INDEX(vdata_regressors!$A$1:$L$2000,MATCH($A96,vdata_regressors!$A$2:$A$2000,0)+1,MATCH(B$2,vdata_regressors!$A$1:$R$1,0)),"")</f>
        <v/>
      </c>
      <c r="C96" s="23" t="str">
        <f>IFERROR(INDEX(vdata_regressors!$A$1:$L$2000,MATCH($A96,vdata_regressors!$A$2:$A$2000,0)+1,MATCH(C$2,vdata_regressors!$A$1:$R$1,0)),"")</f>
        <v/>
      </c>
      <c r="D96" s="23" t="str">
        <f>IFERROR(INDEX(vdata_regressors!$A$1:$L$2000,MATCH($A96,vdata_regressors!$A$2:$A$2000,0)+1,MATCH(D$2,vdata_regressors!$A$1:$R$1,0)),"")</f>
        <v/>
      </c>
      <c r="E96" s="23" t="str">
        <f>IFERROR(INDEX(vdata_regressors!$A$1:$L$2000,MATCH($A96,vdata_regressors!$A$2:$A$2000,0)+1,MATCH(E$2,vdata_regressors!$A$1:$R$1,0)),"")</f>
        <v/>
      </c>
      <c r="F96" s="23" t="str">
        <f>IFERROR(INDEX(vdata_regressors!$A$1:$L$2000,MATCH($A96,vdata_regressors!$A$2:$A$2000,0)+1,MATCH(F$2,vdata_regressors!$A$1:$R$1,0)),"")</f>
        <v/>
      </c>
      <c r="G96" s="23" t="str">
        <f>IFERROR(INDEX(vdata_regressors!$A$1:$L$2000,MATCH($A96,vdata_regressors!$A$2:$A$2000,0)+1,MATCH(G$2,vdata_regressors!$A$1:$R$1,0)),"")</f>
        <v/>
      </c>
      <c r="H96" s="23" t="str">
        <f>IFERROR(INDEX(vdata_regressors!$A$1:$L$2000,MATCH($A96,vdata_regressors!$A$2:$A$2000,0)+1,MATCH(H$2,vdata_regressors!$A$1:$R$1,0)),"")</f>
        <v/>
      </c>
      <c r="I96" s="23" t="str">
        <f>IFERROR(INDEX(vdata_regressors!$A$1:$L$2000,MATCH($A96,vdata_regressors!$A$2:$A$2000,0)+1,MATCH(I$2,vdata_regressors!$A$1:$R$1,0)),"")</f>
        <v/>
      </c>
      <c r="J96" s="23" t="str">
        <f>IFERROR(INDEX(vdata_regressors!$A$1:$L$2000,MATCH($A96,vdata_regressors!$A$2:$A$2000,0)+1,MATCH(J$2,vdata_regressors!$A$1:$R$1,0)),"")</f>
        <v/>
      </c>
      <c r="K96" s="23" t="str">
        <f>IFERROR(INDEX(vdata_regressors!$A$1:$L$2000,MATCH($A96,vdata_regressors!$A$2:$A$2000,0)+1,MATCH(K$2,vdata_regressors!$A$1:$R$1,0)),"")</f>
        <v/>
      </c>
      <c r="L96" s="23" t="str">
        <f>IFERROR(INDEX(vdata_regressors!$A$1:$L$2000,MATCH($A96,vdata_regressors!$A$2:$A$2000,0)+1,MATCH(L$2,vdata_regressors!$A$1:$R$1,0)),"")</f>
        <v/>
      </c>
      <c r="M96" s="23" t="str">
        <f>IFERROR(VLOOKUP(A96,vdata_hours!$A$2:$B$1000,2,FALSE),"")</f>
        <v/>
      </c>
    </row>
    <row r="97" spans="1:13" x14ac:dyDescent="0.25">
      <c r="A97" s="23" t="str">
        <f>IF(vdata_hours!A96=0,"",vdata_hours!A96)</f>
        <v/>
      </c>
      <c r="B97" s="23" t="str">
        <f>IFERROR(INDEX(vdata_regressors!$A$1:$L$2000,MATCH($A97,vdata_regressors!$A$2:$A$2000,0)+1,MATCH(B$2,vdata_regressors!$A$1:$R$1,0)),"")</f>
        <v/>
      </c>
      <c r="C97" s="23" t="str">
        <f>IFERROR(INDEX(vdata_regressors!$A$1:$L$2000,MATCH($A97,vdata_regressors!$A$2:$A$2000,0)+1,MATCH(C$2,vdata_regressors!$A$1:$R$1,0)),"")</f>
        <v/>
      </c>
      <c r="D97" s="23" t="str">
        <f>IFERROR(INDEX(vdata_regressors!$A$1:$L$2000,MATCH($A97,vdata_regressors!$A$2:$A$2000,0)+1,MATCH(D$2,vdata_regressors!$A$1:$R$1,0)),"")</f>
        <v/>
      </c>
      <c r="E97" s="23" t="str">
        <f>IFERROR(INDEX(vdata_regressors!$A$1:$L$2000,MATCH($A97,vdata_regressors!$A$2:$A$2000,0)+1,MATCH(E$2,vdata_regressors!$A$1:$R$1,0)),"")</f>
        <v/>
      </c>
      <c r="F97" s="23" t="str">
        <f>IFERROR(INDEX(vdata_regressors!$A$1:$L$2000,MATCH($A97,vdata_regressors!$A$2:$A$2000,0)+1,MATCH(F$2,vdata_regressors!$A$1:$R$1,0)),"")</f>
        <v/>
      </c>
      <c r="G97" s="23" t="str">
        <f>IFERROR(INDEX(vdata_regressors!$A$1:$L$2000,MATCH($A97,vdata_regressors!$A$2:$A$2000,0)+1,MATCH(G$2,vdata_regressors!$A$1:$R$1,0)),"")</f>
        <v/>
      </c>
      <c r="H97" s="23" t="str">
        <f>IFERROR(INDEX(vdata_regressors!$A$1:$L$2000,MATCH($A97,vdata_regressors!$A$2:$A$2000,0)+1,MATCH(H$2,vdata_regressors!$A$1:$R$1,0)),"")</f>
        <v/>
      </c>
      <c r="I97" s="23" t="str">
        <f>IFERROR(INDEX(vdata_regressors!$A$1:$L$2000,MATCH($A97,vdata_regressors!$A$2:$A$2000,0)+1,MATCH(I$2,vdata_regressors!$A$1:$R$1,0)),"")</f>
        <v/>
      </c>
      <c r="J97" s="23" t="str">
        <f>IFERROR(INDEX(vdata_regressors!$A$1:$L$2000,MATCH($A97,vdata_regressors!$A$2:$A$2000,0)+1,MATCH(J$2,vdata_regressors!$A$1:$R$1,0)),"")</f>
        <v/>
      </c>
      <c r="K97" s="23" t="str">
        <f>IFERROR(INDEX(vdata_regressors!$A$1:$L$2000,MATCH($A97,vdata_regressors!$A$2:$A$2000,0)+1,MATCH(K$2,vdata_regressors!$A$1:$R$1,0)),"")</f>
        <v/>
      </c>
      <c r="L97" s="23" t="str">
        <f>IFERROR(INDEX(vdata_regressors!$A$1:$L$2000,MATCH($A97,vdata_regressors!$A$2:$A$2000,0)+1,MATCH(L$2,vdata_regressors!$A$1:$R$1,0)),"")</f>
        <v/>
      </c>
      <c r="M97" s="23" t="str">
        <f>IFERROR(VLOOKUP(A97,vdata_hours!$A$2:$B$1000,2,FALSE),"")</f>
        <v/>
      </c>
    </row>
    <row r="98" spans="1:13" x14ac:dyDescent="0.25">
      <c r="A98" s="23" t="str">
        <f>IF(vdata_hours!A97=0,"",vdata_hours!A97)</f>
        <v/>
      </c>
      <c r="B98" s="23" t="str">
        <f>IFERROR(INDEX(vdata_regressors!$A$1:$L$2000,MATCH($A98,vdata_regressors!$A$2:$A$2000,0)+1,MATCH(B$2,vdata_regressors!$A$1:$R$1,0)),"")</f>
        <v/>
      </c>
      <c r="C98" s="23" t="str">
        <f>IFERROR(INDEX(vdata_regressors!$A$1:$L$2000,MATCH($A98,vdata_regressors!$A$2:$A$2000,0)+1,MATCH(C$2,vdata_regressors!$A$1:$R$1,0)),"")</f>
        <v/>
      </c>
      <c r="D98" s="23" t="str">
        <f>IFERROR(INDEX(vdata_regressors!$A$1:$L$2000,MATCH($A98,vdata_regressors!$A$2:$A$2000,0)+1,MATCH(D$2,vdata_regressors!$A$1:$R$1,0)),"")</f>
        <v/>
      </c>
      <c r="E98" s="23" t="str">
        <f>IFERROR(INDEX(vdata_regressors!$A$1:$L$2000,MATCH($A98,vdata_regressors!$A$2:$A$2000,0)+1,MATCH(E$2,vdata_regressors!$A$1:$R$1,0)),"")</f>
        <v/>
      </c>
      <c r="F98" s="23" t="str">
        <f>IFERROR(INDEX(vdata_regressors!$A$1:$L$2000,MATCH($A98,vdata_regressors!$A$2:$A$2000,0)+1,MATCH(F$2,vdata_regressors!$A$1:$R$1,0)),"")</f>
        <v/>
      </c>
      <c r="G98" s="23" t="str">
        <f>IFERROR(INDEX(vdata_regressors!$A$1:$L$2000,MATCH($A98,vdata_regressors!$A$2:$A$2000,0)+1,MATCH(G$2,vdata_regressors!$A$1:$R$1,0)),"")</f>
        <v/>
      </c>
      <c r="H98" s="23" t="str">
        <f>IFERROR(INDEX(vdata_regressors!$A$1:$L$2000,MATCH($A98,vdata_regressors!$A$2:$A$2000,0)+1,MATCH(H$2,vdata_regressors!$A$1:$R$1,0)),"")</f>
        <v/>
      </c>
      <c r="I98" s="23" t="str">
        <f>IFERROR(INDEX(vdata_regressors!$A$1:$L$2000,MATCH($A98,vdata_regressors!$A$2:$A$2000,0)+1,MATCH(I$2,vdata_regressors!$A$1:$R$1,0)),"")</f>
        <v/>
      </c>
      <c r="J98" s="23" t="str">
        <f>IFERROR(INDEX(vdata_regressors!$A$1:$L$2000,MATCH($A98,vdata_regressors!$A$2:$A$2000,0)+1,MATCH(J$2,vdata_regressors!$A$1:$R$1,0)),"")</f>
        <v/>
      </c>
      <c r="K98" s="23" t="str">
        <f>IFERROR(INDEX(vdata_regressors!$A$1:$L$2000,MATCH($A98,vdata_regressors!$A$2:$A$2000,0)+1,MATCH(K$2,vdata_regressors!$A$1:$R$1,0)),"")</f>
        <v/>
      </c>
      <c r="L98" s="23" t="str">
        <f>IFERROR(INDEX(vdata_regressors!$A$1:$L$2000,MATCH($A98,vdata_regressors!$A$2:$A$2000,0)+1,MATCH(L$2,vdata_regressors!$A$1:$R$1,0)),"")</f>
        <v/>
      </c>
      <c r="M98" s="23" t="str">
        <f>IFERROR(VLOOKUP(A98,vdata_hours!$A$2:$B$1000,2,FALSE),"")</f>
        <v/>
      </c>
    </row>
    <row r="99" spans="1:13" x14ac:dyDescent="0.25">
      <c r="A99" s="23" t="str">
        <f>IF(vdata_hours!A98=0,"",vdata_hours!A98)</f>
        <v/>
      </c>
      <c r="B99" s="23" t="str">
        <f>IFERROR(INDEX(vdata_regressors!$A$1:$L$2000,MATCH($A99,vdata_regressors!$A$2:$A$2000,0)+1,MATCH(B$2,vdata_regressors!$A$1:$R$1,0)),"")</f>
        <v/>
      </c>
      <c r="C99" s="23" t="str">
        <f>IFERROR(INDEX(vdata_regressors!$A$1:$L$2000,MATCH($A99,vdata_regressors!$A$2:$A$2000,0)+1,MATCH(C$2,vdata_regressors!$A$1:$R$1,0)),"")</f>
        <v/>
      </c>
      <c r="D99" s="23" t="str">
        <f>IFERROR(INDEX(vdata_regressors!$A$1:$L$2000,MATCH($A99,vdata_regressors!$A$2:$A$2000,0)+1,MATCH(D$2,vdata_regressors!$A$1:$R$1,0)),"")</f>
        <v/>
      </c>
      <c r="E99" s="23" t="str">
        <f>IFERROR(INDEX(vdata_regressors!$A$1:$L$2000,MATCH($A99,vdata_regressors!$A$2:$A$2000,0)+1,MATCH(E$2,vdata_regressors!$A$1:$R$1,0)),"")</f>
        <v/>
      </c>
      <c r="F99" s="23" t="str">
        <f>IFERROR(INDEX(vdata_regressors!$A$1:$L$2000,MATCH($A99,vdata_regressors!$A$2:$A$2000,0)+1,MATCH(F$2,vdata_regressors!$A$1:$R$1,0)),"")</f>
        <v/>
      </c>
      <c r="G99" s="23" t="str">
        <f>IFERROR(INDEX(vdata_regressors!$A$1:$L$2000,MATCH($A99,vdata_regressors!$A$2:$A$2000,0)+1,MATCH(G$2,vdata_regressors!$A$1:$R$1,0)),"")</f>
        <v/>
      </c>
      <c r="H99" s="23" t="str">
        <f>IFERROR(INDEX(vdata_regressors!$A$1:$L$2000,MATCH($A99,vdata_regressors!$A$2:$A$2000,0)+1,MATCH(H$2,vdata_regressors!$A$1:$R$1,0)),"")</f>
        <v/>
      </c>
      <c r="I99" s="23" t="str">
        <f>IFERROR(INDEX(vdata_regressors!$A$1:$L$2000,MATCH($A99,vdata_regressors!$A$2:$A$2000,0)+1,MATCH(I$2,vdata_regressors!$A$1:$R$1,0)),"")</f>
        <v/>
      </c>
      <c r="J99" s="23" t="str">
        <f>IFERROR(INDEX(vdata_regressors!$A$1:$L$2000,MATCH($A99,vdata_regressors!$A$2:$A$2000,0)+1,MATCH(J$2,vdata_regressors!$A$1:$R$1,0)),"")</f>
        <v/>
      </c>
      <c r="K99" s="23" t="str">
        <f>IFERROR(INDEX(vdata_regressors!$A$1:$L$2000,MATCH($A99,vdata_regressors!$A$2:$A$2000,0)+1,MATCH(K$2,vdata_regressors!$A$1:$R$1,0)),"")</f>
        <v/>
      </c>
      <c r="L99" s="23" t="str">
        <f>IFERROR(INDEX(vdata_regressors!$A$1:$L$2000,MATCH($A99,vdata_regressors!$A$2:$A$2000,0)+1,MATCH(L$2,vdata_regressors!$A$1:$R$1,0)),"")</f>
        <v/>
      </c>
      <c r="M99" s="23" t="str">
        <f>IFERROR(VLOOKUP(A99,vdata_hours!$A$2:$B$1000,2,FALSE),"")</f>
        <v/>
      </c>
    </row>
    <row r="100" spans="1:13" x14ac:dyDescent="0.25">
      <c r="A100" s="23" t="str">
        <f>IF(vdata_hours!A99=0,"",vdata_hours!A99)</f>
        <v/>
      </c>
      <c r="B100" s="23" t="str">
        <f>IFERROR(INDEX(vdata_regressors!$A$1:$L$2000,MATCH($A100,vdata_regressors!$A$2:$A$2000,0)+1,MATCH(B$2,vdata_regressors!$A$1:$R$1,0)),"")</f>
        <v/>
      </c>
      <c r="C100" s="23" t="str">
        <f>IFERROR(INDEX(vdata_regressors!$A$1:$L$2000,MATCH($A100,vdata_regressors!$A$2:$A$2000,0)+1,MATCH(C$2,vdata_regressors!$A$1:$R$1,0)),"")</f>
        <v/>
      </c>
      <c r="D100" s="23" t="str">
        <f>IFERROR(INDEX(vdata_regressors!$A$1:$L$2000,MATCH($A100,vdata_regressors!$A$2:$A$2000,0)+1,MATCH(D$2,vdata_regressors!$A$1:$R$1,0)),"")</f>
        <v/>
      </c>
      <c r="E100" s="23" t="str">
        <f>IFERROR(INDEX(vdata_regressors!$A$1:$L$2000,MATCH($A100,vdata_regressors!$A$2:$A$2000,0)+1,MATCH(E$2,vdata_regressors!$A$1:$R$1,0)),"")</f>
        <v/>
      </c>
      <c r="F100" s="23" t="str">
        <f>IFERROR(INDEX(vdata_regressors!$A$1:$L$2000,MATCH($A100,vdata_regressors!$A$2:$A$2000,0)+1,MATCH(F$2,vdata_regressors!$A$1:$R$1,0)),"")</f>
        <v/>
      </c>
      <c r="G100" s="23" t="str">
        <f>IFERROR(INDEX(vdata_regressors!$A$1:$L$2000,MATCH($A100,vdata_regressors!$A$2:$A$2000,0)+1,MATCH(G$2,vdata_regressors!$A$1:$R$1,0)),"")</f>
        <v/>
      </c>
      <c r="H100" s="23" t="str">
        <f>IFERROR(INDEX(vdata_regressors!$A$1:$L$2000,MATCH($A100,vdata_regressors!$A$2:$A$2000,0)+1,MATCH(H$2,vdata_regressors!$A$1:$R$1,0)),"")</f>
        <v/>
      </c>
      <c r="I100" s="23" t="str">
        <f>IFERROR(INDEX(vdata_regressors!$A$1:$L$2000,MATCH($A100,vdata_regressors!$A$2:$A$2000,0)+1,MATCH(I$2,vdata_regressors!$A$1:$R$1,0)),"")</f>
        <v/>
      </c>
      <c r="J100" s="23" t="str">
        <f>IFERROR(INDEX(vdata_regressors!$A$1:$L$2000,MATCH($A100,vdata_regressors!$A$2:$A$2000,0)+1,MATCH(J$2,vdata_regressors!$A$1:$R$1,0)),"")</f>
        <v/>
      </c>
      <c r="K100" s="23" t="str">
        <f>IFERROR(INDEX(vdata_regressors!$A$1:$L$2000,MATCH($A100,vdata_regressors!$A$2:$A$2000,0)+1,MATCH(K$2,vdata_regressors!$A$1:$R$1,0)),"")</f>
        <v/>
      </c>
      <c r="L100" s="23" t="str">
        <f>IFERROR(INDEX(vdata_regressors!$A$1:$L$2000,MATCH($A100,vdata_regressors!$A$2:$A$2000,0)+1,MATCH(L$2,vdata_regressors!$A$1:$R$1,0)),"")</f>
        <v/>
      </c>
      <c r="M100" s="23" t="str">
        <f>IFERROR(VLOOKUP(A100,vdata_hours!$A$2:$B$1000,2,FALSE),"")</f>
        <v/>
      </c>
    </row>
    <row r="101" spans="1:13" x14ac:dyDescent="0.25">
      <c r="A101" s="23" t="str">
        <f>IF(vdata_hours!A100=0,"",vdata_hours!A100)</f>
        <v/>
      </c>
      <c r="B101" s="23" t="str">
        <f>IFERROR(INDEX(vdata_regressors!$A$1:$L$2000,MATCH($A101,vdata_regressors!$A$2:$A$2000,0)+1,MATCH(B$2,vdata_regressors!$A$1:$R$1,0)),"")</f>
        <v/>
      </c>
      <c r="C101" s="23" t="str">
        <f>IFERROR(INDEX(vdata_regressors!$A$1:$L$2000,MATCH($A101,vdata_regressors!$A$2:$A$2000,0)+1,MATCH(C$2,vdata_regressors!$A$1:$R$1,0)),"")</f>
        <v/>
      </c>
      <c r="D101" s="23" t="str">
        <f>IFERROR(INDEX(vdata_regressors!$A$1:$L$2000,MATCH($A101,vdata_regressors!$A$2:$A$2000,0)+1,MATCH(D$2,vdata_regressors!$A$1:$R$1,0)),"")</f>
        <v/>
      </c>
      <c r="E101" s="23" t="str">
        <f>IFERROR(INDEX(vdata_regressors!$A$1:$L$2000,MATCH($A101,vdata_regressors!$A$2:$A$2000,0)+1,MATCH(E$2,vdata_regressors!$A$1:$R$1,0)),"")</f>
        <v/>
      </c>
      <c r="F101" s="23" t="str">
        <f>IFERROR(INDEX(vdata_regressors!$A$1:$L$2000,MATCH($A101,vdata_regressors!$A$2:$A$2000,0)+1,MATCH(F$2,vdata_regressors!$A$1:$R$1,0)),"")</f>
        <v/>
      </c>
      <c r="G101" s="23" t="str">
        <f>IFERROR(INDEX(vdata_regressors!$A$1:$L$2000,MATCH($A101,vdata_regressors!$A$2:$A$2000,0)+1,MATCH(G$2,vdata_regressors!$A$1:$R$1,0)),"")</f>
        <v/>
      </c>
      <c r="H101" s="23" t="str">
        <f>IFERROR(INDEX(vdata_regressors!$A$1:$L$2000,MATCH($A101,vdata_regressors!$A$2:$A$2000,0)+1,MATCH(H$2,vdata_regressors!$A$1:$R$1,0)),"")</f>
        <v/>
      </c>
      <c r="I101" s="23" t="str">
        <f>IFERROR(INDEX(vdata_regressors!$A$1:$L$2000,MATCH($A101,vdata_regressors!$A$2:$A$2000,0)+1,MATCH(I$2,vdata_regressors!$A$1:$R$1,0)),"")</f>
        <v/>
      </c>
      <c r="J101" s="23" t="str">
        <f>IFERROR(INDEX(vdata_regressors!$A$1:$L$2000,MATCH($A101,vdata_regressors!$A$2:$A$2000,0)+1,MATCH(J$2,vdata_regressors!$A$1:$R$1,0)),"")</f>
        <v/>
      </c>
      <c r="K101" s="23" t="str">
        <f>IFERROR(INDEX(vdata_regressors!$A$1:$L$2000,MATCH($A101,vdata_regressors!$A$2:$A$2000,0)+1,MATCH(K$2,vdata_regressors!$A$1:$R$1,0)),"")</f>
        <v/>
      </c>
      <c r="L101" s="23" t="str">
        <f>IFERROR(INDEX(vdata_regressors!$A$1:$L$2000,MATCH($A101,vdata_regressors!$A$2:$A$2000,0)+1,MATCH(L$2,vdata_regressors!$A$1:$R$1,0)),"")</f>
        <v/>
      </c>
      <c r="M101" s="23" t="str">
        <f>IFERROR(VLOOKUP(A101,vdata_hours!$A$2:$B$1000,2,FALSE),"")</f>
        <v/>
      </c>
    </row>
    <row r="102" spans="1:13" x14ac:dyDescent="0.25">
      <c r="A102" s="23" t="str">
        <f>IF(vdata_hours!A101=0,"",vdata_hours!A101)</f>
        <v/>
      </c>
      <c r="B102" s="23" t="str">
        <f>IFERROR(INDEX(vdata_regressors!$A$1:$L$2000,MATCH($A102,vdata_regressors!$A$2:$A$2000,0)+1,MATCH(B$2,vdata_regressors!$A$1:$R$1,0)),"")</f>
        <v/>
      </c>
      <c r="C102" s="23" t="str">
        <f>IFERROR(INDEX(vdata_regressors!$A$1:$L$2000,MATCH($A102,vdata_regressors!$A$2:$A$2000,0)+1,MATCH(C$2,vdata_regressors!$A$1:$R$1,0)),"")</f>
        <v/>
      </c>
      <c r="D102" s="23" t="str">
        <f>IFERROR(INDEX(vdata_regressors!$A$1:$L$2000,MATCH($A102,vdata_regressors!$A$2:$A$2000,0)+1,MATCH(D$2,vdata_regressors!$A$1:$R$1,0)),"")</f>
        <v/>
      </c>
      <c r="E102" s="23" t="str">
        <f>IFERROR(INDEX(vdata_regressors!$A$1:$L$2000,MATCH($A102,vdata_regressors!$A$2:$A$2000,0)+1,MATCH(E$2,vdata_regressors!$A$1:$R$1,0)),"")</f>
        <v/>
      </c>
      <c r="F102" s="23" t="str">
        <f>IFERROR(INDEX(vdata_regressors!$A$1:$L$2000,MATCH($A102,vdata_regressors!$A$2:$A$2000,0)+1,MATCH(F$2,vdata_regressors!$A$1:$R$1,0)),"")</f>
        <v/>
      </c>
      <c r="G102" s="23" t="str">
        <f>IFERROR(INDEX(vdata_regressors!$A$1:$L$2000,MATCH($A102,vdata_regressors!$A$2:$A$2000,0)+1,MATCH(G$2,vdata_regressors!$A$1:$R$1,0)),"")</f>
        <v/>
      </c>
      <c r="H102" s="23" t="str">
        <f>IFERROR(INDEX(vdata_regressors!$A$1:$L$2000,MATCH($A102,vdata_regressors!$A$2:$A$2000,0)+1,MATCH(H$2,vdata_regressors!$A$1:$R$1,0)),"")</f>
        <v/>
      </c>
      <c r="I102" s="23" t="str">
        <f>IFERROR(INDEX(vdata_regressors!$A$1:$L$2000,MATCH($A102,vdata_regressors!$A$2:$A$2000,0)+1,MATCH(I$2,vdata_regressors!$A$1:$R$1,0)),"")</f>
        <v/>
      </c>
      <c r="J102" s="23" t="str">
        <f>IFERROR(INDEX(vdata_regressors!$A$1:$L$2000,MATCH($A102,vdata_regressors!$A$2:$A$2000,0)+1,MATCH(J$2,vdata_regressors!$A$1:$R$1,0)),"")</f>
        <v/>
      </c>
      <c r="K102" s="23" t="str">
        <f>IFERROR(INDEX(vdata_regressors!$A$1:$L$2000,MATCH($A102,vdata_regressors!$A$2:$A$2000,0)+1,MATCH(K$2,vdata_regressors!$A$1:$R$1,0)),"")</f>
        <v/>
      </c>
      <c r="L102" s="23" t="str">
        <f>IFERROR(INDEX(vdata_regressors!$A$1:$L$2000,MATCH($A102,vdata_regressors!$A$2:$A$2000,0)+1,MATCH(L$2,vdata_regressors!$A$1:$R$1,0)),"")</f>
        <v/>
      </c>
      <c r="M102" s="23" t="str">
        <f>IFERROR(VLOOKUP(A102,vdata_hours!$A$2:$B$1000,2,FALSE),"")</f>
        <v/>
      </c>
    </row>
    <row r="103" spans="1:13" x14ac:dyDescent="0.25">
      <c r="A103" s="23" t="str">
        <f>IF(vdata_hours!A102=0,"",vdata_hours!A102)</f>
        <v/>
      </c>
      <c r="B103" s="23" t="str">
        <f>IFERROR(INDEX(vdata_regressors!$A$1:$L$2000,MATCH($A103,vdata_regressors!$A$2:$A$2000,0)+1,MATCH(B$2,vdata_regressors!$A$1:$R$1,0)),"")</f>
        <v/>
      </c>
      <c r="C103" s="23" t="str">
        <f>IFERROR(INDEX(vdata_regressors!$A$1:$L$2000,MATCH($A103,vdata_regressors!$A$2:$A$2000,0)+1,MATCH(C$2,vdata_regressors!$A$1:$R$1,0)),"")</f>
        <v/>
      </c>
      <c r="D103" s="23" t="str">
        <f>IFERROR(INDEX(vdata_regressors!$A$1:$L$2000,MATCH($A103,vdata_regressors!$A$2:$A$2000,0)+1,MATCH(D$2,vdata_regressors!$A$1:$R$1,0)),"")</f>
        <v/>
      </c>
      <c r="E103" s="23" t="str">
        <f>IFERROR(INDEX(vdata_regressors!$A$1:$L$2000,MATCH($A103,vdata_regressors!$A$2:$A$2000,0)+1,MATCH(E$2,vdata_regressors!$A$1:$R$1,0)),"")</f>
        <v/>
      </c>
      <c r="F103" s="23" t="str">
        <f>IFERROR(INDEX(vdata_regressors!$A$1:$L$2000,MATCH($A103,vdata_regressors!$A$2:$A$2000,0)+1,MATCH(F$2,vdata_regressors!$A$1:$R$1,0)),"")</f>
        <v/>
      </c>
      <c r="G103" s="23" t="str">
        <f>IFERROR(INDEX(vdata_regressors!$A$1:$L$2000,MATCH($A103,vdata_regressors!$A$2:$A$2000,0)+1,MATCH(G$2,vdata_regressors!$A$1:$R$1,0)),"")</f>
        <v/>
      </c>
      <c r="H103" s="23" t="str">
        <f>IFERROR(INDEX(vdata_regressors!$A$1:$L$2000,MATCH($A103,vdata_regressors!$A$2:$A$2000,0)+1,MATCH(H$2,vdata_regressors!$A$1:$R$1,0)),"")</f>
        <v/>
      </c>
      <c r="I103" s="23" t="str">
        <f>IFERROR(INDEX(vdata_regressors!$A$1:$L$2000,MATCH($A103,vdata_regressors!$A$2:$A$2000,0)+1,MATCH(I$2,vdata_regressors!$A$1:$R$1,0)),"")</f>
        <v/>
      </c>
      <c r="J103" s="23" t="str">
        <f>IFERROR(INDEX(vdata_regressors!$A$1:$L$2000,MATCH($A103,vdata_regressors!$A$2:$A$2000,0)+1,MATCH(J$2,vdata_regressors!$A$1:$R$1,0)),"")</f>
        <v/>
      </c>
      <c r="K103" s="23" t="str">
        <f>IFERROR(INDEX(vdata_regressors!$A$1:$L$2000,MATCH($A103,vdata_regressors!$A$2:$A$2000,0)+1,MATCH(K$2,vdata_regressors!$A$1:$R$1,0)),"")</f>
        <v/>
      </c>
      <c r="L103" s="23" t="str">
        <f>IFERROR(INDEX(vdata_regressors!$A$1:$L$2000,MATCH($A103,vdata_regressors!$A$2:$A$2000,0)+1,MATCH(L$2,vdata_regressors!$A$1:$R$1,0)),"")</f>
        <v/>
      </c>
      <c r="M103" s="23" t="str">
        <f>IFERROR(VLOOKUP(A103,vdata_hours!$A$2:$B$1000,2,FALSE),"")</f>
        <v/>
      </c>
    </row>
    <row r="104" spans="1:13" x14ac:dyDescent="0.25">
      <c r="A104" s="23" t="str">
        <f>IF(vdata_hours!A103=0,"",vdata_hours!A103)</f>
        <v/>
      </c>
      <c r="B104" s="23" t="str">
        <f>IFERROR(INDEX(vdata_regressors!$A$1:$L$2000,MATCH($A104,vdata_regressors!$A$2:$A$2000,0)+1,MATCH(B$2,vdata_regressors!$A$1:$R$1,0)),"")</f>
        <v/>
      </c>
      <c r="C104" s="23" t="str">
        <f>IFERROR(INDEX(vdata_regressors!$A$1:$L$2000,MATCH($A104,vdata_regressors!$A$2:$A$2000,0)+1,MATCH(C$2,vdata_regressors!$A$1:$R$1,0)),"")</f>
        <v/>
      </c>
      <c r="D104" s="23" t="str">
        <f>IFERROR(INDEX(vdata_regressors!$A$1:$L$2000,MATCH($A104,vdata_regressors!$A$2:$A$2000,0)+1,MATCH(D$2,vdata_regressors!$A$1:$R$1,0)),"")</f>
        <v/>
      </c>
      <c r="E104" s="23" t="str">
        <f>IFERROR(INDEX(vdata_regressors!$A$1:$L$2000,MATCH($A104,vdata_regressors!$A$2:$A$2000,0)+1,MATCH(E$2,vdata_regressors!$A$1:$R$1,0)),"")</f>
        <v/>
      </c>
      <c r="F104" s="23" t="str">
        <f>IFERROR(INDEX(vdata_regressors!$A$1:$L$2000,MATCH($A104,vdata_regressors!$A$2:$A$2000,0)+1,MATCH(F$2,vdata_regressors!$A$1:$R$1,0)),"")</f>
        <v/>
      </c>
      <c r="G104" s="23" t="str">
        <f>IFERROR(INDEX(vdata_regressors!$A$1:$L$2000,MATCH($A104,vdata_regressors!$A$2:$A$2000,0)+1,MATCH(G$2,vdata_regressors!$A$1:$R$1,0)),"")</f>
        <v/>
      </c>
      <c r="H104" s="23" t="str">
        <f>IFERROR(INDEX(vdata_regressors!$A$1:$L$2000,MATCH($A104,vdata_regressors!$A$2:$A$2000,0)+1,MATCH(H$2,vdata_regressors!$A$1:$R$1,0)),"")</f>
        <v/>
      </c>
      <c r="I104" s="23" t="str">
        <f>IFERROR(INDEX(vdata_regressors!$A$1:$L$2000,MATCH($A104,vdata_regressors!$A$2:$A$2000,0)+1,MATCH(I$2,vdata_regressors!$A$1:$R$1,0)),"")</f>
        <v/>
      </c>
      <c r="J104" s="23" t="str">
        <f>IFERROR(INDEX(vdata_regressors!$A$1:$L$2000,MATCH($A104,vdata_regressors!$A$2:$A$2000,0)+1,MATCH(J$2,vdata_regressors!$A$1:$R$1,0)),"")</f>
        <v/>
      </c>
      <c r="K104" s="23" t="str">
        <f>IFERROR(INDEX(vdata_regressors!$A$1:$L$2000,MATCH($A104,vdata_regressors!$A$2:$A$2000,0)+1,MATCH(K$2,vdata_regressors!$A$1:$R$1,0)),"")</f>
        <v/>
      </c>
      <c r="L104" s="23" t="str">
        <f>IFERROR(INDEX(vdata_regressors!$A$1:$L$2000,MATCH($A104,vdata_regressors!$A$2:$A$2000,0)+1,MATCH(L$2,vdata_regressors!$A$1:$R$1,0)),"")</f>
        <v/>
      </c>
      <c r="M104" s="23" t="str">
        <f>IFERROR(VLOOKUP(A104,vdata_hours!$A$2:$B$1000,2,FALSE),"")</f>
        <v/>
      </c>
    </row>
    <row r="105" spans="1:13" x14ac:dyDescent="0.25">
      <c r="A105" s="23" t="str">
        <f>IF(vdata_hours!A104=0,"",vdata_hours!A104)</f>
        <v/>
      </c>
      <c r="B105" s="23" t="str">
        <f>IFERROR(INDEX(vdata_regressors!$A$1:$L$2000,MATCH($A105,vdata_regressors!$A$2:$A$2000,0)+1,MATCH(B$2,vdata_regressors!$A$1:$R$1,0)),"")</f>
        <v/>
      </c>
      <c r="C105" s="23" t="str">
        <f>IFERROR(INDEX(vdata_regressors!$A$1:$L$2000,MATCH($A105,vdata_regressors!$A$2:$A$2000,0)+1,MATCH(C$2,vdata_regressors!$A$1:$R$1,0)),"")</f>
        <v/>
      </c>
      <c r="D105" s="23" t="str">
        <f>IFERROR(INDEX(vdata_regressors!$A$1:$L$2000,MATCH($A105,vdata_regressors!$A$2:$A$2000,0)+1,MATCH(D$2,vdata_regressors!$A$1:$R$1,0)),"")</f>
        <v/>
      </c>
      <c r="E105" s="23" t="str">
        <f>IFERROR(INDEX(vdata_regressors!$A$1:$L$2000,MATCH($A105,vdata_regressors!$A$2:$A$2000,0)+1,MATCH(E$2,vdata_regressors!$A$1:$R$1,0)),"")</f>
        <v/>
      </c>
      <c r="F105" s="23" t="str">
        <f>IFERROR(INDEX(vdata_regressors!$A$1:$L$2000,MATCH($A105,vdata_regressors!$A$2:$A$2000,0)+1,MATCH(F$2,vdata_regressors!$A$1:$R$1,0)),"")</f>
        <v/>
      </c>
      <c r="G105" s="23" t="str">
        <f>IFERROR(INDEX(vdata_regressors!$A$1:$L$2000,MATCH($A105,vdata_regressors!$A$2:$A$2000,0)+1,MATCH(G$2,vdata_regressors!$A$1:$R$1,0)),"")</f>
        <v/>
      </c>
      <c r="H105" s="23" t="str">
        <f>IFERROR(INDEX(vdata_regressors!$A$1:$L$2000,MATCH($A105,vdata_regressors!$A$2:$A$2000,0)+1,MATCH(H$2,vdata_regressors!$A$1:$R$1,0)),"")</f>
        <v/>
      </c>
      <c r="I105" s="23" t="str">
        <f>IFERROR(INDEX(vdata_regressors!$A$1:$L$2000,MATCH($A105,vdata_regressors!$A$2:$A$2000,0)+1,MATCH(I$2,vdata_regressors!$A$1:$R$1,0)),"")</f>
        <v/>
      </c>
      <c r="J105" s="23" t="str">
        <f>IFERROR(INDEX(vdata_regressors!$A$1:$L$2000,MATCH($A105,vdata_regressors!$A$2:$A$2000,0)+1,MATCH(J$2,vdata_regressors!$A$1:$R$1,0)),"")</f>
        <v/>
      </c>
      <c r="K105" s="23" t="str">
        <f>IFERROR(INDEX(vdata_regressors!$A$1:$L$2000,MATCH($A105,vdata_regressors!$A$2:$A$2000,0)+1,MATCH(K$2,vdata_regressors!$A$1:$R$1,0)),"")</f>
        <v/>
      </c>
      <c r="L105" s="23" t="str">
        <f>IFERROR(INDEX(vdata_regressors!$A$1:$L$2000,MATCH($A105,vdata_regressors!$A$2:$A$2000,0)+1,MATCH(L$2,vdata_regressors!$A$1:$R$1,0)),"")</f>
        <v/>
      </c>
      <c r="M105" s="23" t="str">
        <f>IFERROR(VLOOKUP(A105,vdata_hours!$A$2:$B$1000,2,FALSE),"")</f>
        <v/>
      </c>
    </row>
    <row r="106" spans="1:13" x14ac:dyDescent="0.25">
      <c r="A106" s="23" t="str">
        <f>IF(vdata_hours!A105=0,"",vdata_hours!A105)</f>
        <v/>
      </c>
      <c r="B106" s="23" t="str">
        <f>IFERROR(INDEX(vdata_regressors!$A$1:$L$2000,MATCH($A106,vdata_regressors!$A$2:$A$2000,0)+1,MATCH(B$2,vdata_regressors!$A$1:$R$1,0)),"")</f>
        <v/>
      </c>
      <c r="C106" s="23" t="str">
        <f>IFERROR(INDEX(vdata_regressors!$A$1:$L$2000,MATCH($A106,vdata_regressors!$A$2:$A$2000,0)+1,MATCH(C$2,vdata_regressors!$A$1:$R$1,0)),"")</f>
        <v/>
      </c>
      <c r="D106" s="23" t="str">
        <f>IFERROR(INDEX(vdata_regressors!$A$1:$L$2000,MATCH($A106,vdata_regressors!$A$2:$A$2000,0)+1,MATCH(D$2,vdata_regressors!$A$1:$R$1,0)),"")</f>
        <v/>
      </c>
      <c r="E106" s="23" t="str">
        <f>IFERROR(INDEX(vdata_regressors!$A$1:$L$2000,MATCH($A106,vdata_regressors!$A$2:$A$2000,0)+1,MATCH(E$2,vdata_regressors!$A$1:$R$1,0)),"")</f>
        <v/>
      </c>
      <c r="F106" s="23" t="str">
        <f>IFERROR(INDEX(vdata_regressors!$A$1:$L$2000,MATCH($A106,vdata_regressors!$A$2:$A$2000,0)+1,MATCH(F$2,vdata_regressors!$A$1:$R$1,0)),"")</f>
        <v/>
      </c>
      <c r="G106" s="23" t="str">
        <f>IFERROR(INDEX(vdata_regressors!$A$1:$L$2000,MATCH($A106,vdata_regressors!$A$2:$A$2000,0)+1,MATCH(G$2,vdata_regressors!$A$1:$R$1,0)),"")</f>
        <v/>
      </c>
      <c r="H106" s="23" t="str">
        <f>IFERROR(INDEX(vdata_regressors!$A$1:$L$2000,MATCH($A106,vdata_regressors!$A$2:$A$2000,0)+1,MATCH(H$2,vdata_regressors!$A$1:$R$1,0)),"")</f>
        <v/>
      </c>
      <c r="I106" s="23" t="str">
        <f>IFERROR(INDEX(vdata_regressors!$A$1:$L$2000,MATCH($A106,vdata_regressors!$A$2:$A$2000,0)+1,MATCH(I$2,vdata_regressors!$A$1:$R$1,0)),"")</f>
        <v/>
      </c>
      <c r="J106" s="23" t="str">
        <f>IFERROR(INDEX(vdata_regressors!$A$1:$L$2000,MATCH($A106,vdata_regressors!$A$2:$A$2000,0)+1,MATCH(J$2,vdata_regressors!$A$1:$R$1,0)),"")</f>
        <v/>
      </c>
      <c r="K106" s="23" t="str">
        <f>IFERROR(INDEX(vdata_regressors!$A$1:$L$2000,MATCH($A106,vdata_regressors!$A$2:$A$2000,0)+1,MATCH(K$2,vdata_regressors!$A$1:$R$1,0)),"")</f>
        <v/>
      </c>
      <c r="L106" s="23" t="str">
        <f>IFERROR(INDEX(vdata_regressors!$A$1:$L$2000,MATCH($A106,vdata_regressors!$A$2:$A$2000,0)+1,MATCH(L$2,vdata_regressors!$A$1:$R$1,0)),"")</f>
        <v/>
      </c>
      <c r="M106" s="23" t="str">
        <f>IFERROR(VLOOKUP(A106,vdata_hours!$A$2:$B$1000,2,FALSE),"")</f>
        <v/>
      </c>
    </row>
    <row r="107" spans="1:13" x14ac:dyDescent="0.25">
      <c r="A107" s="23" t="str">
        <f>IF(vdata_hours!A106=0,"",vdata_hours!A106)</f>
        <v/>
      </c>
      <c r="B107" s="23" t="str">
        <f>IFERROR(INDEX(vdata_regressors!$A$1:$L$2000,MATCH($A107,vdata_regressors!$A$2:$A$2000,0)+1,MATCH(B$2,vdata_regressors!$A$1:$R$1,0)),"")</f>
        <v/>
      </c>
      <c r="C107" s="23" t="str">
        <f>IFERROR(INDEX(vdata_regressors!$A$1:$L$2000,MATCH($A107,vdata_regressors!$A$2:$A$2000,0)+1,MATCH(C$2,vdata_regressors!$A$1:$R$1,0)),"")</f>
        <v/>
      </c>
      <c r="D107" s="23" t="str">
        <f>IFERROR(INDEX(vdata_regressors!$A$1:$L$2000,MATCH($A107,vdata_regressors!$A$2:$A$2000,0)+1,MATCH(D$2,vdata_regressors!$A$1:$R$1,0)),"")</f>
        <v/>
      </c>
      <c r="E107" s="23" t="str">
        <f>IFERROR(INDEX(vdata_regressors!$A$1:$L$2000,MATCH($A107,vdata_regressors!$A$2:$A$2000,0)+1,MATCH(E$2,vdata_regressors!$A$1:$R$1,0)),"")</f>
        <v/>
      </c>
      <c r="F107" s="23" t="str">
        <f>IFERROR(INDEX(vdata_regressors!$A$1:$L$2000,MATCH($A107,vdata_regressors!$A$2:$A$2000,0)+1,MATCH(F$2,vdata_regressors!$A$1:$R$1,0)),"")</f>
        <v/>
      </c>
      <c r="G107" s="23" t="str">
        <f>IFERROR(INDEX(vdata_regressors!$A$1:$L$2000,MATCH($A107,vdata_regressors!$A$2:$A$2000,0)+1,MATCH(G$2,vdata_regressors!$A$1:$R$1,0)),"")</f>
        <v/>
      </c>
      <c r="H107" s="23" t="str">
        <f>IFERROR(INDEX(vdata_regressors!$A$1:$L$2000,MATCH($A107,vdata_regressors!$A$2:$A$2000,0)+1,MATCH(H$2,vdata_regressors!$A$1:$R$1,0)),"")</f>
        <v/>
      </c>
      <c r="I107" s="23" t="str">
        <f>IFERROR(INDEX(vdata_regressors!$A$1:$L$2000,MATCH($A107,vdata_regressors!$A$2:$A$2000,0)+1,MATCH(I$2,vdata_regressors!$A$1:$R$1,0)),"")</f>
        <v/>
      </c>
      <c r="J107" s="23" t="str">
        <f>IFERROR(INDEX(vdata_regressors!$A$1:$L$2000,MATCH($A107,vdata_regressors!$A$2:$A$2000,0)+1,MATCH(J$2,vdata_regressors!$A$1:$R$1,0)),"")</f>
        <v/>
      </c>
      <c r="K107" s="23" t="str">
        <f>IFERROR(INDEX(vdata_regressors!$A$1:$L$2000,MATCH($A107,vdata_regressors!$A$2:$A$2000,0)+1,MATCH(K$2,vdata_regressors!$A$1:$R$1,0)),"")</f>
        <v/>
      </c>
      <c r="L107" s="23" t="str">
        <f>IFERROR(INDEX(vdata_regressors!$A$1:$L$2000,MATCH($A107,vdata_regressors!$A$2:$A$2000,0)+1,MATCH(L$2,vdata_regressors!$A$1:$R$1,0)),"")</f>
        <v/>
      </c>
      <c r="M107" s="23" t="str">
        <f>IFERROR(VLOOKUP(A107,vdata_hours!$A$2:$B$1000,2,FALSE),"")</f>
        <v/>
      </c>
    </row>
    <row r="108" spans="1:13" x14ac:dyDescent="0.25">
      <c r="A108" s="23" t="str">
        <f>IF(vdata_hours!A107=0,"",vdata_hours!A107)</f>
        <v/>
      </c>
      <c r="B108" s="23" t="str">
        <f>IFERROR(INDEX(vdata_regressors!$A$1:$L$2000,MATCH($A108,vdata_regressors!$A$2:$A$2000,0)+1,MATCH(B$2,vdata_regressors!$A$1:$R$1,0)),"")</f>
        <v/>
      </c>
      <c r="C108" s="23" t="str">
        <f>IFERROR(INDEX(vdata_regressors!$A$1:$L$2000,MATCH($A108,vdata_regressors!$A$2:$A$2000,0)+1,MATCH(C$2,vdata_regressors!$A$1:$R$1,0)),"")</f>
        <v/>
      </c>
      <c r="D108" s="23" t="str">
        <f>IFERROR(INDEX(vdata_regressors!$A$1:$L$2000,MATCH($A108,vdata_regressors!$A$2:$A$2000,0)+1,MATCH(D$2,vdata_regressors!$A$1:$R$1,0)),"")</f>
        <v/>
      </c>
      <c r="E108" s="23" t="str">
        <f>IFERROR(INDEX(vdata_regressors!$A$1:$L$2000,MATCH($A108,vdata_regressors!$A$2:$A$2000,0)+1,MATCH(E$2,vdata_regressors!$A$1:$R$1,0)),"")</f>
        <v/>
      </c>
      <c r="F108" s="23" t="str">
        <f>IFERROR(INDEX(vdata_regressors!$A$1:$L$2000,MATCH($A108,vdata_regressors!$A$2:$A$2000,0)+1,MATCH(F$2,vdata_regressors!$A$1:$R$1,0)),"")</f>
        <v/>
      </c>
      <c r="G108" s="23" t="str">
        <f>IFERROR(INDEX(vdata_regressors!$A$1:$L$2000,MATCH($A108,vdata_regressors!$A$2:$A$2000,0)+1,MATCH(G$2,vdata_regressors!$A$1:$R$1,0)),"")</f>
        <v/>
      </c>
      <c r="H108" s="23" t="str">
        <f>IFERROR(INDEX(vdata_regressors!$A$1:$L$2000,MATCH($A108,vdata_regressors!$A$2:$A$2000,0)+1,MATCH(H$2,vdata_regressors!$A$1:$R$1,0)),"")</f>
        <v/>
      </c>
      <c r="I108" s="23" t="str">
        <f>IFERROR(INDEX(vdata_regressors!$A$1:$L$2000,MATCH($A108,vdata_regressors!$A$2:$A$2000,0)+1,MATCH(I$2,vdata_regressors!$A$1:$R$1,0)),"")</f>
        <v/>
      </c>
      <c r="J108" s="23" t="str">
        <f>IFERROR(INDEX(vdata_regressors!$A$1:$L$2000,MATCH($A108,vdata_regressors!$A$2:$A$2000,0)+1,MATCH(J$2,vdata_regressors!$A$1:$R$1,0)),"")</f>
        <v/>
      </c>
      <c r="K108" s="23" t="str">
        <f>IFERROR(INDEX(vdata_regressors!$A$1:$L$2000,MATCH($A108,vdata_regressors!$A$2:$A$2000,0)+1,MATCH(K$2,vdata_regressors!$A$1:$R$1,0)),"")</f>
        <v/>
      </c>
      <c r="L108" s="23" t="str">
        <f>IFERROR(INDEX(vdata_regressors!$A$1:$L$2000,MATCH($A108,vdata_regressors!$A$2:$A$2000,0)+1,MATCH(L$2,vdata_regressors!$A$1:$R$1,0)),"")</f>
        <v/>
      </c>
      <c r="M108" s="23" t="str">
        <f>IFERROR(VLOOKUP(A108,vdata_hours!$A$2:$B$1000,2,FALSE),"")</f>
        <v/>
      </c>
    </row>
    <row r="109" spans="1:13" x14ac:dyDescent="0.25">
      <c r="A109" s="23" t="str">
        <f>IF(vdata_hours!A108=0,"",vdata_hours!A108)</f>
        <v/>
      </c>
      <c r="B109" s="23" t="str">
        <f>IFERROR(INDEX(vdata_regressors!$A$1:$L$2000,MATCH($A109,vdata_regressors!$A$2:$A$2000,0)+1,MATCH(B$2,vdata_regressors!$A$1:$R$1,0)),"")</f>
        <v/>
      </c>
      <c r="C109" s="23" t="str">
        <f>IFERROR(INDEX(vdata_regressors!$A$1:$L$2000,MATCH($A109,vdata_regressors!$A$2:$A$2000,0)+1,MATCH(C$2,vdata_regressors!$A$1:$R$1,0)),"")</f>
        <v/>
      </c>
      <c r="D109" s="23" t="str">
        <f>IFERROR(INDEX(vdata_regressors!$A$1:$L$2000,MATCH($A109,vdata_regressors!$A$2:$A$2000,0)+1,MATCH(D$2,vdata_regressors!$A$1:$R$1,0)),"")</f>
        <v/>
      </c>
      <c r="E109" s="23" t="str">
        <f>IFERROR(INDEX(vdata_regressors!$A$1:$L$2000,MATCH($A109,vdata_regressors!$A$2:$A$2000,0)+1,MATCH(E$2,vdata_regressors!$A$1:$R$1,0)),"")</f>
        <v/>
      </c>
      <c r="F109" s="23" t="str">
        <f>IFERROR(INDEX(vdata_regressors!$A$1:$L$2000,MATCH($A109,vdata_regressors!$A$2:$A$2000,0)+1,MATCH(F$2,vdata_regressors!$A$1:$R$1,0)),"")</f>
        <v/>
      </c>
      <c r="G109" s="23" t="str">
        <f>IFERROR(INDEX(vdata_regressors!$A$1:$L$2000,MATCH($A109,vdata_regressors!$A$2:$A$2000,0)+1,MATCH(G$2,vdata_regressors!$A$1:$R$1,0)),"")</f>
        <v/>
      </c>
      <c r="H109" s="23" t="str">
        <f>IFERROR(INDEX(vdata_regressors!$A$1:$L$2000,MATCH($A109,vdata_regressors!$A$2:$A$2000,0)+1,MATCH(H$2,vdata_regressors!$A$1:$R$1,0)),"")</f>
        <v/>
      </c>
      <c r="I109" s="23" t="str">
        <f>IFERROR(INDEX(vdata_regressors!$A$1:$L$2000,MATCH($A109,vdata_regressors!$A$2:$A$2000,0)+1,MATCH(I$2,vdata_regressors!$A$1:$R$1,0)),"")</f>
        <v/>
      </c>
      <c r="J109" s="23" t="str">
        <f>IFERROR(INDEX(vdata_regressors!$A$1:$L$2000,MATCH($A109,vdata_regressors!$A$2:$A$2000,0)+1,MATCH(J$2,vdata_regressors!$A$1:$R$1,0)),"")</f>
        <v/>
      </c>
      <c r="K109" s="23" t="str">
        <f>IFERROR(INDEX(vdata_regressors!$A$1:$L$2000,MATCH($A109,vdata_regressors!$A$2:$A$2000,0)+1,MATCH(K$2,vdata_regressors!$A$1:$R$1,0)),"")</f>
        <v/>
      </c>
      <c r="L109" s="23" t="str">
        <f>IFERROR(INDEX(vdata_regressors!$A$1:$L$2000,MATCH($A109,vdata_regressors!$A$2:$A$2000,0)+1,MATCH(L$2,vdata_regressors!$A$1:$R$1,0)),"")</f>
        <v/>
      </c>
      <c r="M109" s="23" t="str">
        <f>IFERROR(VLOOKUP(A109,vdata_hours!$A$2:$B$1000,2,FALSE),"")</f>
        <v/>
      </c>
    </row>
    <row r="110" spans="1:13" x14ac:dyDescent="0.25">
      <c r="A110" s="23" t="str">
        <f>IF(vdata_hours!A109=0,"",vdata_hours!A109)</f>
        <v/>
      </c>
      <c r="B110" s="23" t="str">
        <f>IFERROR(INDEX(vdata_regressors!$A$1:$L$2000,MATCH($A110,vdata_regressors!$A$2:$A$2000,0)+1,MATCH(B$2,vdata_regressors!$A$1:$R$1,0)),"")</f>
        <v/>
      </c>
      <c r="C110" s="23" t="str">
        <f>IFERROR(INDEX(vdata_regressors!$A$1:$L$2000,MATCH($A110,vdata_regressors!$A$2:$A$2000,0)+1,MATCH(C$2,vdata_regressors!$A$1:$R$1,0)),"")</f>
        <v/>
      </c>
      <c r="D110" s="23" t="str">
        <f>IFERROR(INDEX(vdata_regressors!$A$1:$L$2000,MATCH($A110,vdata_regressors!$A$2:$A$2000,0)+1,MATCH(D$2,vdata_regressors!$A$1:$R$1,0)),"")</f>
        <v/>
      </c>
      <c r="E110" s="23" t="str">
        <f>IFERROR(INDEX(vdata_regressors!$A$1:$L$2000,MATCH($A110,vdata_regressors!$A$2:$A$2000,0)+1,MATCH(E$2,vdata_regressors!$A$1:$R$1,0)),"")</f>
        <v/>
      </c>
      <c r="F110" s="23" t="str">
        <f>IFERROR(INDEX(vdata_regressors!$A$1:$L$2000,MATCH($A110,vdata_regressors!$A$2:$A$2000,0)+1,MATCH(F$2,vdata_regressors!$A$1:$R$1,0)),"")</f>
        <v/>
      </c>
      <c r="G110" s="23" t="str">
        <f>IFERROR(INDEX(vdata_regressors!$A$1:$L$2000,MATCH($A110,vdata_regressors!$A$2:$A$2000,0)+1,MATCH(G$2,vdata_regressors!$A$1:$R$1,0)),"")</f>
        <v/>
      </c>
      <c r="H110" s="23" t="str">
        <f>IFERROR(INDEX(vdata_regressors!$A$1:$L$2000,MATCH($A110,vdata_regressors!$A$2:$A$2000,0)+1,MATCH(H$2,vdata_regressors!$A$1:$R$1,0)),"")</f>
        <v/>
      </c>
      <c r="I110" s="23" t="str">
        <f>IFERROR(INDEX(vdata_regressors!$A$1:$L$2000,MATCH($A110,vdata_regressors!$A$2:$A$2000,0)+1,MATCH(I$2,vdata_regressors!$A$1:$R$1,0)),"")</f>
        <v/>
      </c>
      <c r="J110" s="23" t="str">
        <f>IFERROR(INDEX(vdata_regressors!$A$1:$L$2000,MATCH($A110,vdata_regressors!$A$2:$A$2000,0)+1,MATCH(J$2,vdata_regressors!$A$1:$R$1,0)),"")</f>
        <v/>
      </c>
      <c r="K110" s="23" t="str">
        <f>IFERROR(INDEX(vdata_regressors!$A$1:$L$2000,MATCH($A110,vdata_regressors!$A$2:$A$2000,0)+1,MATCH(K$2,vdata_regressors!$A$1:$R$1,0)),"")</f>
        <v/>
      </c>
      <c r="L110" s="23" t="str">
        <f>IFERROR(INDEX(vdata_regressors!$A$1:$L$2000,MATCH($A110,vdata_regressors!$A$2:$A$2000,0)+1,MATCH(L$2,vdata_regressors!$A$1:$R$1,0)),"")</f>
        <v/>
      </c>
      <c r="M110" s="23" t="str">
        <f>IFERROR(VLOOKUP(A110,vdata_hours!$A$2:$B$1000,2,FALSE),"")</f>
        <v/>
      </c>
    </row>
    <row r="111" spans="1:13" x14ac:dyDescent="0.25">
      <c r="A111" s="23" t="str">
        <f>IF(vdata_hours!A110=0,"",vdata_hours!A110)</f>
        <v/>
      </c>
      <c r="B111" s="23" t="str">
        <f>IFERROR(INDEX(vdata_regressors!$A$1:$L$2000,MATCH($A111,vdata_regressors!$A$2:$A$2000,0)+1,MATCH(B$2,vdata_regressors!$A$1:$R$1,0)),"")</f>
        <v/>
      </c>
      <c r="C111" s="23" t="str">
        <f>IFERROR(INDEX(vdata_regressors!$A$1:$L$2000,MATCH($A111,vdata_regressors!$A$2:$A$2000,0)+1,MATCH(C$2,vdata_regressors!$A$1:$R$1,0)),"")</f>
        <v/>
      </c>
      <c r="D111" s="23" t="str">
        <f>IFERROR(INDEX(vdata_regressors!$A$1:$L$2000,MATCH($A111,vdata_regressors!$A$2:$A$2000,0)+1,MATCH(D$2,vdata_regressors!$A$1:$R$1,0)),"")</f>
        <v/>
      </c>
      <c r="E111" s="23" t="str">
        <f>IFERROR(INDEX(vdata_regressors!$A$1:$L$2000,MATCH($A111,vdata_regressors!$A$2:$A$2000,0)+1,MATCH(E$2,vdata_regressors!$A$1:$R$1,0)),"")</f>
        <v/>
      </c>
      <c r="F111" s="23" t="str">
        <f>IFERROR(INDEX(vdata_regressors!$A$1:$L$2000,MATCH($A111,vdata_regressors!$A$2:$A$2000,0)+1,MATCH(F$2,vdata_regressors!$A$1:$R$1,0)),"")</f>
        <v/>
      </c>
      <c r="G111" s="23" t="str">
        <f>IFERROR(INDEX(vdata_regressors!$A$1:$L$2000,MATCH($A111,vdata_regressors!$A$2:$A$2000,0)+1,MATCH(G$2,vdata_regressors!$A$1:$R$1,0)),"")</f>
        <v/>
      </c>
      <c r="H111" s="23" t="str">
        <f>IFERROR(INDEX(vdata_regressors!$A$1:$L$2000,MATCH($A111,vdata_regressors!$A$2:$A$2000,0)+1,MATCH(H$2,vdata_regressors!$A$1:$R$1,0)),"")</f>
        <v/>
      </c>
      <c r="I111" s="23" t="str">
        <f>IFERROR(INDEX(vdata_regressors!$A$1:$L$2000,MATCH($A111,vdata_regressors!$A$2:$A$2000,0)+1,MATCH(I$2,vdata_regressors!$A$1:$R$1,0)),"")</f>
        <v/>
      </c>
      <c r="J111" s="23" t="str">
        <f>IFERROR(INDEX(vdata_regressors!$A$1:$L$2000,MATCH($A111,vdata_regressors!$A$2:$A$2000,0)+1,MATCH(J$2,vdata_regressors!$A$1:$R$1,0)),"")</f>
        <v/>
      </c>
      <c r="K111" s="23" t="str">
        <f>IFERROR(INDEX(vdata_regressors!$A$1:$L$2000,MATCH($A111,vdata_regressors!$A$2:$A$2000,0)+1,MATCH(K$2,vdata_regressors!$A$1:$R$1,0)),"")</f>
        <v/>
      </c>
      <c r="L111" s="23" t="str">
        <f>IFERROR(INDEX(vdata_regressors!$A$1:$L$2000,MATCH($A111,vdata_regressors!$A$2:$A$2000,0)+1,MATCH(L$2,vdata_regressors!$A$1:$R$1,0)),"")</f>
        <v/>
      </c>
      <c r="M111" s="23" t="str">
        <f>IFERROR(VLOOKUP(A111,vdata_hours!$A$2:$B$1000,2,FALSE),"")</f>
        <v/>
      </c>
    </row>
    <row r="112" spans="1:13" x14ac:dyDescent="0.25">
      <c r="A112" s="23" t="str">
        <f>IF(vdata_hours!A111=0,"",vdata_hours!A111)</f>
        <v/>
      </c>
      <c r="B112" s="23" t="str">
        <f>IFERROR(INDEX(vdata_regressors!$A$1:$L$2000,MATCH($A112,vdata_regressors!$A$2:$A$2000,0)+1,MATCH(B$2,vdata_regressors!$A$1:$R$1,0)),"")</f>
        <v/>
      </c>
      <c r="C112" s="23" t="str">
        <f>IFERROR(INDEX(vdata_regressors!$A$1:$L$2000,MATCH($A112,vdata_regressors!$A$2:$A$2000,0)+1,MATCH(C$2,vdata_regressors!$A$1:$R$1,0)),"")</f>
        <v/>
      </c>
      <c r="D112" s="23" t="str">
        <f>IFERROR(INDEX(vdata_regressors!$A$1:$L$2000,MATCH($A112,vdata_regressors!$A$2:$A$2000,0)+1,MATCH(D$2,vdata_regressors!$A$1:$R$1,0)),"")</f>
        <v/>
      </c>
      <c r="E112" s="23" t="str">
        <f>IFERROR(INDEX(vdata_regressors!$A$1:$L$2000,MATCH($A112,vdata_regressors!$A$2:$A$2000,0)+1,MATCH(E$2,vdata_regressors!$A$1:$R$1,0)),"")</f>
        <v/>
      </c>
      <c r="F112" s="23" t="str">
        <f>IFERROR(INDEX(vdata_regressors!$A$1:$L$2000,MATCH($A112,vdata_regressors!$A$2:$A$2000,0)+1,MATCH(F$2,vdata_regressors!$A$1:$R$1,0)),"")</f>
        <v/>
      </c>
      <c r="G112" s="23" t="str">
        <f>IFERROR(INDEX(vdata_regressors!$A$1:$L$2000,MATCH($A112,vdata_regressors!$A$2:$A$2000,0)+1,MATCH(G$2,vdata_regressors!$A$1:$R$1,0)),"")</f>
        <v/>
      </c>
      <c r="H112" s="23" t="str">
        <f>IFERROR(INDEX(vdata_regressors!$A$1:$L$2000,MATCH($A112,vdata_regressors!$A$2:$A$2000,0)+1,MATCH(H$2,vdata_regressors!$A$1:$R$1,0)),"")</f>
        <v/>
      </c>
      <c r="I112" s="23" t="str">
        <f>IFERROR(INDEX(vdata_regressors!$A$1:$L$2000,MATCH($A112,vdata_regressors!$A$2:$A$2000,0)+1,MATCH(I$2,vdata_regressors!$A$1:$R$1,0)),"")</f>
        <v/>
      </c>
      <c r="J112" s="23" t="str">
        <f>IFERROR(INDEX(vdata_regressors!$A$1:$L$2000,MATCH($A112,vdata_regressors!$A$2:$A$2000,0)+1,MATCH(J$2,vdata_regressors!$A$1:$R$1,0)),"")</f>
        <v/>
      </c>
      <c r="K112" s="23" t="str">
        <f>IFERROR(INDEX(vdata_regressors!$A$1:$L$2000,MATCH($A112,vdata_regressors!$A$2:$A$2000,0)+1,MATCH(K$2,vdata_regressors!$A$1:$R$1,0)),"")</f>
        <v/>
      </c>
      <c r="L112" s="23" t="str">
        <f>IFERROR(INDEX(vdata_regressors!$A$1:$L$2000,MATCH($A112,vdata_regressors!$A$2:$A$2000,0)+1,MATCH(L$2,vdata_regressors!$A$1:$R$1,0)),"")</f>
        <v/>
      </c>
      <c r="M112" s="23" t="str">
        <f>IFERROR(VLOOKUP(A112,vdata_hours!$A$2:$B$1000,2,FALSE),"")</f>
        <v/>
      </c>
    </row>
    <row r="113" spans="1:13" x14ac:dyDescent="0.25">
      <c r="A113" s="23" t="str">
        <f>IF(vdata_hours!A112=0,"",vdata_hours!A112)</f>
        <v/>
      </c>
      <c r="B113" s="23" t="str">
        <f>IFERROR(INDEX(vdata_regressors!$A$1:$L$2000,MATCH($A113,vdata_regressors!$A$2:$A$2000,0)+1,MATCH(B$2,vdata_regressors!$A$1:$R$1,0)),"")</f>
        <v/>
      </c>
      <c r="C113" s="23" t="str">
        <f>IFERROR(INDEX(vdata_regressors!$A$1:$L$2000,MATCH($A113,vdata_regressors!$A$2:$A$2000,0)+1,MATCH(C$2,vdata_regressors!$A$1:$R$1,0)),"")</f>
        <v/>
      </c>
      <c r="D113" s="23" t="str">
        <f>IFERROR(INDEX(vdata_regressors!$A$1:$L$2000,MATCH($A113,vdata_regressors!$A$2:$A$2000,0)+1,MATCH(D$2,vdata_regressors!$A$1:$R$1,0)),"")</f>
        <v/>
      </c>
      <c r="E113" s="23" t="str">
        <f>IFERROR(INDEX(vdata_regressors!$A$1:$L$2000,MATCH($A113,vdata_regressors!$A$2:$A$2000,0)+1,MATCH(E$2,vdata_regressors!$A$1:$R$1,0)),"")</f>
        <v/>
      </c>
      <c r="F113" s="23" t="str">
        <f>IFERROR(INDEX(vdata_regressors!$A$1:$L$2000,MATCH($A113,vdata_regressors!$A$2:$A$2000,0)+1,MATCH(F$2,vdata_regressors!$A$1:$R$1,0)),"")</f>
        <v/>
      </c>
      <c r="G113" s="23" t="str">
        <f>IFERROR(INDEX(vdata_regressors!$A$1:$L$2000,MATCH($A113,vdata_regressors!$A$2:$A$2000,0)+1,MATCH(G$2,vdata_regressors!$A$1:$R$1,0)),"")</f>
        <v/>
      </c>
      <c r="H113" s="23" t="str">
        <f>IFERROR(INDEX(vdata_regressors!$A$1:$L$2000,MATCH($A113,vdata_regressors!$A$2:$A$2000,0)+1,MATCH(H$2,vdata_regressors!$A$1:$R$1,0)),"")</f>
        <v/>
      </c>
      <c r="I113" s="23" t="str">
        <f>IFERROR(INDEX(vdata_regressors!$A$1:$L$2000,MATCH($A113,vdata_regressors!$A$2:$A$2000,0)+1,MATCH(I$2,vdata_regressors!$A$1:$R$1,0)),"")</f>
        <v/>
      </c>
      <c r="J113" s="23" t="str">
        <f>IFERROR(INDEX(vdata_regressors!$A$1:$L$2000,MATCH($A113,vdata_regressors!$A$2:$A$2000,0)+1,MATCH(J$2,vdata_regressors!$A$1:$R$1,0)),"")</f>
        <v/>
      </c>
      <c r="K113" s="23" t="str">
        <f>IFERROR(INDEX(vdata_regressors!$A$1:$L$2000,MATCH($A113,vdata_regressors!$A$2:$A$2000,0)+1,MATCH(K$2,vdata_regressors!$A$1:$R$1,0)),"")</f>
        <v/>
      </c>
      <c r="L113" s="23" t="str">
        <f>IFERROR(INDEX(vdata_regressors!$A$1:$L$2000,MATCH($A113,vdata_regressors!$A$2:$A$2000,0)+1,MATCH(L$2,vdata_regressors!$A$1:$R$1,0)),"")</f>
        <v/>
      </c>
      <c r="M113" s="23" t="str">
        <f>IFERROR(VLOOKUP(A113,vdata_hours!$A$2:$B$1000,2,FALSE),"")</f>
        <v/>
      </c>
    </row>
    <row r="114" spans="1:13" x14ac:dyDescent="0.25">
      <c r="A114" s="23" t="str">
        <f>IF(vdata_hours!A113=0,"",vdata_hours!A113)</f>
        <v/>
      </c>
      <c r="B114" s="23" t="str">
        <f>IFERROR(INDEX(vdata_regressors!$A$1:$L$2000,MATCH($A114,vdata_regressors!$A$2:$A$2000,0)+1,MATCH(B$2,vdata_regressors!$A$1:$R$1,0)),"")</f>
        <v/>
      </c>
      <c r="C114" s="23" t="str">
        <f>IFERROR(INDEX(vdata_regressors!$A$1:$L$2000,MATCH($A114,vdata_regressors!$A$2:$A$2000,0)+1,MATCH(C$2,vdata_regressors!$A$1:$R$1,0)),"")</f>
        <v/>
      </c>
      <c r="D114" s="23" t="str">
        <f>IFERROR(INDEX(vdata_regressors!$A$1:$L$2000,MATCH($A114,vdata_regressors!$A$2:$A$2000,0)+1,MATCH(D$2,vdata_regressors!$A$1:$R$1,0)),"")</f>
        <v/>
      </c>
      <c r="E114" s="23" t="str">
        <f>IFERROR(INDEX(vdata_regressors!$A$1:$L$2000,MATCH($A114,vdata_regressors!$A$2:$A$2000,0)+1,MATCH(E$2,vdata_regressors!$A$1:$R$1,0)),"")</f>
        <v/>
      </c>
      <c r="F114" s="23" t="str">
        <f>IFERROR(INDEX(vdata_regressors!$A$1:$L$2000,MATCH($A114,vdata_regressors!$A$2:$A$2000,0)+1,MATCH(F$2,vdata_regressors!$A$1:$R$1,0)),"")</f>
        <v/>
      </c>
      <c r="G114" s="23" t="str">
        <f>IFERROR(INDEX(vdata_regressors!$A$1:$L$2000,MATCH($A114,vdata_regressors!$A$2:$A$2000,0)+1,MATCH(G$2,vdata_regressors!$A$1:$R$1,0)),"")</f>
        <v/>
      </c>
      <c r="H114" s="23" t="str">
        <f>IFERROR(INDEX(vdata_regressors!$A$1:$L$2000,MATCH($A114,vdata_regressors!$A$2:$A$2000,0)+1,MATCH(H$2,vdata_regressors!$A$1:$R$1,0)),"")</f>
        <v/>
      </c>
      <c r="I114" s="23" t="str">
        <f>IFERROR(INDEX(vdata_regressors!$A$1:$L$2000,MATCH($A114,vdata_regressors!$A$2:$A$2000,0)+1,MATCH(I$2,vdata_regressors!$A$1:$R$1,0)),"")</f>
        <v/>
      </c>
      <c r="J114" s="23" t="str">
        <f>IFERROR(INDEX(vdata_regressors!$A$1:$L$2000,MATCH($A114,vdata_regressors!$A$2:$A$2000,0)+1,MATCH(J$2,vdata_regressors!$A$1:$R$1,0)),"")</f>
        <v/>
      </c>
      <c r="K114" s="23" t="str">
        <f>IFERROR(INDEX(vdata_regressors!$A$1:$L$2000,MATCH($A114,vdata_regressors!$A$2:$A$2000,0)+1,MATCH(K$2,vdata_regressors!$A$1:$R$1,0)),"")</f>
        <v/>
      </c>
      <c r="L114" s="23" t="str">
        <f>IFERROR(INDEX(vdata_regressors!$A$1:$L$2000,MATCH($A114,vdata_regressors!$A$2:$A$2000,0)+1,MATCH(L$2,vdata_regressors!$A$1:$R$1,0)),"")</f>
        <v/>
      </c>
      <c r="M114" s="23" t="str">
        <f>IFERROR(VLOOKUP(A114,vdata_hours!$A$2:$B$1000,2,FALSE),"")</f>
        <v/>
      </c>
    </row>
    <row r="115" spans="1:13" x14ac:dyDescent="0.25">
      <c r="A115" s="23" t="str">
        <f>IF(vdata_hours!A114=0,"",vdata_hours!A114)</f>
        <v/>
      </c>
      <c r="B115" s="23" t="str">
        <f>IFERROR(INDEX(vdata_regressors!$A$1:$L$2000,MATCH($A115,vdata_regressors!$A$2:$A$2000,0)+1,MATCH(B$2,vdata_regressors!$A$1:$R$1,0)),"")</f>
        <v/>
      </c>
      <c r="C115" s="23" t="str">
        <f>IFERROR(INDEX(vdata_regressors!$A$1:$L$2000,MATCH($A115,vdata_regressors!$A$2:$A$2000,0)+1,MATCH(C$2,vdata_regressors!$A$1:$R$1,0)),"")</f>
        <v/>
      </c>
      <c r="D115" s="23" t="str">
        <f>IFERROR(INDEX(vdata_regressors!$A$1:$L$2000,MATCH($A115,vdata_regressors!$A$2:$A$2000,0)+1,MATCH(D$2,vdata_regressors!$A$1:$R$1,0)),"")</f>
        <v/>
      </c>
      <c r="E115" s="23" t="str">
        <f>IFERROR(INDEX(vdata_regressors!$A$1:$L$2000,MATCH($A115,vdata_regressors!$A$2:$A$2000,0)+1,MATCH(E$2,vdata_regressors!$A$1:$R$1,0)),"")</f>
        <v/>
      </c>
      <c r="F115" s="23" t="str">
        <f>IFERROR(INDEX(vdata_regressors!$A$1:$L$2000,MATCH($A115,vdata_regressors!$A$2:$A$2000,0)+1,MATCH(F$2,vdata_regressors!$A$1:$R$1,0)),"")</f>
        <v/>
      </c>
      <c r="G115" s="23" t="str">
        <f>IFERROR(INDEX(vdata_regressors!$A$1:$L$2000,MATCH($A115,vdata_regressors!$A$2:$A$2000,0)+1,MATCH(G$2,vdata_regressors!$A$1:$R$1,0)),"")</f>
        <v/>
      </c>
      <c r="H115" s="23" t="str">
        <f>IFERROR(INDEX(vdata_regressors!$A$1:$L$2000,MATCH($A115,vdata_regressors!$A$2:$A$2000,0)+1,MATCH(H$2,vdata_regressors!$A$1:$R$1,0)),"")</f>
        <v/>
      </c>
      <c r="I115" s="23" t="str">
        <f>IFERROR(INDEX(vdata_regressors!$A$1:$L$2000,MATCH($A115,vdata_regressors!$A$2:$A$2000,0)+1,MATCH(I$2,vdata_regressors!$A$1:$R$1,0)),"")</f>
        <v/>
      </c>
      <c r="J115" s="23" t="str">
        <f>IFERROR(INDEX(vdata_regressors!$A$1:$L$2000,MATCH($A115,vdata_regressors!$A$2:$A$2000,0)+1,MATCH(J$2,vdata_regressors!$A$1:$R$1,0)),"")</f>
        <v/>
      </c>
      <c r="K115" s="23" t="str">
        <f>IFERROR(INDEX(vdata_regressors!$A$1:$L$2000,MATCH($A115,vdata_regressors!$A$2:$A$2000,0)+1,MATCH(K$2,vdata_regressors!$A$1:$R$1,0)),"")</f>
        <v/>
      </c>
      <c r="L115" s="23" t="str">
        <f>IFERROR(INDEX(vdata_regressors!$A$1:$L$2000,MATCH($A115,vdata_regressors!$A$2:$A$2000,0)+1,MATCH(L$2,vdata_regressors!$A$1:$R$1,0)),"")</f>
        <v/>
      </c>
      <c r="M115" s="23" t="str">
        <f>IFERROR(VLOOKUP(A115,vdata_hours!$A$2:$B$1000,2,FALSE),"")</f>
        <v/>
      </c>
    </row>
    <row r="116" spans="1:13" x14ac:dyDescent="0.25">
      <c r="A116" s="23" t="str">
        <f>IF(vdata_hours!A115=0,"",vdata_hours!A115)</f>
        <v/>
      </c>
      <c r="B116" s="23" t="str">
        <f>IFERROR(INDEX(vdata_regressors!$A$1:$L$2000,MATCH($A116,vdata_regressors!$A$2:$A$2000,0)+1,MATCH(B$2,vdata_regressors!$A$1:$R$1,0)),"")</f>
        <v/>
      </c>
      <c r="C116" s="23" t="str">
        <f>IFERROR(INDEX(vdata_regressors!$A$1:$L$2000,MATCH($A116,vdata_regressors!$A$2:$A$2000,0)+1,MATCH(C$2,vdata_regressors!$A$1:$R$1,0)),"")</f>
        <v/>
      </c>
      <c r="D116" s="23" t="str">
        <f>IFERROR(INDEX(vdata_regressors!$A$1:$L$2000,MATCH($A116,vdata_regressors!$A$2:$A$2000,0)+1,MATCH(D$2,vdata_regressors!$A$1:$R$1,0)),"")</f>
        <v/>
      </c>
      <c r="E116" s="23" t="str">
        <f>IFERROR(INDEX(vdata_regressors!$A$1:$L$2000,MATCH($A116,vdata_regressors!$A$2:$A$2000,0)+1,MATCH(E$2,vdata_regressors!$A$1:$R$1,0)),"")</f>
        <v/>
      </c>
      <c r="F116" s="23" t="str">
        <f>IFERROR(INDEX(vdata_regressors!$A$1:$L$2000,MATCH($A116,vdata_regressors!$A$2:$A$2000,0)+1,MATCH(F$2,vdata_regressors!$A$1:$R$1,0)),"")</f>
        <v/>
      </c>
      <c r="G116" s="23" t="str">
        <f>IFERROR(INDEX(vdata_regressors!$A$1:$L$2000,MATCH($A116,vdata_regressors!$A$2:$A$2000,0)+1,MATCH(G$2,vdata_regressors!$A$1:$R$1,0)),"")</f>
        <v/>
      </c>
      <c r="H116" s="23" t="str">
        <f>IFERROR(INDEX(vdata_regressors!$A$1:$L$2000,MATCH($A116,vdata_regressors!$A$2:$A$2000,0)+1,MATCH(H$2,vdata_regressors!$A$1:$R$1,0)),"")</f>
        <v/>
      </c>
      <c r="I116" s="23" t="str">
        <f>IFERROR(INDEX(vdata_regressors!$A$1:$L$2000,MATCH($A116,vdata_regressors!$A$2:$A$2000,0)+1,MATCH(I$2,vdata_regressors!$A$1:$R$1,0)),"")</f>
        <v/>
      </c>
      <c r="J116" s="23" t="str">
        <f>IFERROR(INDEX(vdata_regressors!$A$1:$L$2000,MATCH($A116,vdata_regressors!$A$2:$A$2000,0)+1,MATCH(J$2,vdata_regressors!$A$1:$R$1,0)),"")</f>
        <v/>
      </c>
      <c r="K116" s="23" t="str">
        <f>IFERROR(INDEX(vdata_regressors!$A$1:$L$2000,MATCH($A116,vdata_regressors!$A$2:$A$2000,0)+1,MATCH(K$2,vdata_regressors!$A$1:$R$1,0)),"")</f>
        <v/>
      </c>
      <c r="L116" s="23" t="str">
        <f>IFERROR(INDEX(vdata_regressors!$A$1:$L$2000,MATCH($A116,vdata_regressors!$A$2:$A$2000,0)+1,MATCH(L$2,vdata_regressors!$A$1:$R$1,0)),"")</f>
        <v/>
      </c>
      <c r="M116" s="23" t="str">
        <f>IFERROR(VLOOKUP(A116,vdata_hours!$A$2:$B$1000,2,FALSE),"")</f>
        <v/>
      </c>
    </row>
    <row r="117" spans="1:13" x14ac:dyDescent="0.25">
      <c r="A117" s="23" t="str">
        <f>IF(vdata_hours!A116=0,"",vdata_hours!A116)</f>
        <v/>
      </c>
      <c r="B117" s="23" t="str">
        <f>IFERROR(INDEX(vdata_regressors!$A$1:$L$2000,MATCH($A117,vdata_regressors!$A$2:$A$2000,0)+1,MATCH(B$2,vdata_regressors!$A$1:$R$1,0)),"")</f>
        <v/>
      </c>
      <c r="C117" s="23" t="str">
        <f>IFERROR(INDEX(vdata_regressors!$A$1:$L$2000,MATCH($A117,vdata_regressors!$A$2:$A$2000,0)+1,MATCH(C$2,vdata_regressors!$A$1:$R$1,0)),"")</f>
        <v/>
      </c>
      <c r="D117" s="23" t="str">
        <f>IFERROR(INDEX(vdata_regressors!$A$1:$L$2000,MATCH($A117,vdata_regressors!$A$2:$A$2000,0)+1,MATCH(D$2,vdata_regressors!$A$1:$R$1,0)),"")</f>
        <v/>
      </c>
      <c r="E117" s="23" t="str">
        <f>IFERROR(INDEX(vdata_regressors!$A$1:$L$2000,MATCH($A117,vdata_regressors!$A$2:$A$2000,0)+1,MATCH(E$2,vdata_regressors!$A$1:$R$1,0)),"")</f>
        <v/>
      </c>
      <c r="F117" s="23" t="str">
        <f>IFERROR(INDEX(vdata_regressors!$A$1:$L$2000,MATCH($A117,vdata_regressors!$A$2:$A$2000,0)+1,MATCH(F$2,vdata_regressors!$A$1:$R$1,0)),"")</f>
        <v/>
      </c>
      <c r="G117" s="23" t="str">
        <f>IFERROR(INDEX(vdata_regressors!$A$1:$L$2000,MATCH($A117,vdata_regressors!$A$2:$A$2000,0)+1,MATCH(G$2,vdata_regressors!$A$1:$R$1,0)),"")</f>
        <v/>
      </c>
      <c r="H117" s="23" t="str">
        <f>IFERROR(INDEX(vdata_regressors!$A$1:$L$2000,MATCH($A117,vdata_regressors!$A$2:$A$2000,0)+1,MATCH(H$2,vdata_regressors!$A$1:$R$1,0)),"")</f>
        <v/>
      </c>
      <c r="I117" s="23" t="str">
        <f>IFERROR(INDEX(vdata_regressors!$A$1:$L$2000,MATCH($A117,vdata_regressors!$A$2:$A$2000,0)+1,MATCH(I$2,vdata_regressors!$A$1:$R$1,0)),"")</f>
        <v/>
      </c>
      <c r="J117" s="23" t="str">
        <f>IFERROR(INDEX(vdata_regressors!$A$1:$L$2000,MATCH($A117,vdata_regressors!$A$2:$A$2000,0)+1,MATCH(J$2,vdata_regressors!$A$1:$R$1,0)),"")</f>
        <v/>
      </c>
      <c r="K117" s="23" t="str">
        <f>IFERROR(INDEX(vdata_regressors!$A$1:$L$2000,MATCH($A117,vdata_regressors!$A$2:$A$2000,0)+1,MATCH(K$2,vdata_regressors!$A$1:$R$1,0)),"")</f>
        <v/>
      </c>
      <c r="L117" s="23" t="str">
        <f>IFERROR(INDEX(vdata_regressors!$A$1:$L$2000,MATCH($A117,vdata_regressors!$A$2:$A$2000,0)+1,MATCH(L$2,vdata_regressors!$A$1:$R$1,0)),"")</f>
        <v/>
      </c>
      <c r="M117" s="23" t="str">
        <f>IFERROR(VLOOKUP(A117,vdata_hours!$A$2:$B$1000,2,FALSE),"")</f>
        <v/>
      </c>
    </row>
    <row r="118" spans="1:13" x14ac:dyDescent="0.25">
      <c r="A118" s="23" t="str">
        <f>IF(vdata_hours!A117=0,"",vdata_hours!A117)</f>
        <v/>
      </c>
      <c r="B118" s="23" t="str">
        <f>IFERROR(INDEX(vdata_regressors!$A$1:$L$2000,MATCH($A118,vdata_regressors!$A$2:$A$2000,0)+1,MATCH(B$2,vdata_regressors!$A$1:$R$1,0)),"")</f>
        <v/>
      </c>
      <c r="C118" s="23" t="str">
        <f>IFERROR(INDEX(vdata_regressors!$A$1:$L$2000,MATCH($A118,vdata_regressors!$A$2:$A$2000,0)+1,MATCH(C$2,vdata_regressors!$A$1:$R$1,0)),"")</f>
        <v/>
      </c>
      <c r="D118" s="23" t="str">
        <f>IFERROR(INDEX(vdata_regressors!$A$1:$L$2000,MATCH($A118,vdata_regressors!$A$2:$A$2000,0)+1,MATCH(D$2,vdata_regressors!$A$1:$R$1,0)),"")</f>
        <v/>
      </c>
      <c r="E118" s="23" t="str">
        <f>IFERROR(INDEX(vdata_regressors!$A$1:$L$2000,MATCH($A118,vdata_regressors!$A$2:$A$2000,0)+1,MATCH(E$2,vdata_regressors!$A$1:$R$1,0)),"")</f>
        <v/>
      </c>
      <c r="F118" s="23" t="str">
        <f>IFERROR(INDEX(vdata_regressors!$A$1:$L$2000,MATCH($A118,vdata_regressors!$A$2:$A$2000,0)+1,MATCH(F$2,vdata_regressors!$A$1:$R$1,0)),"")</f>
        <v/>
      </c>
      <c r="G118" s="23" t="str">
        <f>IFERROR(INDEX(vdata_regressors!$A$1:$L$2000,MATCH($A118,vdata_regressors!$A$2:$A$2000,0)+1,MATCH(G$2,vdata_regressors!$A$1:$R$1,0)),"")</f>
        <v/>
      </c>
      <c r="H118" s="23" t="str">
        <f>IFERROR(INDEX(vdata_regressors!$A$1:$L$2000,MATCH($A118,vdata_regressors!$A$2:$A$2000,0)+1,MATCH(H$2,vdata_regressors!$A$1:$R$1,0)),"")</f>
        <v/>
      </c>
      <c r="I118" s="23" t="str">
        <f>IFERROR(INDEX(vdata_regressors!$A$1:$L$2000,MATCH($A118,vdata_regressors!$A$2:$A$2000,0)+1,MATCH(I$2,vdata_regressors!$A$1:$R$1,0)),"")</f>
        <v/>
      </c>
      <c r="J118" s="23" t="str">
        <f>IFERROR(INDEX(vdata_regressors!$A$1:$L$2000,MATCH($A118,vdata_regressors!$A$2:$A$2000,0)+1,MATCH(J$2,vdata_regressors!$A$1:$R$1,0)),"")</f>
        <v/>
      </c>
      <c r="K118" s="23" t="str">
        <f>IFERROR(INDEX(vdata_regressors!$A$1:$L$2000,MATCH($A118,vdata_regressors!$A$2:$A$2000,0)+1,MATCH(K$2,vdata_regressors!$A$1:$R$1,0)),"")</f>
        <v/>
      </c>
      <c r="L118" s="23" t="str">
        <f>IFERROR(INDEX(vdata_regressors!$A$1:$L$2000,MATCH($A118,vdata_regressors!$A$2:$A$2000,0)+1,MATCH(L$2,vdata_regressors!$A$1:$R$1,0)),"")</f>
        <v/>
      </c>
      <c r="M118" s="23" t="str">
        <f>IFERROR(VLOOKUP(A118,vdata_hours!$A$2:$B$1000,2,FALSE),"")</f>
        <v/>
      </c>
    </row>
    <row r="119" spans="1:13" x14ac:dyDescent="0.25">
      <c r="A119" s="23" t="str">
        <f>IF(vdata_hours!A118=0,"",vdata_hours!A118)</f>
        <v/>
      </c>
      <c r="B119" s="23" t="str">
        <f>IFERROR(INDEX(vdata_regressors!$A$1:$L$2000,MATCH($A119,vdata_regressors!$A$2:$A$2000,0)+1,MATCH(B$2,vdata_regressors!$A$1:$R$1,0)),"")</f>
        <v/>
      </c>
      <c r="C119" s="23" t="str">
        <f>IFERROR(INDEX(vdata_regressors!$A$1:$L$2000,MATCH($A119,vdata_regressors!$A$2:$A$2000,0)+1,MATCH(C$2,vdata_regressors!$A$1:$R$1,0)),"")</f>
        <v/>
      </c>
      <c r="D119" s="23" t="str">
        <f>IFERROR(INDEX(vdata_regressors!$A$1:$L$2000,MATCH($A119,vdata_regressors!$A$2:$A$2000,0)+1,MATCH(D$2,vdata_regressors!$A$1:$R$1,0)),"")</f>
        <v/>
      </c>
      <c r="E119" s="23" t="str">
        <f>IFERROR(INDEX(vdata_regressors!$A$1:$L$2000,MATCH($A119,vdata_regressors!$A$2:$A$2000,0)+1,MATCH(E$2,vdata_regressors!$A$1:$R$1,0)),"")</f>
        <v/>
      </c>
      <c r="F119" s="23" t="str">
        <f>IFERROR(INDEX(vdata_regressors!$A$1:$L$2000,MATCH($A119,vdata_regressors!$A$2:$A$2000,0)+1,MATCH(F$2,vdata_regressors!$A$1:$R$1,0)),"")</f>
        <v/>
      </c>
      <c r="G119" s="23" t="str">
        <f>IFERROR(INDEX(vdata_regressors!$A$1:$L$2000,MATCH($A119,vdata_regressors!$A$2:$A$2000,0)+1,MATCH(G$2,vdata_regressors!$A$1:$R$1,0)),"")</f>
        <v/>
      </c>
      <c r="H119" s="23" t="str">
        <f>IFERROR(INDEX(vdata_regressors!$A$1:$L$2000,MATCH($A119,vdata_regressors!$A$2:$A$2000,0)+1,MATCH(H$2,vdata_regressors!$A$1:$R$1,0)),"")</f>
        <v/>
      </c>
      <c r="I119" s="23" t="str">
        <f>IFERROR(INDEX(vdata_regressors!$A$1:$L$2000,MATCH($A119,vdata_regressors!$A$2:$A$2000,0)+1,MATCH(I$2,vdata_regressors!$A$1:$R$1,0)),"")</f>
        <v/>
      </c>
      <c r="J119" s="23" t="str">
        <f>IFERROR(INDEX(vdata_regressors!$A$1:$L$2000,MATCH($A119,vdata_regressors!$A$2:$A$2000,0)+1,MATCH(J$2,vdata_regressors!$A$1:$R$1,0)),"")</f>
        <v/>
      </c>
      <c r="K119" s="23" t="str">
        <f>IFERROR(INDEX(vdata_regressors!$A$1:$L$2000,MATCH($A119,vdata_regressors!$A$2:$A$2000,0)+1,MATCH(K$2,vdata_regressors!$A$1:$R$1,0)),"")</f>
        <v/>
      </c>
      <c r="L119" s="23" t="str">
        <f>IFERROR(INDEX(vdata_regressors!$A$1:$L$2000,MATCH($A119,vdata_regressors!$A$2:$A$2000,0)+1,MATCH(L$2,vdata_regressors!$A$1:$R$1,0)),"")</f>
        <v/>
      </c>
      <c r="M119" s="23" t="str">
        <f>IFERROR(VLOOKUP(A119,vdata_hours!$A$2:$B$1000,2,FALSE),"")</f>
        <v/>
      </c>
    </row>
    <row r="120" spans="1:13" x14ac:dyDescent="0.25">
      <c r="A120" s="23" t="str">
        <f>IF(vdata_hours!A119=0,"",vdata_hours!A119)</f>
        <v/>
      </c>
      <c r="B120" s="23" t="str">
        <f>IFERROR(INDEX(vdata_regressors!$A$1:$L$2000,MATCH($A120,vdata_regressors!$A$2:$A$2000,0)+1,MATCH(B$2,vdata_regressors!$A$1:$R$1,0)),"")</f>
        <v/>
      </c>
      <c r="C120" s="23" t="str">
        <f>IFERROR(INDEX(vdata_regressors!$A$1:$L$2000,MATCH($A120,vdata_regressors!$A$2:$A$2000,0)+1,MATCH(C$2,vdata_regressors!$A$1:$R$1,0)),"")</f>
        <v/>
      </c>
      <c r="D120" s="23" t="str">
        <f>IFERROR(INDEX(vdata_regressors!$A$1:$L$2000,MATCH($A120,vdata_regressors!$A$2:$A$2000,0)+1,MATCH(D$2,vdata_regressors!$A$1:$R$1,0)),"")</f>
        <v/>
      </c>
      <c r="E120" s="23" t="str">
        <f>IFERROR(INDEX(vdata_regressors!$A$1:$L$2000,MATCH($A120,vdata_regressors!$A$2:$A$2000,0)+1,MATCH(E$2,vdata_regressors!$A$1:$R$1,0)),"")</f>
        <v/>
      </c>
      <c r="F120" s="23" t="str">
        <f>IFERROR(INDEX(vdata_regressors!$A$1:$L$2000,MATCH($A120,vdata_regressors!$A$2:$A$2000,0)+1,MATCH(F$2,vdata_regressors!$A$1:$R$1,0)),"")</f>
        <v/>
      </c>
      <c r="G120" s="23" t="str">
        <f>IFERROR(INDEX(vdata_regressors!$A$1:$L$2000,MATCH($A120,vdata_regressors!$A$2:$A$2000,0)+1,MATCH(G$2,vdata_regressors!$A$1:$R$1,0)),"")</f>
        <v/>
      </c>
      <c r="H120" s="23" t="str">
        <f>IFERROR(INDEX(vdata_regressors!$A$1:$L$2000,MATCH($A120,vdata_regressors!$A$2:$A$2000,0)+1,MATCH(H$2,vdata_regressors!$A$1:$R$1,0)),"")</f>
        <v/>
      </c>
      <c r="I120" s="23" t="str">
        <f>IFERROR(INDEX(vdata_regressors!$A$1:$L$2000,MATCH($A120,vdata_regressors!$A$2:$A$2000,0)+1,MATCH(I$2,vdata_regressors!$A$1:$R$1,0)),"")</f>
        <v/>
      </c>
      <c r="J120" s="23" t="str">
        <f>IFERROR(INDEX(vdata_regressors!$A$1:$L$2000,MATCH($A120,vdata_regressors!$A$2:$A$2000,0)+1,MATCH(J$2,vdata_regressors!$A$1:$R$1,0)),"")</f>
        <v/>
      </c>
      <c r="K120" s="23" t="str">
        <f>IFERROR(INDEX(vdata_regressors!$A$1:$L$2000,MATCH($A120,vdata_regressors!$A$2:$A$2000,0)+1,MATCH(K$2,vdata_regressors!$A$1:$R$1,0)),"")</f>
        <v/>
      </c>
      <c r="L120" s="23" t="str">
        <f>IFERROR(INDEX(vdata_regressors!$A$1:$L$2000,MATCH($A120,vdata_regressors!$A$2:$A$2000,0)+1,MATCH(L$2,vdata_regressors!$A$1:$R$1,0)),"")</f>
        <v/>
      </c>
      <c r="M120" s="23" t="str">
        <f>IFERROR(VLOOKUP(A120,vdata_hours!$A$2:$B$1000,2,FALSE),"")</f>
        <v/>
      </c>
    </row>
    <row r="121" spans="1:13" x14ac:dyDescent="0.25">
      <c r="A121" s="23" t="str">
        <f>IF(vdata_hours!A120=0,"",vdata_hours!A120)</f>
        <v/>
      </c>
      <c r="B121" s="23" t="str">
        <f>IFERROR(INDEX(vdata_regressors!$A$1:$L$2000,MATCH($A121,vdata_regressors!$A$2:$A$2000,0)+1,MATCH(B$2,vdata_regressors!$A$1:$R$1,0)),"")</f>
        <v/>
      </c>
      <c r="C121" s="23" t="str">
        <f>IFERROR(INDEX(vdata_regressors!$A$1:$L$2000,MATCH($A121,vdata_regressors!$A$2:$A$2000,0)+1,MATCH(C$2,vdata_regressors!$A$1:$R$1,0)),"")</f>
        <v/>
      </c>
      <c r="D121" s="23" t="str">
        <f>IFERROR(INDEX(vdata_regressors!$A$1:$L$2000,MATCH($A121,vdata_regressors!$A$2:$A$2000,0)+1,MATCH(D$2,vdata_regressors!$A$1:$R$1,0)),"")</f>
        <v/>
      </c>
      <c r="E121" s="23" t="str">
        <f>IFERROR(INDEX(vdata_regressors!$A$1:$L$2000,MATCH($A121,vdata_regressors!$A$2:$A$2000,0)+1,MATCH(E$2,vdata_regressors!$A$1:$R$1,0)),"")</f>
        <v/>
      </c>
      <c r="F121" s="23" t="str">
        <f>IFERROR(INDEX(vdata_regressors!$A$1:$L$2000,MATCH($A121,vdata_regressors!$A$2:$A$2000,0)+1,MATCH(F$2,vdata_regressors!$A$1:$R$1,0)),"")</f>
        <v/>
      </c>
      <c r="G121" s="23" t="str">
        <f>IFERROR(INDEX(vdata_regressors!$A$1:$L$2000,MATCH($A121,vdata_regressors!$A$2:$A$2000,0)+1,MATCH(G$2,vdata_regressors!$A$1:$R$1,0)),"")</f>
        <v/>
      </c>
      <c r="H121" s="23" t="str">
        <f>IFERROR(INDEX(vdata_regressors!$A$1:$L$2000,MATCH($A121,vdata_regressors!$A$2:$A$2000,0)+1,MATCH(H$2,vdata_regressors!$A$1:$R$1,0)),"")</f>
        <v/>
      </c>
      <c r="I121" s="23" t="str">
        <f>IFERROR(INDEX(vdata_regressors!$A$1:$L$2000,MATCH($A121,vdata_regressors!$A$2:$A$2000,0)+1,MATCH(I$2,vdata_regressors!$A$1:$R$1,0)),"")</f>
        <v/>
      </c>
      <c r="J121" s="23" t="str">
        <f>IFERROR(INDEX(vdata_regressors!$A$1:$L$2000,MATCH($A121,vdata_regressors!$A$2:$A$2000,0)+1,MATCH(J$2,vdata_regressors!$A$1:$R$1,0)),"")</f>
        <v/>
      </c>
      <c r="K121" s="23" t="str">
        <f>IFERROR(INDEX(vdata_regressors!$A$1:$L$2000,MATCH($A121,vdata_regressors!$A$2:$A$2000,0)+1,MATCH(K$2,vdata_regressors!$A$1:$R$1,0)),"")</f>
        <v/>
      </c>
      <c r="L121" s="23" t="str">
        <f>IFERROR(INDEX(vdata_regressors!$A$1:$L$2000,MATCH($A121,vdata_regressors!$A$2:$A$2000,0)+1,MATCH(L$2,vdata_regressors!$A$1:$R$1,0)),"")</f>
        <v/>
      </c>
      <c r="M121" s="23" t="str">
        <f>IFERROR(VLOOKUP(A121,vdata_hours!$A$2:$B$1000,2,FALSE),"")</f>
        <v/>
      </c>
    </row>
    <row r="122" spans="1:13" x14ac:dyDescent="0.25">
      <c r="A122" s="23" t="str">
        <f>IF(vdata_hours!A121=0,"",vdata_hours!A121)</f>
        <v/>
      </c>
      <c r="B122" s="23" t="str">
        <f>IFERROR(INDEX(vdata_regressors!$A$1:$L$2000,MATCH($A122,vdata_regressors!$A$2:$A$2000,0)+1,MATCH(B$2,vdata_regressors!$A$1:$R$1,0)),"")</f>
        <v/>
      </c>
      <c r="C122" s="23" t="str">
        <f>IFERROR(INDEX(vdata_regressors!$A$1:$L$2000,MATCH($A122,vdata_regressors!$A$2:$A$2000,0)+1,MATCH(C$2,vdata_regressors!$A$1:$R$1,0)),"")</f>
        <v/>
      </c>
      <c r="D122" s="23" t="str">
        <f>IFERROR(INDEX(vdata_regressors!$A$1:$L$2000,MATCH($A122,vdata_regressors!$A$2:$A$2000,0)+1,MATCH(D$2,vdata_regressors!$A$1:$R$1,0)),"")</f>
        <v/>
      </c>
      <c r="E122" s="23" t="str">
        <f>IFERROR(INDEX(vdata_regressors!$A$1:$L$2000,MATCH($A122,vdata_regressors!$A$2:$A$2000,0)+1,MATCH(E$2,vdata_regressors!$A$1:$R$1,0)),"")</f>
        <v/>
      </c>
      <c r="F122" s="23" t="str">
        <f>IFERROR(INDEX(vdata_regressors!$A$1:$L$2000,MATCH($A122,vdata_regressors!$A$2:$A$2000,0)+1,MATCH(F$2,vdata_regressors!$A$1:$R$1,0)),"")</f>
        <v/>
      </c>
      <c r="G122" s="23" t="str">
        <f>IFERROR(INDEX(vdata_regressors!$A$1:$L$2000,MATCH($A122,vdata_regressors!$A$2:$A$2000,0)+1,MATCH(G$2,vdata_regressors!$A$1:$R$1,0)),"")</f>
        <v/>
      </c>
      <c r="H122" s="23" t="str">
        <f>IFERROR(INDEX(vdata_regressors!$A$1:$L$2000,MATCH($A122,vdata_regressors!$A$2:$A$2000,0)+1,MATCH(H$2,vdata_regressors!$A$1:$R$1,0)),"")</f>
        <v/>
      </c>
      <c r="I122" s="23" t="str">
        <f>IFERROR(INDEX(vdata_regressors!$A$1:$L$2000,MATCH($A122,vdata_regressors!$A$2:$A$2000,0)+1,MATCH(I$2,vdata_regressors!$A$1:$R$1,0)),"")</f>
        <v/>
      </c>
      <c r="J122" s="23" t="str">
        <f>IFERROR(INDEX(vdata_regressors!$A$1:$L$2000,MATCH($A122,vdata_regressors!$A$2:$A$2000,0)+1,MATCH(J$2,vdata_regressors!$A$1:$R$1,0)),"")</f>
        <v/>
      </c>
      <c r="K122" s="23" t="str">
        <f>IFERROR(INDEX(vdata_regressors!$A$1:$L$2000,MATCH($A122,vdata_regressors!$A$2:$A$2000,0)+1,MATCH(K$2,vdata_regressors!$A$1:$R$1,0)),"")</f>
        <v/>
      </c>
      <c r="L122" s="23" t="str">
        <f>IFERROR(INDEX(vdata_regressors!$A$1:$L$2000,MATCH($A122,vdata_regressors!$A$2:$A$2000,0)+1,MATCH(L$2,vdata_regressors!$A$1:$R$1,0)),"")</f>
        <v/>
      </c>
      <c r="M122" s="23" t="str">
        <f>IFERROR(VLOOKUP(A122,vdata_hours!$A$2:$B$1000,2,FALSE),"")</f>
        <v/>
      </c>
    </row>
    <row r="123" spans="1:13" x14ac:dyDescent="0.25">
      <c r="A123" s="23" t="str">
        <f>IF(vdata_hours!A122=0,"",vdata_hours!A122)</f>
        <v/>
      </c>
      <c r="B123" s="23" t="str">
        <f>IFERROR(INDEX(vdata_regressors!$A$1:$L$2000,MATCH($A123,vdata_regressors!$A$2:$A$2000,0)+1,MATCH(B$2,vdata_regressors!$A$1:$R$1,0)),"")</f>
        <v/>
      </c>
      <c r="C123" s="23" t="str">
        <f>IFERROR(INDEX(vdata_regressors!$A$1:$L$2000,MATCH($A123,vdata_regressors!$A$2:$A$2000,0)+1,MATCH(C$2,vdata_regressors!$A$1:$R$1,0)),"")</f>
        <v/>
      </c>
      <c r="D123" s="23" t="str">
        <f>IFERROR(INDEX(vdata_regressors!$A$1:$L$2000,MATCH($A123,vdata_regressors!$A$2:$A$2000,0)+1,MATCH(D$2,vdata_regressors!$A$1:$R$1,0)),"")</f>
        <v/>
      </c>
      <c r="E123" s="23" t="str">
        <f>IFERROR(INDEX(vdata_regressors!$A$1:$L$2000,MATCH($A123,vdata_regressors!$A$2:$A$2000,0)+1,MATCH(E$2,vdata_regressors!$A$1:$R$1,0)),"")</f>
        <v/>
      </c>
      <c r="F123" s="23" t="str">
        <f>IFERROR(INDEX(vdata_regressors!$A$1:$L$2000,MATCH($A123,vdata_regressors!$A$2:$A$2000,0)+1,MATCH(F$2,vdata_regressors!$A$1:$R$1,0)),"")</f>
        <v/>
      </c>
      <c r="G123" s="23" t="str">
        <f>IFERROR(INDEX(vdata_regressors!$A$1:$L$2000,MATCH($A123,vdata_regressors!$A$2:$A$2000,0)+1,MATCH(G$2,vdata_regressors!$A$1:$R$1,0)),"")</f>
        <v/>
      </c>
      <c r="H123" s="23" t="str">
        <f>IFERROR(INDEX(vdata_regressors!$A$1:$L$2000,MATCH($A123,vdata_regressors!$A$2:$A$2000,0)+1,MATCH(H$2,vdata_regressors!$A$1:$R$1,0)),"")</f>
        <v/>
      </c>
      <c r="I123" s="23" t="str">
        <f>IFERROR(INDEX(vdata_regressors!$A$1:$L$2000,MATCH($A123,vdata_regressors!$A$2:$A$2000,0)+1,MATCH(I$2,vdata_regressors!$A$1:$R$1,0)),"")</f>
        <v/>
      </c>
      <c r="J123" s="23" t="str">
        <f>IFERROR(INDEX(vdata_regressors!$A$1:$L$2000,MATCH($A123,vdata_regressors!$A$2:$A$2000,0)+1,MATCH(J$2,vdata_regressors!$A$1:$R$1,0)),"")</f>
        <v/>
      </c>
      <c r="K123" s="23" t="str">
        <f>IFERROR(INDEX(vdata_regressors!$A$1:$L$2000,MATCH($A123,vdata_regressors!$A$2:$A$2000,0)+1,MATCH(K$2,vdata_regressors!$A$1:$R$1,0)),"")</f>
        <v/>
      </c>
      <c r="L123" s="23" t="str">
        <f>IFERROR(INDEX(vdata_regressors!$A$1:$L$2000,MATCH($A123,vdata_regressors!$A$2:$A$2000,0)+1,MATCH(L$2,vdata_regressors!$A$1:$R$1,0)),"")</f>
        <v/>
      </c>
      <c r="M123" s="23" t="str">
        <f>IFERROR(VLOOKUP(A123,vdata_hours!$A$2:$B$1000,2,FALSE),"")</f>
        <v/>
      </c>
    </row>
    <row r="124" spans="1:13" x14ac:dyDescent="0.25">
      <c r="A124" s="23" t="str">
        <f>IF(vdata_hours!A123=0,"",vdata_hours!A123)</f>
        <v/>
      </c>
      <c r="B124" s="23" t="str">
        <f>IFERROR(INDEX(vdata_regressors!$A$1:$L$2000,MATCH($A124,vdata_regressors!$A$2:$A$2000,0)+1,MATCH(B$2,vdata_regressors!$A$1:$R$1,0)),"")</f>
        <v/>
      </c>
      <c r="C124" s="23" t="str">
        <f>IFERROR(INDEX(vdata_regressors!$A$1:$L$2000,MATCH($A124,vdata_regressors!$A$2:$A$2000,0)+1,MATCH(C$2,vdata_regressors!$A$1:$R$1,0)),"")</f>
        <v/>
      </c>
      <c r="D124" s="23" t="str">
        <f>IFERROR(INDEX(vdata_regressors!$A$1:$L$2000,MATCH($A124,vdata_regressors!$A$2:$A$2000,0)+1,MATCH(D$2,vdata_regressors!$A$1:$R$1,0)),"")</f>
        <v/>
      </c>
      <c r="E124" s="23" t="str">
        <f>IFERROR(INDEX(vdata_regressors!$A$1:$L$2000,MATCH($A124,vdata_regressors!$A$2:$A$2000,0)+1,MATCH(E$2,vdata_regressors!$A$1:$R$1,0)),"")</f>
        <v/>
      </c>
      <c r="F124" s="23" t="str">
        <f>IFERROR(INDEX(vdata_regressors!$A$1:$L$2000,MATCH($A124,vdata_regressors!$A$2:$A$2000,0)+1,MATCH(F$2,vdata_regressors!$A$1:$R$1,0)),"")</f>
        <v/>
      </c>
      <c r="G124" s="23" t="str">
        <f>IFERROR(INDEX(vdata_regressors!$A$1:$L$2000,MATCH($A124,vdata_regressors!$A$2:$A$2000,0)+1,MATCH(G$2,vdata_regressors!$A$1:$R$1,0)),"")</f>
        <v/>
      </c>
      <c r="H124" s="23" t="str">
        <f>IFERROR(INDEX(vdata_regressors!$A$1:$L$2000,MATCH($A124,vdata_regressors!$A$2:$A$2000,0)+1,MATCH(H$2,vdata_regressors!$A$1:$R$1,0)),"")</f>
        <v/>
      </c>
      <c r="I124" s="23" t="str">
        <f>IFERROR(INDEX(vdata_regressors!$A$1:$L$2000,MATCH($A124,vdata_regressors!$A$2:$A$2000,0)+1,MATCH(I$2,vdata_regressors!$A$1:$R$1,0)),"")</f>
        <v/>
      </c>
      <c r="J124" s="23" t="str">
        <f>IFERROR(INDEX(vdata_regressors!$A$1:$L$2000,MATCH($A124,vdata_regressors!$A$2:$A$2000,0)+1,MATCH(J$2,vdata_regressors!$A$1:$R$1,0)),"")</f>
        <v/>
      </c>
      <c r="K124" s="23" t="str">
        <f>IFERROR(INDEX(vdata_regressors!$A$1:$L$2000,MATCH($A124,vdata_regressors!$A$2:$A$2000,0)+1,MATCH(K$2,vdata_regressors!$A$1:$R$1,0)),"")</f>
        <v/>
      </c>
      <c r="L124" s="23" t="str">
        <f>IFERROR(INDEX(vdata_regressors!$A$1:$L$2000,MATCH($A124,vdata_regressors!$A$2:$A$2000,0)+1,MATCH(L$2,vdata_regressors!$A$1:$R$1,0)),"")</f>
        <v/>
      </c>
      <c r="M124" s="23" t="str">
        <f>IFERROR(VLOOKUP(A124,vdata_hours!$A$2:$B$1000,2,FALSE),"")</f>
        <v/>
      </c>
    </row>
    <row r="125" spans="1:13" x14ac:dyDescent="0.25">
      <c r="A125" s="23" t="str">
        <f>IF(vdata_hours!A124=0,"",vdata_hours!A124)</f>
        <v/>
      </c>
      <c r="B125" s="23" t="str">
        <f>IFERROR(INDEX(vdata_regressors!$A$1:$L$2000,MATCH($A125,vdata_regressors!$A$2:$A$2000,0)+1,MATCH(B$2,vdata_regressors!$A$1:$R$1,0)),"")</f>
        <v/>
      </c>
      <c r="C125" s="23" t="str">
        <f>IFERROR(INDEX(vdata_regressors!$A$1:$L$2000,MATCH($A125,vdata_regressors!$A$2:$A$2000,0)+1,MATCH(C$2,vdata_regressors!$A$1:$R$1,0)),"")</f>
        <v/>
      </c>
      <c r="D125" s="23" t="str">
        <f>IFERROR(INDEX(vdata_regressors!$A$1:$L$2000,MATCH($A125,vdata_regressors!$A$2:$A$2000,0)+1,MATCH(D$2,vdata_regressors!$A$1:$R$1,0)),"")</f>
        <v/>
      </c>
      <c r="E125" s="23" t="str">
        <f>IFERROR(INDEX(vdata_regressors!$A$1:$L$2000,MATCH($A125,vdata_regressors!$A$2:$A$2000,0)+1,MATCH(E$2,vdata_regressors!$A$1:$R$1,0)),"")</f>
        <v/>
      </c>
      <c r="F125" s="23" t="str">
        <f>IFERROR(INDEX(vdata_regressors!$A$1:$L$2000,MATCH($A125,vdata_regressors!$A$2:$A$2000,0)+1,MATCH(F$2,vdata_regressors!$A$1:$R$1,0)),"")</f>
        <v/>
      </c>
      <c r="G125" s="23" t="str">
        <f>IFERROR(INDEX(vdata_regressors!$A$1:$L$2000,MATCH($A125,vdata_regressors!$A$2:$A$2000,0)+1,MATCH(G$2,vdata_regressors!$A$1:$R$1,0)),"")</f>
        <v/>
      </c>
      <c r="H125" s="23" t="str">
        <f>IFERROR(INDEX(vdata_regressors!$A$1:$L$2000,MATCH($A125,vdata_regressors!$A$2:$A$2000,0)+1,MATCH(H$2,vdata_regressors!$A$1:$R$1,0)),"")</f>
        <v/>
      </c>
      <c r="I125" s="23" t="str">
        <f>IFERROR(INDEX(vdata_regressors!$A$1:$L$2000,MATCH($A125,vdata_regressors!$A$2:$A$2000,0)+1,MATCH(I$2,vdata_regressors!$A$1:$R$1,0)),"")</f>
        <v/>
      </c>
      <c r="J125" s="23" t="str">
        <f>IFERROR(INDEX(vdata_regressors!$A$1:$L$2000,MATCH($A125,vdata_regressors!$A$2:$A$2000,0)+1,MATCH(J$2,vdata_regressors!$A$1:$R$1,0)),"")</f>
        <v/>
      </c>
      <c r="K125" s="23" t="str">
        <f>IFERROR(INDEX(vdata_regressors!$A$1:$L$2000,MATCH($A125,vdata_regressors!$A$2:$A$2000,0)+1,MATCH(K$2,vdata_regressors!$A$1:$R$1,0)),"")</f>
        <v/>
      </c>
      <c r="L125" s="23" t="str">
        <f>IFERROR(INDEX(vdata_regressors!$A$1:$L$2000,MATCH($A125,vdata_regressors!$A$2:$A$2000,0)+1,MATCH(L$2,vdata_regressors!$A$1:$R$1,0)),"")</f>
        <v/>
      </c>
      <c r="M125" s="23" t="str">
        <f>IFERROR(VLOOKUP(A125,vdata_hours!$A$2:$B$1000,2,FALSE),"")</f>
        <v/>
      </c>
    </row>
    <row r="126" spans="1:13" x14ac:dyDescent="0.25">
      <c r="A126" s="23" t="str">
        <f>IF(vdata_hours!A125=0,"",vdata_hours!A125)</f>
        <v/>
      </c>
      <c r="B126" s="23" t="str">
        <f>IFERROR(INDEX(vdata_regressors!$A$1:$L$2000,MATCH($A126,vdata_regressors!$A$2:$A$2000,0)+1,MATCH(B$2,vdata_regressors!$A$1:$R$1,0)),"")</f>
        <v/>
      </c>
      <c r="C126" s="23" t="str">
        <f>IFERROR(INDEX(vdata_regressors!$A$1:$L$2000,MATCH($A126,vdata_regressors!$A$2:$A$2000,0)+1,MATCH(C$2,vdata_regressors!$A$1:$R$1,0)),"")</f>
        <v/>
      </c>
      <c r="D126" s="23" t="str">
        <f>IFERROR(INDEX(vdata_regressors!$A$1:$L$2000,MATCH($A126,vdata_regressors!$A$2:$A$2000,0)+1,MATCH(D$2,vdata_regressors!$A$1:$R$1,0)),"")</f>
        <v/>
      </c>
      <c r="E126" s="23" t="str">
        <f>IFERROR(INDEX(vdata_regressors!$A$1:$L$2000,MATCH($A126,vdata_regressors!$A$2:$A$2000,0)+1,MATCH(E$2,vdata_regressors!$A$1:$R$1,0)),"")</f>
        <v/>
      </c>
      <c r="F126" s="23" t="str">
        <f>IFERROR(INDEX(vdata_regressors!$A$1:$L$2000,MATCH($A126,vdata_regressors!$A$2:$A$2000,0)+1,MATCH(F$2,vdata_regressors!$A$1:$R$1,0)),"")</f>
        <v/>
      </c>
      <c r="G126" s="23" t="str">
        <f>IFERROR(INDEX(vdata_regressors!$A$1:$L$2000,MATCH($A126,vdata_regressors!$A$2:$A$2000,0)+1,MATCH(G$2,vdata_regressors!$A$1:$R$1,0)),"")</f>
        <v/>
      </c>
      <c r="H126" s="23" t="str">
        <f>IFERROR(INDEX(vdata_regressors!$A$1:$L$2000,MATCH($A126,vdata_regressors!$A$2:$A$2000,0)+1,MATCH(H$2,vdata_regressors!$A$1:$R$1,0)),"")</f>
        <v/>
      </c>
      <c r="I126" s="23" t="str">
        <f>IFERROR(INDEX(vdata_regressors!$A$1:$L$2000,MATCH($A126,vdata_regressors!$A$2:$A$2000,0)+1,MATCH(I$2,vdata_regressors!$A$1:$R$1,0)),"")</f>
        <v/>
      </c>
      <c r="J126" s="23" t="str">
        <f>IFERROR(INDEX(vdata_regressors!$A$1:$L$2000,MATCH($A126,vdata_regressors!$A$2:$A$2000,0)+1,MATCH(J$2,vdata_regressors!$A$1:$R$1,0)),"")</f>
        <v/>
      </c>
      <c r="K126" s="23" t="str">
        <f>IFERROR(INDEX(vdata_regressors!$A$1:$L$2000,MATCH($A126,vdata_regressors!$A$2:$A$2000,0)+1,MATCH(K$2,vdata_regressors!$A$1:$R$1,0)),"")</f>
        <v/>
      </c>
      <c r="L126" s="23" t="str">
        <f>IFERROR(INDEX(vdata_regressors!$A$1:$L$2000,MATCH($A126,vdata_regressors!$A$2:$A$2000,0)+1,MATCH(L$2,vdata_regressors!$A$1:$R$1,0)),"")</f>
        <v/>
      </c>
      <c r="M126" s="23" t="str">
        <f>IFERROR(VLOOKUP(A126,vdata_hours!$A$2:$B$1000,2,FALSE),"")</f>
        <v/>
      </c>
    </row>
    <row r="127" spans="1:13" x14ac:dyDescent="0.25">
      <c r="A127" s="23" t="str">
        <f>IF(vdata_hours!A126=0,"",vdata_hours!A126)</f>
        <v/>
      </c>
      <c r="B127" s="23" t="str">
        <f>IFERROR(INDEX(vdata_regressors!$A$1:$L$2000,MATCH($A127,vdata_regressors!$A$2:$A$2000,0)+1,MATCH(B$2,vdata_regressors!$A$1:$R$1,0)),"")</f>
        <v/>
      </c>
      <c r="C127" s="23" t="str">
        <f>IFERROR(INDEX(vdata_regressors!$A$1:$L$2000,MATCH($A127,vdata_regressors!$A$2:$A$2000,0)+1,MATCH(C$2,vdata_regressors!$A$1:$R$1,0)),"")</f>
        <v/>
      </c>
      <c r="D127" s="23" t="str">
        <f>IFERROR(INDEX(vdata_regressors!$A$1:$L$2000,MATCH($A127,vdata_regressors!$A$2:$A$2000,0)+1,MATCH(D$2,vdata_regressors!$A$1:$R$1,0)),"")</f>
        <v/>
      </c>
      <c r="E127" s="23" t="str">
        <f>IFERROR(INDEX(vdata_regressors!$A$1:$L$2000,MATCH($A127,vdata_regressors!$A$2:$A$2000,0)+1,MATCH(E$2,vdata_regressors!$A$1:$R$1,0)),"")</f>
        <v/>
      </c>
      <c r="F127" s="23" t="str">
        <f>IFERROR(INDEX(vdata_regressors!$A$1:$L$2000,MATCH($A127,vdata_regressors!$A$2:$A$2000,0)+1,MATCH(F$2,vdata_regressors!$A$1:$R$1,0)),"")</f>
        <v/>
      </c>
      <c r="G127" s="23" t="str">
        <f>IFERROR(INDEX(vdata_regressors!$A$1:$L$2000,MATCH($A127,vdata_regressors!$A$2:$A$2000,0)+1,MATCH(G$2,vdata_regressors!$A$1:$R$1,0)),"")</f>
        <v/>
      </c>
      <c r="H127" s="23" t="str">
        <f>IFERROR(INDEX(vdata_regressors!$A$1:$L$2000,MATCH($A127,vdata_regressors!$A$2:$A$2000,0)+1,MATCH(H$2,vdata_regressors!$A$1:$R$1,0)),"")</f>
        <v/>
      </c>
      <c r="I127" s="23" t="str">
        <f>IFERROR(INDEX(vdata_regressors!$A$1:$L$2000,MATCH($A127,vdata_regressors!$A$2:$A$2000,0)+1,MATCH(I$2,vdata_regressors!$A$1:$R$1,0)),"")</f>
        <v/>
      </c>
      <c r="J127" s="23" t="str">
        <f>IFERROR(INDEX(vdata_regressors!$A$1:$L$2000,MATCH($A127,vdata_regressors!$A$2:$A$2000,0)+1,MATCH(J$2,vdata_regressors!$A$1:$R$1,0)),"")</f>
        <v/>
      </c>
      <c r="K127" s="23" t="str">
        <f>IFERROR(INDEX(vdata_regressors!$A$1:$L$2000,MATCH($A127,vdata_regressors!$A$2:$A$2000,0)+1,MATCH(K$2,vdata_regressors!$A$1:$R$1,0)),"")</f>
        <v/>
      </c>
      <c r="L127" s="23" t="str">
        <f>IFERROR(INDEX(vdata_regressors!$A$1:$L$2000,MATCH($A127,vdata_regressors!$A$2:$A$2000,0)+1,MATCH(L$2,vdata_regressors!$A$1:$R$1,0)),"")</f>
        <v/>
      </c>
      <c r="M127" s="23" t="str">
        <f>IFERROR(VLOOKUP(A127,vdata_hours!$A$2:$B$1000,2,FALSE),"")</f>
        <v/>
      </c>
    </row>
    <row r="128" spans="1:13" x14ac:dyDescent="0.25">
      <c r="A128" s="23" t="str">
        <f>IF(vdata_hours!A127=0,"",vdata_hours!A127)</f>
        <v/>
      </c>
      <c r="B128" s="23" t="str">
        <f>IFERROR(INDEX(vdata_regressors!$A$1:$L$2000,MATCH($A128,vdata_regressors!$A$2:$A$2000,0)+1,MATCH(B$2,vdata_regressors!$A$1:$R$1,0)),"")</f>
        <v/>
      </c>
      <c r="C128" s="23" t="str">
        <f>IFERROR(INDEX(vdata_regressors!$A$1:$L$2000,MATCH($A128,vdata_regressors!$A$2:$A$2000,0)+1,MATCH(C$2,vdata_regressors!$A$1:$R$1,0)),"")</f>
        <v/>
      </c>
      <c r="D128" s="23" t="str">
        <f>IFERROR(INDEX(vdata_regressors!$A$1:$L$2000,MATCH($A128,vdata_regressors!$A$2:$A$2000,0)+1,MATCH(D$2,vdata_regressors!$A$1:$R$1,0)),"")</f>
        <v/>
      </c>
      <c r="E128" s="23" t="str">
        <f>IFERROR(INDEX(vdata_regressors!$A$1:$L$2000,MATCH($A128,vdata_regressors!$A$2:$A$2000,0)+1,MATCH(E$2,vdata_regressors!$A$1:$R$1,0)),"")</f>
        <v/>
      </c>
      <c r="F128" s="23" t="str">
        <f>IFERROR(INDEX(vdata_regressors!$A$1:$L$2000,MATCH($A128,vdata_regressors!$A$2:$A$2000,0)+1,MATCH(F$2,vdata_regressors!$A$1:$R$1,0)),"")</f>
        <v/>
      </c>
      <c r="G128" s="23" t="str">
        <f>IFERROR(INDEX(vdata_regressors!$A$1:$L$2000,MATCH($A128,vdata_regressors!$A$2:$A$2000,0)+1,MATCH(G$2,vdata_regressors!$A$1:$R$1,0)),"")</f>
        <v/>
      </c>
      <c r="H128" s="23" t="str">
        <f>IFERROR(INDEX(vdata_regressors!$A$1:$L$2000,MATCH($A128,vdata_regressors!$A$2:$A$2000,0)+1,MATCH(H$2,vdata_regressors!$A$1:$R$1,0)),"")</f>
        <v/>
      </c>
      <c r="I128" s="23" t="str">
        <f>IFERROR(INDEX(vdata_regressors!$A$1:$L$2000,MATCH($A128,vdata_regressors!$A$2:$A$2000,0)+1,MATCH(I$2,vdata_regressors!$A$1:$R$1,0)),"")</f>
        <v/>
      </c>
      <c r="J128" s="23" t="str">
        <f>IFERROR(INDEX(vdata_regressors!$A$1:$L$2000,MATCH($A128,vdata_regressors!$A$2:$A$2000,0)+1,MATCH(J$2,vdata_regressors!$A$1:$R$1,0)),"")</f>
        <v/>
      </c>
      <c r="K128" s="23" t="str">
        <f>IFERROR(INDEX(vdata_regressors!$A$1:$L$2000,MATCH($A128,vdata_regressors!$A$2:$A$2000,0)+1,MATCH(K$2,vdata_regressors!$A$1:$R$1,0)),"")</f>
        <v/>
      </c>
      <c r="L128" s="23" t="str">
        <f>IFERROR(INDEX(vdata_regressors!$A$1:$L$2000,MATCH($A128,vdata_regressors!$A$2:$A$2000,0)+1,MATCH(L$2,vdata_regressors!$A$1:$R$1,0)),"")</f>
        <v/>
      </c>
      <c r="M128" s="23" t="str">
        <f>IFERROR(VLOOKUP(A128,vdata_hours!$A$2:$B$1000,2,FALSE),"")</f>
        <v/>
      </c>
    </row>
    <row r="129" spans="1:13" x14ac:dyDescent="0.25">
      <c r="A129" s="23" t="str">
        <f>IF(vdata_hours!A128=0,"",vdata_hours!A128)</f>
        <v/>
      </c>
      <c r="B129" s="23" t="str">
        <f>IFERROR(INDEX(vdata_regressors!$A$1:$L$2000,MATCH($A129,vdata_regressors!$A$2:$A$2000,0)+1,MATCH(B$2,vdata_regressors!$A$1:$R$1,0)),"")</f>
        <v/>
      </c>
      <c r="C129" s="23" t="str">
        <f>IFERROR(INDEX(vdata_regressors!$A$1:$L$2000,MATCH($A129,vdata_regressors!$A$2:$A$2000,0)+1,MATCH(C$2,vdata_regressors!$A$1:$R$1,0)),"")</f>
        <v/>
      </c>
      <c r="D129" s="23" t="str">
        <f>IFERROR(INDEX(vdata_regressors!$A$1:$L$2000,MATCH($A129,vdata_regressors!$A$2:$A$2000,0)+1,MATCH(D$2,vdata_regressors!$A$1:$R$1,0)),"")</f>
        <v/>
      </c>
      <c r="E129" s="23" t="str">
        <f>IFERROR(INDEX(vdata_regressors!$A$1:$L$2000,MATCH($A129,vdata_regressors!$A$2:$A$2000,0)+1,MATCH(E$2,vdata_regressors!$A$1:$R$1,0)),"")</f>
        <v/>
      </c>
      <c r="F129" s="23" t="str">
        <f>IFERROR(INDEX(vdata_regressors!$A$1:$L$2000,MATCH($A129,vdata_regressors!$A$2:$A$2000,0)+1,MATCH(F$2,vdata_regressors!$A$1:$R$1,0)),"")</f>
        <v/>
      </c>
      <c r="G129" s="23" t="str">
        <f>IFERROR(INDEX(vdata_regressors!$A$1:$L$2000,MATCH($A129,vdata_regressors!$A$2:$A$2000,0)+1,MATCH(G$2,vdata_regressors!$A$1:$R$1,0)),"")</f>
        <v/>
      </c>
      <c r="H129" s="23" t="str">
        <f>IFERROR(INDEX(vdata_regressors!$A$1:$L$2000,MATCH($A129,vdata_regressors!$A$2:$A$2000,0)+1,MATCH(H$2,vdata_regressors!$A$1:$R$1,0)),"")</f>
        <v/>
      </c>
      <c r="I129" s="23" t="str">
        <f>IFERROR(INDEX(vdata_regressors!$A$1:$L$2000,MATCH($A129,vdata_regressors!$A$2:$A$2000,0)+1,MATCH(I$2,vdata_regressors!$A$1:$R$1,0)),"")</f>
        <v/>
      </c>
      <c r="J129" s="23" t="str">
        <f>IFERROR(INDEX(vdata_regressors!$A$1:$L$2000,MATCH($A129,vdata_regressors!$A$2:$A$2000,0)+1,MATCH(J$2,vdata_regressors!$A$1:$R$1,0)),"")</f>
        <v/>
      </c>
      <c r="K129" s="23" t="str">
        <f>IFERROR(INDEX(vdata_regressors!$A$1:$L$2000,MATCH($A129,vdata_regressors!$A$2:$A$2000,0)+1,MATCH(K$2,vdata_regressors!$A$1:$R$1,0)),"")</f>
        <v/>
      </c>
      <c r="L129" s="23" t="str">
        <f>IFERROR(INDEX(vdata_regressors!$A$1:$L$2000,MATCH($A129,vdata_regressors!$A$2:$A$2000,0)+1,MATCH(L$2,vdata_regressors!$A$1:$R$1,0)),"")</f>
        <v/>
      </c>
      <c r="M129" s="23" t="str">
        <f>IFERROR(VLOOKUP(A129,vdata_hours!$A$2:$B$1000,2,FALSE),"")</f>
        <v/>
      </c>
    </row>
    <row r="130" spans="1:13" x14ac:dyDescent="0.25">
      <c r="A130" s="23" t="str">
        <f>IF(vdata_hours!A129=0,"",vdata_hours!A129)</f>
        <v/>
      </c>
      <c r="B130" s="23" t="str">
        <f>IFERROR(INDEX(vdata_regressors!$A$1:$L$2000,MATCH($A130,vdata_regressors!$A$2:$A$2000,0)+1,MATCH(B$2,vdata_regressors!$A$1:$R$1,0)),"")</f>
        <v/>
      </c>
      <c r="C130" s="23" t="str">
        <f>IFERROR(INDEX(vdata_regressors!$A$1:$L$2000,MATCH($A130,vdata_regressors!$A$2:$A$2000,0)+1,MATCH(C$2,vdata_regressors!$A$1:$R$1,0)),"")</f>
        <v/>
      </c>
      <c r="D130" s="23" t="str">
        <f>IFERROR(INDEX(vdata_regressors!$A$1:$L$2000,MATCH($A130,vdata_regressors!$A$2:$A$2000,0)+1,MATCH(D$2,vdata_regressors!$A$1:$R$1,0)),"")</f>
        <v/>
      </c>
      <c r="E130" s="23" t="str">
        <f>IFERROR(INDEX(vdata_regressors!$A$1:$L$2000,MATCH($A130,vdata_regressors!$A$2:$A$2000,0)+1,MATCH(E$2,vdata_regressors!$A$1:$R$1,0)),"")</f>
        <v/>
      </c>
      <c r="F130" s="23" t="str">
        <f>IFERROR(INDEX(vdata_regressors!$A$1:$L$2000,MATCH($A130,vdata_regressors!$A$2:$A$2000,0)+1,MATCH(F$2,vdata_regressors!$A$1:$R$1,0)),"")</f>
        <v/>
      </c>
      <c r="G130" s="23" t="str">
        <f>IFERROR(INDEX(vdata_regressors!$A$1:$L$2000,MATCH($A130,vdata_regressors!$A$2:$A$2000,0)+1,MATCH(G$2,vdata_regressors!$A$1:$R$1,0)),"")</f>
        <v/>
      </c>
      <c r="H130" s="23" t="str">
        <f>IFERROR(INDEX(vdata_regressors!$A$1:$L$2000,MATCH($A130,vdata_regressors!$A$2:$A$2000,0)+1,MATCH(H$2,vdata_regressors!$A$1:$R$1,0)),"")</f>
        <v/>
      </c>
      <c r="I130" s="23" t="str">
        <f>IFERROR(INDEX(vdata_regressors!$A$1:$L$2000,MATCH($A130,vdata_regressors!$A$2:$A$2000,0)+1,MATCH(I$2,vdata_regressors!$A$1:$R$1,0)),"")</f>
        <v/>
      </c>
      <c r="J130" s="23" t="str">
        <f>IFERROR(INDEX(vdata_regressors!$A$1:$L$2000,MATCH($A130,vdata_regressors!$A$2:$A$2000,0)+1,MATCH(J$2,vdata_regressors!$A$1:$R$1,0)),"")</f>
        <v/>
      </c>
      <c r="K130" s="23" t="str">
        <f>IFERROR(INDEX(vdata_regressors!$A$1:$L$2000,MATCH($A130,vdata_regressors!$A$2:$A$2000,0)+1,MATCH(K$2,vdata_regressors!$A$1:$R$1,0)),"")</f>
        <v/>
      </c>
      <c r="L130" s="23" t="str">
        <f>IFERROR(INDEX(vdata_regressors!$A$1:$L$2000,MATCH($A130,vdata_regressors!$A$2:$A$2000,0)+1,MATCH(L$2,vdata_regressors!$A$1:$R$1,0)),"")</f>
        <v/>
      </c>
      <c r="M130" s="23" t="str">
        <f>IFERROR(VLOOKUP(A130,vdata_hours!$A$2:$B$1000,2,FALSE),"")</f>
        <v/>
      </c>
    </row>
    <row r="131" spans="1:13" x14ac:dyDescent="0.25">
      <c r="A131" s="23" t="str">
        <f>IF(vdata_hours!A130=0,"",vdata_hours!A130)</f>
        <v/>
      </c>
      <c r="B131" s="23" t="str">
        <f>IFERROR(INDEX(vdata_regressors!$A$1:$L$2000,MATCH($A131,vdata_regressors!$A$2:$A$2000,0)+1,MATCH(B$2,vdata_regressors!$A$1:$R$1,0)),"")</f>
        <v/>
      </c>
      <c r="C131" s="23" t="str">
        <f>IFERROR(INDEX(vdata_regressors!$A$1:$L$2000,MATCH($A131,vdata_regressors!$A$2:$A$2000,0)+1,MATCH(C$2,vdata_regressors!$A$1:$R$1,0)),"")</f>
        <v/>
      </c>
      <c r="D131" s="23" t="str">
        <f>IFERROR(INDEX(vdata_regressors!$A$1:$L$2000,MATCH($A131,vdata_regressors!$A$2:$A$2000,0)+1,MATCH(D$2,vdata_regressors!$A$1:$R$1,0)),"")</f>
        <v/>
      </c>
      <c r="E131" s="23" t="str">
        <f>IFERROR(INDEX(vdata_regressors!$A$1:$L$2000,MATCH($A131,vdata_regressors!$A$2:$A$2000,0)+1,MATCH(E$2,vdata_regressors!$A$1:$R$1,0)),"")</f>
        <v/>
      </c>
      <c r="F131" s="23" t="str">
        <f>IFERROR(INDEX(vdata_regressors!$A$1:$L$2000,MATCH($A131,vdata_regressors!$A$2:$A$2000,0)+1,MATCH(F$2,vdata_regressors!$A$1:$R$1,0)),"")</f>
        <v/>
      </c>
      <c r="G131" s="23" t="str">
        <f>IFERROR(INDEX(vdata_regressors!$A$1:$L$2000,MATCH($A131,vdata_regressors!$A$2:$A$2000,0)+1,MATCH(G$2,vdata_regressors!$A$1:$R$1,0)),"")</f>
        <v/>
      </c>
      <c r="H131" s="23" t="str">
        <f>IFERROR(INDEX(vdata_regressors!$A$1:$L$2000,MATCH($A131,vdata_regressors!$A$2:$A$2000,0)+1,MATCH(H$2,vdata_regressors!$A$1:$R$1,0)),"")</f>
        <v/>
      </c>
      <c r="I131" s="23" t="str">
        <f>IFERROR(INDEX(vdata_regressors!$A$1:$L$2000,MATCH($A131,vdata_regressors!$A$2:$A$2000,0)+1,MATCH(I$2,vdata_regressors!$A$1:$R$1,0)),"")</f>
        <v/>
      </c>
      <c r="J131" s="23" t="str">
        <f>IFERROR(INDEX(vdata_regressors!$A$1:$L$2000,MATCH($A131,vdata_regressors!$A$2:$A$2000,0)+1,MATCH(J$2,vdata_regressors!$A$1:$R$1,0)),"")</f>
        <v/>
      </c>
      <c r="K131" s="23" t="str">
        <f>IFERROR(INDEX(vdata_regressors!$A$1:$L$2000,MATCH($A131,vdata_regressors!$A$2:$A$2000,0)+1,MATCH(K$2,vdata_regressors!$A$1:$R$1,0)),"")</f>
        <v/>
      </c>
      <c r="L131" s="23" t="str">
        <f>IFERROR(INDEX(vdata_regressors!$A$1:$L$2000,MATCH($A131,vdata_regressors!$A$2:$A$2000,0)+1,MATCH(L$2,vdata_regressors!$A$1:$R$1,0)),"")</f>
        <v/>
      </c>
      <c r="M131" s="23" t="str">
        <f>IFERROR(VLOOKUP(A131,vdata_hours!$A$2:$B$1000,2,FALSE),"")</f>
        <v/>
      </c>
    </row>
    <row r="132" spans="1:13" x14ac:dyDescent="0.25">
      <c r="A132" s="23" t="str">
        <f>IF(vdata_hours!A131=0,"",vdata_hours!A131)</f>
        <v/>
      </c>
      <c r="B132" s="23" t="str">
        <f>IFERROR(INDEX(vdata_regressors!$A$1:$L$2000,MATCH($A132,vdata_regressors!$A$2:$A$2000,0)+1,MATCH(B$2,vdata_regressors!$A$1:$R$1,0)),"")</f>
        <v/>
      </c>
      <c r="C132" s="23" t="str">
        <f>IFERROR(INDEX(vdata_regressors!$A$1:$L$2000,MATCH($A132,vdata_regressors!$A$2:$A$2000,0)+1,MATCH(C$2,vdata_regressors!$A$1:$R$1,0)),"")</f>
        <v/>
      </c>
      <c r="D132" s="23" t="str">
        <f>IFERROR(INDEX(vdata_regressors!$A$1:$L$2000,MATCH($A132,vdata_regressors!$A$2:$A$2000,0)+1,MATCH(D$2,vdata_regressors!$A$1:$R$1,0)),"")</f>
        <v/>
      </c>
      <c r="E132" s="23" t="str">
        <f>IFERROR(INDEX(vdata_regressors!$A$1:$L$2000,MATCH($A132,vdata_regressors!$A$2:$A$2000,0)+1,MATCH(E$2,vdata_regressors!$A$1:$R$1,0)),"")</f>
        <v/>
      </c>
      <c r="F132" s="23" t="str">
        <f>IFERROR(INDEX(vdata_regressors!$A$1:$L$2000,MATCH($A132,vdata_regressors!$A$2:$A$2000,0)+1,MATCH(F$2,vdata_regressors!$A$1:$R$1,0)),"")</f>
        <v/>
      </c>
      <c r="G132" s="23" t="str">
        <f>IFERROR(INDEX(vdata_regressors!$A$1:$L$2000,MATCH($A132,vdata_regressors!$A$2:$A$2000,0)+1,MATCH(G$2,vdata_regressors!$A$1:$R$1,0)),"")</f>
        <v/>
      </c>
      <c r="H132" s="23" t="str">
        <f>IFERROR(INDEX(vdata_regressors!$A$1:$L$2000,MATCH($A132,vdata_regressors!$A$2:$A$2000,0)+1,MATCH(H$2,vdata_regressors!$A$1:$R$1,0)),"")</f>
        <v/>
      </c>
      <c r="I132" s="23" t="str">
        <f>IFERROR(INDEX(vdata_regressors!$A$1:$L$2000,MATCH($A132,vdata_regressors!$A$2:$A$2000,0)+1,MATCH(I$2,vdata_regressors!$A$1:$R$1,0)),"")</f>
        <v/>
      </c>
      <c r="J132" s="23" t="str">
        <f>IFERROR(INDEX(vdata_regressors!$A$1:$L$2000,MATCH($A132,vdata_regressors!$A$2:$A$2000,0)+1,MATCH(J$2,vdata_regressors!$A$1:$R$1,0)),"")</f>
        <v/>
      </c>
      <c r="K132" s="23" t="str">
        <f>IFERROR(INDEX(vdata_regressors!$A$1:$L$2000,MATCH($A132,vdata_regressors!$A$2:$A$2000,0)+1,MATCH(K$2,vdata_regressors!$A$1:$R$1,0)),"")</f>
        <v/>
      </c>
      <c r="L132" s="23" t="str">
        <f>IFERROR(INDEX(vdata_regressors!$A$1:$L$2000,MATCH($A132,vdata_regressors!$A$2:$A$2000,0)+1,MATCH(L$2,vdata_regressors!$A$1:$R$1,0)),"")</f>
        <v/>
      </c>
      <c r="M132" s="23" t="str">
        <f>IFERROR(VLOOKUP(A132,vdata_hours!$A$2:$B$1000,2,FALSE),"")</f>
        <v/>
      </c>
    </row>
    <row r="133" spans="1:13" x14ac:dyDescent="0.25">
      <c r="A133" s="23" t="str">
        <f>IF(vdata_hours!A132=0,"",vdata_hours!A132)</f>
        <v/>
      </c>
      <c r="B133" s="23" t="str">
        <f>IFERROR(INDEX(vdata_regressors!$A$1:$L$2000,MATCH($A133,vdata_regressors!$A$2:$A$2000,0)+1,MATCH(B$2,vdata_regressors!$A$1:$R$1,0)),"")</f>
        <v/>
      </c>
      <c r="C133" s="23" t="str">
        <f>IFERROR(INDEX(vdata_regressors!$A$1:$L$2000,MATCH($A133,vdata_regressors!$A$2:$A$2000,0)+1,MATCH(C$2,vdata_regressors!$A$1:$R$1,0)),"")</f>
        <v/>
      </c>
      <c r="D133" s="23" t="str">
        <f>IFERROR(INDEX(vdata_regressors!$A$1:$L$2000,MATCH($A133,vdata_regressors!$A$2:$A$2000,0)+1,MATCH(D$2,vdata_regressors!$A$1:$R$1,0)),"")</f>
        <v/>
      </c>
      <c r="E133" s="23" t="str">
        <f>IFERROR(INDEX(vdata_regressors!$A$1:$L$2000,MATCH($A133,vdata_regressors!$A$2:$A$2000,0)+1,MATCH(E$2,vdata_regressors!$A$1:$R$1,0)),"")</f>
        <v/>
      </c>
      <c r="F133" s="23" t="str">
        <f>IFERROR(INDEX(vdata_regressors!$A$1:$L$2000,MATCH($A133,vdata_regressors!$A$2:$A$2000,0)+1,MATCH(F$2,vdata_regressors!$A$1:$R$1,0)),"")</f>
        <v/>
      </c>
      <c r="G133" s="23" t="str">
        <f>IFERROR(INDEX(vdata_regressors!$A$1:$L$2000,MATCH($A133,vdata_regressors!$A$2:$A$2000,0)+1,MATCH(G$2,vdata_regressors!$A$1:$R$1,0)),"")</f>
        <v/>
      </c>
      <c r="H133" s="23" t="str">
        <f>IFERROR(INDEX(vdata_regressors!$A$1:$L$2000,MATCH($A133,vdata_regressors!$A$2:$A$2000,0)+1,MATCH(H$2,vdata_regressors!$A$1:$R$1,0)),"")</f>
        <v/>
      </c>
      <c r="I133" s="23" t="str">
        <f>IFERROR(INDEX(vdata_regressors!$A$1:$L$2000,MATCH($A133,vdata_regressors!$A$2:$A$2000,0)+1,MATCH(I$2,vdata_regressors!$A$1:$R$1,0)),"")</f>
        <v/>
      </c>
      <c r="J133" s="23" t="str">
        <f>IFERROR(INDEX(vdata_regressors!$A$1:$L$2000,MATCH($A133,vdata_regressors!$A$2:$A$2000,0)+1,MATCH(J$2,vdata_regressors!$A$1:$R$1,0)),"")</f>
        <v/>
      </c>
      <c r="K133" s="23" t="str">
        <f>IFERROR(INDEX(vdata_regressors!$A$1:$L$2000,MATCH($A133,vdata_regressors!$A$2:$A$2000,0)+1,MATCH(K$2,vdata_regressors!$A$1:$R$1,0)),"")</f>
        <v/>
      </c>
      <c r="L133" s="23" t="str">
        <f>IFERROR(INDEX(vdata_regressors!$A$1:$L$2000,MATCH($A133,vdata_regressors!$A$2:$A$2000,0)+1,MATCH(L$2,vdata_regressors!$A$1:$R$1,0)),"")</f>
        <v/>
      </c>
      <c r="M133" s="23" t="str">
        <f>IFERROR(VLOOKUP(A133,vdata_hours!$A$2:$B$1000,2,FALSE),"")</f>
        <v/>
      </c>
    </row>
    <row r="134" spans="1:13" x14ac:dyDescent="0.25">
      <c r="A134" s="23" t="str">
        <f>IF(vdata_hours!A133=0,"",vdata_hours!A133)</f>
        <v/>
      </c>
      <c r="B134" s="23" t="str">
        <f>IFERROR(INDEX(vdata_regressors!$A$1:$L$2000,MATCH($A134,vdata_regressors!$A$2:$A$2000,0)+1,MATCH(B$2,vdata_regressors!$A$1:$R$1,0)),"")</f>
        <v/>
      </c>
      <c r="C134" s="23" t="str">
        <f>IFERROR(INDEX(vdata_regressors!$A$1:$L$2000,MATCH($A134,vdata_regressors!$A$2:$A$2000,0)+1,MATCH(C$2,vdata_regressors!$A$1:$R$1,0)),"")</f>
        <v/>
      </c>
      <c r="D134" s="23" t="str">
        <f>IFERROR(INDEX(vdata_regressors!$A$1:$L$2000,MATCH($A134,vdata_regressors!$A$2:$A$2000,0)+1,MATCH(D$2,vdata_regressors!$A$1:$R$1,0)),"")</f>
        <v/>
      </c>
      <c r="E134" s="23" t="str">
        <f>IFERROR(INDEX(vdata_regressors!$A$1:$L$2000,MATCH($A134,vdata_regressors!$A$2:$A$2000,0)+1,MATCH(E$2,vdata_regressors!$A$1:$R$1,0)),"")</f>
        <v/>
      </c>
      <c r="F134" s="23" t="str">
        <f>IFERROR(INDEX(vdata_regressors!$A$1:$L$2000,MATCH($A134,vdata_regressors!$A$2:$A$2000,0)+1,MATCH(F$2,vdata_regressors!$A$1:$R$1,0)),"")</f>
        <v/>
      </c>
      <c r="G134" s="23" t="str">
        <f>IFERROR(INDEX(vdata_regressors!$A$1:$L$2000,MATCH($A134,vdata_regressors!$A$2:$A$2000,0)+1,MATCH(G$2,vdata_regressors!$A$1:$R$1,0)),"")</f>
        <v/>
      </c>
      <c r="H134" s="23" t="str">
        <f>IFERROR(INDEX(vdata_regressors!$A$1:$L$2000,MATCH($A134,vdata_regressors!$A$2:$A$2000,0)+1,MATCH(H$2,vdata_regressors!$A$1:$R$1,0)),"")</f>
        <v/>
      </c>
      <c r="I134" s="23" t="str">
        <f>IFERROR(INDEX(vdata_regressors!$A$1:$L$2000,MATCH($A134,vdata_regressors!$A$2:$A$2000,0)+1,MATCH(I$2,vdata_regressors!$A$1:$R$1,0)),"")</f>
        <v/>
      </c>
      <c r="J134" s="23" t="str">
        <f>IFERROR(INDEX(vdata_regressors!$A$1:$L$2000,MATCH($A134,vdata_regressors!$A$2:$A$2000,0)+1,MATCH(J$2,vdata_regressors!$A$1:$R$1,0)),"")</f>
        <v/>
      </c>
      <c r="K134" s="23" t="str">
        <f>IFERROR(INDEX(vdata_regressors!$A$1:$L$2000,MATCH($A134,vdata_regressors!$A$2:$A$2000,0)+1,MATCH(K$2,vdata_regressors!$A$1:$R$1,0)),"")</f>
        <v/>
      </c>
      <c r="L134" s="23" t="str">
        <f>IFERROR(INDEX(vdata_regressors!$A$1:$L$2000,MATCH($A134,vdata_regressors!$A$2:$A$2000,0)+1,MATCH(L$2,vdata_regressors!$A$1:$R$1,0)),"")</f>
        <v/>
      </c>
      <c r="M134" s="23" t="str">
        <f>IFERROR(VLOOKUP(A134,vdata_hours!$A$2:$B$1000,2,FALSE),"")</f>
        <v/>
      </c>
    </row>
    <row r="135" spans="1:13" x14ac:dyDescent="0.25">
      <c r="A135" s="23" t="str">
        <f>IF(vdata_hours!A134=0,"",vdata_hours!A134)</f>
        <v/>
      </c>
      <c r="B135" s="23" t="str">
        <f>IFERROR(INDEX(vdata_regressors!$A$1:$L$2000,MATCH($A135,vdata_regressors!$A$2:$A$2000,0)+1,MATCH(B$2,vdata_regressors!$A$1:$R$1,0)),"")</f>
        <v/>
      </c>
      <c r="C135" s="23" t="str">
        <f>IFERROR(INDEX(vdata_regressors!$A$1:$L$2000,MATCH($A135,vdata_regressors!$A$2:$A$2000,0)+1,MATCH(C$2,vdata_regressors!$A$1:$R$1,0)),"")</f>
        <v/>
      </c>
      <c r="D135" s="23" t="str">
        <f>IFERROR(INDEX(vdata_regressors!$A$1:$L$2000,MATCH($A135,vdata_regressors!$A$2:$A$2000,0)+1,MATCH(D$2,vdata_regressors!$A$1:$R$1,0)),"")</f>
        <v/>
      </c>
      <c r="E135" s="23" t="str">
        <f>IFERROR(INDEX(vdata_regressors!$A$1:$L$2000,MATCH($A135,vdata_regressors!$A$2:$A$2000,0)+1,MATCH(E$2,vdata_regressors!$A$1:$R$1,0)),"")</f>
        <v/>
      </c>
      <c r="F135" s="23" t="str">
        <f>IFERROR(INDEX(vdata_regressors!$A$1:$L$2000,MATCH($A135,vdata_regressors!$A$2:$A$2000,0)+1,MATCH(F$2,vdata_regressors!$A$1:$R$1,0)),"")</f>
        <v/>
      </c>
      <c r="G135" s="23" t="str">
        <f>IFERROR(INDEX(vdata_regressors!$A$1:$L$2000,MATCH($A135,vdata_regressors!$A$2:$A$2000,0)+1,MATCH(G$2,vdata_regressors!$A$1:$R$1,0)),"")</f>
        <v/>
      </c>
      <c r="H135" s="23" t="str">
        <f>IFERROR(INDEX(vdata_regressors!$A$1:$L$2000,MATCH($A135,vdata_regressors!$A$2:$A$2000,0)+1,MATCH(H$2,vdata_regressors!$A$1:$R$1,0)),"")</f>
        <v/>
      </c>
      <c r="I135" s="23" t="str">
        <f>IFERROR(INDEX(vdata_regressors!$A$1:$L$2000,MATCH($A135,vdata_regressors!$A$2:$A$2000,0)+1,MATCH(I$2,vdata_regressors!$A$1:$R$1,0)),"")</f>
        <v/>
      </c>
      <c r="J135" s="23" t="str">
        <f>IFERROR(INDEX(vdata_regressors!$A$1:$L$2000,MATCH($A135,vdata_regressors!$A$2:$A$2000,0)+1,MATCH(J$2,vdata_regressors!$A$1:$R$1,0)),"")</f>
        <v/>
      </c>
      <c r="K135" s="23" t="str">
        <f>IFERROR(INDEX(vdata_regressors!$A$1:$L$2000,MATCH($A135,vdata_regressors!$A$2:$A$2000,0)+1,MATCH(K$2,vdata_regressors!$A$1:$R$1,0)),"")</f>
        <v/>
      </c>
      <c r="L135" s="23" t="str">
        <f>IFERROR(INDEX(vdata_regressors!$A$1:$L$2000,MATCH($A135,vdata_regressors!$A$2:$A$2000,0)+1,MATCH(L$2,vdata_regressors!$A$1:$R$1,0)),"")</f>
        <v/>
      </c>
      <c r="M135" s="23" t="str">
        <f>IFERROR(VLOOKUP(A135,vdata_hours!$A$2:$B$1000,2,FALSE),"")</f>
        <v/>
      </c>
    </row>
    <row r="136" spans="1:13" x14ac:dyDescent="0.25">
      <c r="A136" s="23" t="str">
        <f>IF(vdata_hours!A135=0,"",vdata_hours!A135)</f>
        <v/>
      </c>
      <c r="B136" s="23" t="str">
        <f>IFERROR(INDEX(vdata_regressors!$A$1:$L$2000,MATCH($A136,vdata_regressors!$A$2:$A$2000,0)+1,MATCH(B$2,vdata_regressors!$A$1:$R$1,0)),"")</f>
        <v/>
      </c>
      <c r="C136" s="23" t="str">
        <f>IFERROR(INDEX(vdata_regressors!$A$1:$L$2000,MATCH($A136,vdata_regressors!$A$2:$A$2000,0)+1,MATCH(C$2,vdata_regressors!$A$1:$R$1,0)),"")</f>
        <v/>
      </c>
      <c r="D136" s="23" t="str">
        <f>IFERROR(INDEX(vdata_regressors!$A$1:$L$2000,MATCH($A136,vdata_regressors!$A$2:$A$2000,0)+1,MATCH(D$2,vdata_regressors!$A$1:$R$1,0)),"")</f>
        <v/>
      </c>
      <c r="E136" s="23" t="str">
        <f>IFERROR(INDEX(vdata_regressors!$A$1:$L$2000,MATCH($A136,vdata_regressors!$A$2:$A$2000,0)+1,MATCH(E$2,vdata_regressors!$A$1:$R$1,0)),"")</f>
        <v/>
      </c>
      <c r="F136" s="23" t="str">
        <f>IFERROR(INDEX(vdata_regressors!$A$1:$L$2000,MATCH($A136,vdata_regressors!$A$2:$A$2000,0)+1,MATCH(F$2,vdata_regressors!$A$1:$R$1,0)),"")</f>
        <v/>
      </c>
      <c r="G136" s="23" t="str">
        <f>IFERROR(INDEX(vdata_regressors!$A$1:$L$2000,MATCH($A136,vdata_regressors!$A$2:$A$2000,0)+1,MATCH(G$2,vdata_regressors!$A$1:$R$1,0)),"")</f>
        <v/>
      </c>
      <c r="H136" s="23" t="str">
        <f>IFERROR(INDEX(vdata_regressors!$A$1:$L$2000,MATCH($A136,vdata_regressors!$A$2:$A$2000,0)+1,MATCH(H$2,vdata_regressors!$A$1:$R$1,0)),"")</f>
        <v/>
      </c>
      <c r="I136" s="23" t="str">
        <f>IFERROR(INDEX(vdata_regressors!$A$1:$L$2000,MATCH($A136,vdata_regressors!$A$2:$A$2000,0)+1,MATCH(I$2,vdata_regressors!$A$1:$R$1,0)),"")</f>
        <v/>
      </c>
      <c r="J136" s="23" t="str">
        <f>IFERROR(INDEX(vdata_regressors!$A$1:$L$2000,MATCH($A136,vdata_regressors!$A$2:$A$2000,0)+1,MATCH(J$2,vdata_regressors!$A$1:$R$1,0)),"")</f>
        <v/>
      </c>
      <c r="K136" s="23" t="str">
        <f>IFERROR(INDEX(vdata_regressors!$A$1:$L$2000,MATCH($A136,vdata_regressors!$A$2:$A$2000,0)+1,MATCH(K$2,vdata_regressors!$A$1:$R$1,0)),"")</f>
        <v/>
      </c>
      <c r="L136" s="23" t="str">
        <f>IFERROR(INDEX(vdata_regressors!$A$1:$L$2000,MATCH($A136,vdata_regressors!$A$2:$A$2000,0)+1,MATCH(L$2,vdata_regressors!$A$1:$R$1,0)),"")</f>
        <v/>
      </c>
      <c r="M136" s="23" t="str">
        <f>IFERROR(VLOOKUP(A136,vdata_hours!$A$2:$B$1000,2,FALSE),"")</f>
        <v/>
      </c>
    </row>
    <row r="137" spans="1:13" x14ac:dyDescent="0.25">
      <c r="A137" s="23" t="str">
        <f>IF(vdata_hours!A136=0,"",vdata_hours!A136)</f>
        <v/>
      </c>
      <c r="B137" s="23" t="str">
        <f>IFERROR(INDEX(vdata_regressors!$A$1:$L$2000,MATCH($A137,vdata_regressors!$A$2:$A$2000,0)+1,MATCH(B$2,vdata_regressors!$A$1:$R$1,0)),"")</f>
        <v/>
      </c>
      <c r="C137" s="23" t="str">
        <f>IFERROR(INDEX(vdata_regressors!$A$1:$L$2000,MATCH($A137,vdata_regressors!$A$2:$A$2000,0)+1,MATCH(C$2,vdata_regressors!$A$1:$R$1,0)),"")</f>
        <v/>
      </c>
      <c r="D137" s="23" t="str">
        <f>IFERROR(INDEX(vdata_regressors!$A$1:$L$2000,MATCH($A137,vdata_regressors!$A$2:$A$2000,0)+1,MATCH(D$2,vdata_regressors!$A$1:$R$1,0)),"")</f>
        <v/>
      </c>
      <c r="E137" s="23" t="str">
        <f>IFERROR(INDEX(vdata_regressors!$A$1:$L$2000,MATCH($A137,vdata_regressors!$A$2:$A$2000,0)+1,MATCH(E$2,vdata_regressors!$A$1:$R$1,0)),"")</f>
        <v/>
      </c>
      <c r="F137" s="23" t="str">
        <f>IFERROR(INDEX(vdata_regressors!$A$1:$L$2000,MATCH($A137,vdata_regressors!$A$2:$A$2000,0)+1,MATCH(F$2,vdata_regressors!$A$1:$R$1,0)),"")</f>
        <v/>
      </c>
      <c r="G137" s="23" t="str">
        <f>IFERROR(INDEX(vdata_regressors!$A$1:$L$2000,MATCH($A137,vdata_regressors!$A$2:$A$2000,0)+1,MATCH(G$2,vdata_regressors!$A$1:$R$1,0)),"")</f>
        <v/>
      </c>
      <c r="H137" s="23" t="str">
        <f>IFERROR(INDEX(vdata_regressors!$A$1:$L$2000,MATCH($A137,vdata_regressors!$A$2:$A$2000,0)+1,MATCH(H$2,vdata_regressors!$A$1:$R$1,0)),"")</f>
        <v/>
      </c>
      <c r="I137" s="23" t="str">
        <f>IFERROR(INDEX(vdata_regressors!$A$1:$L$2000,MATCH($A137,vdata_regressors!$A$2:$A$2000,0)+1,MATCH(I$2,vdata_regressors!$A$1:$R$1,0)),"")</f>
        <v/>
      </c>
      <c r="J137" s="23" t="str">
        <f>IFERROR(INDEX(vdata_regressors!$A$1:$L$2000,MATCH($A137,vdata_regressors!$A$2:$A$2000,0)+1,MATCH(J$2,vdata_regressors!$A$1:$R$1,0)),"")</f>
        <v/>
      </c>
      <c r="K137" s="23" t="str">
        <f>IFERROR(INDEX(vdata_regressors!$A$1:$L$2000,MATCH($A137,vdata_regressors!$A$2:$A$2000,0)+1,MATCH(K$2,vdata_regressors!$A$1:$R$1,0)),"")</f>
        <v/>
      </c>
      <c r="L137" s="23" t="str">
        <f>IFERROR(INDEX(vdata_regressors!$A$1:$L$2000,MATCH($A137,vdata_regressors!$A$2:$A$2000,0)+1,MATCH(L$2,vdata_regressors!$A$1:$R$1,0)),"")</f>
        <v/>
      </c>
      <c r="M137" s="23" t="str">
        <f>IFERROR(VLOOKUP(A137,vdata_hours!$A$2:$B$1000,2,FALSE),"")</f>
        <v/>
      </c>
    </row>
    <row r="138" spans="1:13" x14ac:dyDescent="0.25">
      <c r="A138" s="23" t="str">
        <f>IF(vdata_hours!A137=0,"",vdata_hours!A137)</f>
        <v/>
      </c>
      <c r="B138" s="23" t="str">
        <f>IFERROR(INDEX(vdata_regressors!$A$1:$L$2000,MATCH($A138,vdata_regressors!$A$2:$A$2000,0)+1,MATCH(B$2,vdata_regressors!$A$1:$R$1,0)),"")</f>
        <v/>
      </c>
      <c r="C138" s="23" t="str">
        <f>IFERROR(INDEX(vdata_regressors!$A$1:$L$2000,MATCH($A138,vdata_regressors!$A$2:$A$2000,0)+1,MATCH(C$2,vdata_regressors!$A$1:$R$1,0)),"")</f>
        <v/>
      </c>
      <c r="D138" s="23" t="str">
        <f>IFERROR(INDEX(vdata_regressors!$A$1:$L$2000,MATCH($A138,vdata_regressors!$A$2:$A$2000,0)+1,MATCH(D$2,vdata_regressors!$A$1:$R$1,0)),"")</f>
        <v/>
      </c>
      <c r="E138" s="23" t="str">
        <f>IFERROR(INDEX(vdata_regressors!$A$1:$L$2000,MATCH($A138,vdata_regressors!$A$2:$A$2000,0)+1,MATCH(E$2,vdata_regressors!$A$1:$R$1,0)),"")</f>
        <v/>
      </c>
      <c r="F138" s="23" t="str">
        <f>IFERROR(INDEX(vdata_regressors!$A$1:$L$2000,MATCH($A138,vdata_regressors!$A$2:$A$2000,0)+1,MATCH(F$2,vdata_regressors!$A$1:$R$1,0)),"")</f>
        <v/>
      </c>
      <c r="G138" s="23" t="str">
        <f>IFERROR(INDEX(vdata_regressors!$A$1:$L$2000,MATCH($A138,vdata_regressors!$A$2:$A$2000,0)+1,MATCH(G$2,vdata_regressors!$A$1:$R$1,0)),"")</f>
        <v/>
      </c>
      <c r="H138" s="23" t="str">
        <f>IFERROR(INDEX(vdata_regressors!$A$1:$L$2000,MATCH($A138,vdata_regressors!$A$2:$A$2000,0)+1,MATCH(H$2,vdata_regressors!$A$1:$R$1,0)),"")</f>
        <v/>
      </c>
      <c r="I138" s="23" t="str">
        <f>IFERROR(INDEX(vdata_regressors!$A$1:$L$2000,MATCH($A138,vdata_regressors!$A$2:$A$2000,0)+1,MATCH(I$2,vdata_regressors!$A$1:$R$1,0)),"")</f>
        <v/>
      </c>
      <c r="J138" s="23" t="str">
        <f>IFERROR(INDEX(vdata_regressors!$A$1:$L$2000,MATCH($A138,vdata_regressors!$A$2:$A$2000,0)+1,MATCH(J$2,vdata_regressors!$A$1:$R$1,0)),"")</f>
        <v/>
      </c>
      <c r="K138" s="23" t="str">
        <f>IFERROR(INDEX(vdata_regressors!$A$1:$L$2000,MATCH($A138,vdata_regressors!$A$2:$A$2000,0)+1,MATCH(K$2,vdata_regressors!$A$1:$R$1,0)),"")</f>
        <v/>
      </c>
      <c r="L138" s="23" t="str">
        <f>IFERROR(INDEX(vdata_regressors!$A$1:$L$2000,MATCH($A138,vdata_regressors!$A$2:$A$2000,0)+1,MATCH(L$2,vdata_regressors!$A$1:$R$1,0)),"")</f>
        <v/>
      </c>
      <c r="M138" s="23" t="str">
        <f>IFERROR(VLOOKUP(A138,vdata_hours!$A$2:$B$1000,2,FALSE),"")</f>
        <v/>
      </c>
    </row>
    <row r="139" spans="1:13" x14ac:dyDescent="0.25">
      <c r="A139" s="23" t="str">
        <f>IF(vdata_hours!A138=0,"",vdata_hours!A138)</f>
        <v/>
      </c>
      <c r="B139" s="23" t="str">
        <f>IFERROR(INDEX(vdata_regressors!$A$1:$L$2000,MATCH($A139,vdata_regressors!$A$2:$A$2000,0)+1,MATCH(B$2,vdata_regressors!$A$1:$R$1,0)),"")</f>
        <v/>
      </c>
      <c r="C139" s="23" t="str">
        <f>IFERROR(INDEX(vdata_regressors!$A$1:$L$2000,MATCH($A139,vdata_regressors!$A$2:$A$2000,0)+1,MATCH(C$2,vdata_regressors!$A$1:$R$1,0)),"")</f>
        <v/>
      </c>
      <c r="D139" s="23" t="str">
        <f>IFERROR(INDEX(vdata_regressors!$A$1:$L$2000,MATCH($A139,vdata_regressors!$A$2:$A$2000,0)+1,MATCH(D$2,vdata_regressors!$A$1:$R$1,0)),"")</f>
        <v/>
      </c>
      <c r="E139" s="23" t="str">
        <f>IFERROR(INDEX(vdata_regressors!$A$1:$L$2000,MATCH($A139,vdata_regressors!$A$2:$A$2000,0)+1,MATCH(E$2,vdata_regressors!$A$1:$R$1,0)),"")</f>
        <v/>
      </c>
      <c r="F139" s="23" t="str">
        <f>IFERROR(INDEX(vdata_regressors!$A$1:$L$2000,MATCH($A139,vdata_regressors!$A$2:$A$2000,0)+1,MATCH(F$2,vdata_regressors!$A$1:$R$1,0)),"")</f>
        <v/>
      </c>
      <c r="G139" s="23" t="str">
        <f>IFERROR(INDEX(vdata_regressors!$A$1:$L$2000,MATCH($A139,vdata_regressors!$A$2:$A$2000,0)+1,MATCH(G$2,vdata_regressors!$A$1:$R$1,0)),"")</f>
        <v/>
      </c>
      <c r="H139" s="23" t="str">
        <f>IFERROR(INDEX(vdata_regressors!$A$1:$L$2000,MATCH($A139,vdata_regressors!$A$2:$A$2000,0)+1,MATCH(H$2,vdata_regressors!$A$1:$R$1,0)),"")</f>
        <v/>
      </c>
      <c r="I139" s="23" t="str">
        <f>IFERROR(INDEX(vdata_regressors!$A$1:$L$2000,MATCH($A139,vdata_regressors!$A$2:$A$2000,0)+1,MATCH(I$2,vdata_regressors!$A$1:$R$1,0)),"")</f>
        <v/>
      </c>
      <c r="J139" s="23" t="str">
        <f>IFERROR(INDEX(vdata_regressors!$A$1:$L$2000,MATCH($A139,vdata_regressors!$A$2:$A$2000,0)+1,MATCH(J$2,vdata_regressors!$A$1:$R$1,0)),"")</f>
        <v/>
      </c>
      <c r="K139" s="23" t="str">
        <f>IFERROR(INDEX(vdata_regressors!$A$1:$L$2000,MATCH($A139,vdata_regressors!$A$2:$A$2000,0)+1,MATCH(K$2,vdata_regressors!$A$1:$R$1,0)),"")</f>
        <v/>
      </c>
      <c r="L139" s="23" t="str">
        <f>IFERROR(INDEX(vdata_regressors!$A$1:$L$2000,MATCH($A139,vdata_regressors!$A$2:$A$2000,0)+1,MATCH(L$2,vdata_regressors!$A$1:$R$1,0)),"")</f>
        <v/>
      </c>
      <c r="M139" s="23" t="str">
        <f>IFERROR(VLOOKUP(A139,vdata_hours!$A$2:$B$1000,2,FALSE),"")</f>
        <v/>
      </c>
    </row>
    <row r="140" spans="1:13" x14ac:dyDescent="0.25">
      <c r="A140" s="23" t="str">
        <f>IF(vdata_hours!A139=0,"",vdata_hours!A139)</f>
        <v/>
      </c>
      <c r="B140" s="23" t="str">
        <f>IFERROR(INDEX(vdata_regressors!$A$1:$L$2000,MATCH($A140,vdata_regressors!$A$2:$A$2000,0)+1,MATCH(B$2,vdata_regressors!$A$1:$R$1,0)),"")</f>
        <v/>
      </c>
      <c r="C140" s="23" t="str">
        <f>IFERROR(INDEX(vdata_regressors!$A$1:$L$2000,MATCH($A140,vdata_regressors!$A$2:$A$2000,0)+1,MATCH(C$2,vdata_regressors!$A$1:$R$1,0)),"")</f>
        <v/>
      </c>
      <c r="D140" s="23" t="str">
        <f>IFERROR(INDEX(vdata_regressors!$A$1:$L$2000,MATCH($A140,vdata_regressors!$A$2:$A$2000,0)+1,MATCH(D$2,vdata_regressors!$A$1:$R$1,0)),"")</f>
        <v/>
      </c>
      <c r="E140" s="23" t="str">
        <f>IFERROR(INDEX(vdata_regressors!$A$1:$L$2000,MATCH($A140,vdata_regressors!$A$2:$A$2000,0)+1,MATCH(E$2,vdata_regressors!$A$1:$R$1,0)),"")</f>
        <v/>
      </c>
      <c r="F140" s="23" t="str">
        <f>IFERROR(INDEX(vdata_regressors!$A$1:$L$2000,MATCH($A140,vdata_regressors!$A$2:$A$2000,0)+1,MATCH(F$2,vdata_regressors!$A$1:$R$1,0)),"")</f>
        <v/>
      </c>
      <c r="G140" s="23" t="str">
        <f>IFERROR(INDEX(vdata_regressors!$A$1:$L$2000,MATCH($A140,vdata_regressors!$A$2:$A$2000,0)+1,MATCH(G$2,vdata_regressors!$A$1:$R$1,0)),"")</f>
        <v/>
      </c>
      <c r="H140" s="23" t="str">
        <f>IFERROR(INDEX(vdata_regressors!$A$1:$L$2000,MATCH($A140,vdata_regressors!$A$2:$A$2000,0)+1,MATCH(H$2,vdata_regressors!$A$1:$R$1,0)),"")</f>
        <v/>
      </c>
      <c r="I140" s="23" t="str">
        <f>IFERROR(INDEX(vdata_regressors!$A$1:$L$2000,MATCH($A140,vdata_regressors!$A$2:$A$2000,0)+1,MATCH(I$2,vdata_regressors!$A$1:$R$1,0)),"")</f>
        <v/>
      </c>
      <c r="J140" s="23" t="str">
        <f>IFERROR(INDEX(vdata_regressors!$A$1:$L$2000,MATCH($A140,vdata_regressors!$A$2:$A$2000,0)+1,MATCH(J$2,vdata_regressors!$A$1:$R$1,0)),"")</f>
        <v/>
      </c>
      <c r="K140" s="23" t="str">
        <f>IFERROR(INDEX(vdata_regressors!$A$1:$L$2000,MATCH($A140,vdata_regressors!$A$2:$A$2000,0)+1,MATCH(K$2,vdata_regressors!$A$1:$R$1,0)),"")</f>
        <v/>
      </c>
      <c r="L140" s="23" t="str">
        <f>IFERROR(INDEX(vdata_regressors!$A$1:$L$2000,MATCH($A140,vdata_regressors!$A$2:$A$2000,0)+1,MATCH(L$2,vdata_regressors!$A$1:$R$1,0)),"")</f>
        <v/>
      </c>
      <c r="M140" s="23" t="str">
        <f>IFERROR(VLOOKUP(A140,vdata_hours!$A$2:$B$1000,2,FALSE),"")</f>
        <v/>
      </c>
    </row>
    <row r="141" spans="1:13" x14ac:dyDescent="0.25">
      <c r="A141" s="23" t="str">
        <f>IF(vdata_hours!A140=0,"",vdata_hours!A140)</f>
        <v/>
      </c>
      <c r="B141" s="23" t="str">
        <f>IFERROR(INDEX(vdata_regressors!$A$1:$L$2000,MATCH($A141,vdata_regressors!$A$2:$A$2000,0)+1,MATCH(B$2,vdata_regressors!$A$1:$R$1,0)),"")</f>
        <v/>
      </c>
      <c r="C141" s="23" t="str">
        <f>IFERROR(INDEX(vdata_regressors!$A$1:$L$2000,MATCH($A141,vdata_regressors!$A$2:$A$2000,0)+1,MATCH(C$2,vdata_regressors!$A$1:$R$1,0)),"")</f>
        <v/>
      </c>
      <c r="D141" s="23" t="str">
        <f>IFERROR(INDEX(vdata_regressors!$A$1:$L$2000,MATCH($A141,vdata_regressors!$A$2:$A$2000,0)+1,MATCH(D$2,vdata_regressors!$A$1:$R$1,0)),"")</f>
        <v/>
      </c>
      <c r="E141" s="23" t="str">
        <f>IFERROR(INDEX(vdata_regressors!$A$1:$L$2000,MATCH($A141,vdata_regressors!$A$2:$A$2000,0)+1,MATCH(E$2,vdata_regressors!$A$1:$R$1,0)),"")</f>
        <v/>
      </c>
      <c r="F141" s="23" t="str">
        <f>IFERROR(INDEX(vdata_regressors!$A$1:$L$2000,MATCH($A141,vdata_regressors!$A$2:$A$2000,0)+1,MATCH(F$2,vdata_regressors!$A$1:$R$1,0)),"")</f>
        <v/>
      </c>
      <c r="G141" s="23" t="str">
        <f>IFERROR(INDEX(vdata_regressors!$A$1:$L$2000,MATCH($A141,vdata_regressors!$A$2:$A$2000,0)+1,MATCH(G$2,vdata_regressors!$A$1:$R$1,0)),"")</f>
        <v/>
      </c>
      <c r="H141" s="23" t="str">
        <f>IFERROR(INDEX(vdata_regressors!$A$1:$L$2000,MATCH($A141,vdata_regressors!$A$2:$A$2000,0)+1,MATCH(H$2,vdata_regressors!$A$1:$R$1,0)),"")</f>
        <v/>
      </c>
      <c r="I141" s="23" t="str">
        <f>IFERROR(INDEX(vdata_regressors!$A$1:$L$2000,MATCH($A141,vdata_regressors!$A$2:$A$2000,0)+1,MATCH(I$2,vdata_regressors!$A$1:$R$1,0)),"")</f>
        <v/>
      </c>
      <c r="J141" s="23" t="str">
        <f>IFERROR(INDEX(vdata_regressors!$A$1:$L$2000,MATCH($A141,vdata_regressors!$A$2:$A$2000,0)+1,MATCH(J$2,vdata_regressors!$A$1:$R$1,0)),"")</f>
        <v/>
      </c>
      <c r="K141" s="23" t="str">
        <f>IFERROR(INDEX(vdata_regressors!$A$1:$L$2000,MATCH($A141,vdata_regressors!$A$2:$A$2000,0)+1,MATCH(K$2,vdata_regressors!$A$1:$R$1,0)),"")</f>
        <v/>
      </c>
      <c r="L141" s="23" t="str">
        <f>IFERROR(INDEX(vdata_regressors!$A$1:$L$2000,MATCH($A141,vdata_regressors!$A$2:$A$2000,0)+1,MATCH(L$2,vdata_regressors!$A$1:$R$1,0)),"")</f>
        <v/>
      </c>
      <c r="M141" s="23" t="str">
        <f>IFERROR(VLOOKUP(A141,vdata_hours!$A$2:$B$1000,2,FALSE),"")</f>
        <v/>
      </c>
    </row>
    <row r="142" spans="1:13" x14ac:dyDescent="0.25">
      <c r="A142" s="23" t="str">
        <f>IF(vdata_hours!A141=0,"",vdata_hours!A141)</f>
        <v/>
      </c>
      <c r="B142" s="23" t="str">
        <f>IFERROR(INDEX(vdata_regressors!$A$1:$L$2000,MATCH($A142,vdata_regressors!$A$2:$A$2000,0)+1,MATCH(B$2,vdata_regressors!$A$1:$R$1,0)),"")</f>
        <v/>
      </c>
      <c r="C142" s="23" t="str">
        <f>IFERROR(INDEX(vdata_regressors!$A$1:$L$2000,MATCH($A142,vdata_regressors!$A$2:$A$2000,0)+1,MATCH(C$2,vdata_regressors!$A$1:$R$1,0)),"")</f>
        <v/>
      </c>
      <c r="D142" s="23" t="str">
        <f>IFERROR(INDEX(vdata_regressors!$A$1:$L$2000,MATCH($A142,vdata_regressors!$A$2:$A$2000,0)+1,MATCH(D$2,vdata_regressors!$A$1:$R$1,0)),"")</f>
        <v/>
      </c>
      <c r="E142" s="23" t="str">
        <f>IFERROR(INDEX(vdata_regressors!$A$1:$L$2000,MATCH($A142,vdata_regressors!$A$2:$A$2000,0)+1,MATCH(E$2,vdata_regressors!$A$1:$R$1,0)),"")</f>
        <v/>
      </c>
      <c r="F142" s="23" t="str">
        <f>IFERROR(INDEX(vdata_regressors!$A$1:$L$2000,MATCH($A142,vdata_regressors!$A$2:$A$2000,0)+1,MATCH(F$2,vdata_regressors!$A$1:$R$1,0)),"")</f>
        <v/>
      </c>
      <c r="G142" s="23" t="str">
        <f>IFERROR(INDEX(vdata_regressors!$A$1:$L$2000,MATCH($A142,vdata_regressors!$A$2:$A$2000,0)+1,MATCH(G$2,vdata_regressors!$A$1:$R$1,0)),"")</f>
        <v/>
      </c>
      <c r="H142" s="23" t="str">
        <f>IFERROR(INDEX(vdata_regressors!$A$1:$L$2000,MATCH($A142,vdata_regressors!$A$2:$A$2000,0)+1,MATCH(H$2,vdata_regressors!$A$1:$R$1,0)),"")</f>
        <v/>
      </c>
      <c r="I142" s="23" t="str">
        <f>IFERROR(INDEX(vdata_regressors!$A$1:$L$2000,MATCH($A142,vdata_regressors!$A$2:$A$2000,0)+1,MATCH(I$2,vdata_regressors!$A$1:$R$1,0)),"")</f>
        <v/>
      </c>
      <c r="J142" s="23" t="str">
        <f>IFERROR(INDEX(vdata_regressors!$A$1:$L$2000,MATCH($A142,vdata_regressors!$A$2:$A$2000,0)+1,MATCH(J$2,vdata_regressors!$A$1:$R$1,0)),"")</f>
        <v/>
      </c>
      <c r="K142" s="23" t="str">
        <f>IFERROR(INDEX(vdata_regressors!$A$1:$L$2000,MATCH($A142,vdata_regressors!$A$2:$A$2000,0)+1,MATCH(K$2,vdata_regressors!$A$1:$R$1,0)),"")</f>
        <v/>
      </c>
      <c r="L142" s="23" t="str">
        <f>IFERROR(INDEX(vdata_regressors!$A$1:$L$2000,MATCH($A142,vdata_regressors!$A$2:$A$2000,0)+1,MATCH(L$2,vdata_regressors!$A$1:$R$1,0)),"")</f>
        <v/>
      </c>
      <c r="M142" s="23" t="str">
        <f>IFERROR(VLOOKUP(A142,vdata_hours!$A$2:$B$1000,2,FALSE),"")</f>
        <v/>
      </c>
    </row>
    <row r="143" spans="1:13" x14ac:dyDescent="0.25">
      <c r="A143" s="23" t="str">
        <f>IF(vdata_hours!A142=0,"",vdata_hours!A142)</f>
        <v/>
      </c>
      <c r="B143" s="23" t="str">
        <f>IFERROR(INDEX(vdata_regressors!$A$1:$L$2000,MATCH($A143,vdata_regressors!$A$2:$A$2000,0)+1,MATCH(B$2,vdata_regressors!$A$1:$R$1,0)),"")</f>
        <v/>
      </c>
      <c r="C143" s="23" t="str">
        <f>IFERROR(INDEX(vdata_regressors!$A$1:$L$2000,MATCH($A143,vdata_regressors!$A$2:$A$2000,0)+1,MATCH(C$2,vdata_regressors!$A$1:$R$1,0)),"")</f>
        <v/>
      </c>
      <c r="D143" s="23" t="str">
        <f>IFERROR(INDEX(vdata_regressors!$A$1:$L$2000,MATCH($A143,vdata_regressors!$A$2:$A$2000,0)+1,MATCH(D$2,vdata_regressors!$A$1:$R$1,0)),"")</f>
        <v/>
      </c>
      <c r="E143" s="23" t="str">
        <f>IFERROR(INDEX(vdata_regressors!$A$1:$L$2000,MATCH($A143,vdata_regressors!$A$2:$A$2000,0)+1,MATCH(E$2,vdata_regressors!$A$1:$R$1,0)),"")</f>
        <v/>
      </c>
      <c r="F143" s="23" t="str">
        <f>IFERROR(INDEX(vdata_regressors!$A$1:$L$2000,MATCH($A143,vdata_regressors!$A$2:$A$2000,0)+1,MATCH(F$2,vdata_regressors!$A$1:$R$1,0)),"")</f>
        <v/>
      </c>
      <c r="G143" s="23" t="str">
        <f>IFERROR(INDEX(vdata_regressors!$A$1:$L$2000,MATCH($A143,vdata_regressors!$A$2:$A$2000,0)+1,MATCH(G$2,vdata_regressors!$A$1:$R$1,0)),"")</f>
        <v/>
      </c>
      <c r="H143" s="23" t="str">
        <f>IFERROR(INDEX(vdata_regressors!$A$1:$L$2000,MATCH($A143,vdata_regressors!$A$2:$A$2000,0)+1,MATCH(H$2,vdata_regressors!$A$1:$R$1,0)),"")</f>
        <v/>
      </c>
      <c r="I143" s="23" t="str">
        <f>IFERROR(INDEX(vdata_regressors!$A$1:$L$2000,MATCH($A143,vdata_regressors!$A$2:$A$2000,0)+1,MATCH(I$2,vdata_regressors!$A$1:$R$1,0)),"")</f>
        <v/>
      </c>
      <c r="J143" s="23" t="str">
        <f>IFERROR(INDEX(vdata_regressors!$A$1:$L$2000,MATCH($A143,vdata_regressors!$A$2:$A$2000,0)+1,MATCH(J$2,vdata_regressors!$A$1:$R$1,0)),"")</f>
        <v/>
      </c>
      <c r="K143" s="23" t="str">
        <f>IFERROR(INDEX(vdata_regressors!$A$1:$L$2000,MATCH($A143,vdata_regressors!$A$2:$A$2000,0)+1,MATCH(K$2,vdata_regressors!$A$1:$R$1,0)),"")</f>
        <v/>
      </c>
      <c r="L143" s="23" t="str">
        <f>IFERROR(INDEX(vdata_regressors!$A$1:$L$2000,MATCH($A143,vdata_regressors!$A$2:$A$2000,0)+1,MATCH(L$2,vdata_regressors!$A$1:$R$1,0)),"")</f>
        <v/>
      </c>
      <c r="M143" s="23" t="str">
        <f>IFERROR(VLOOKUP(A143,vdata_hours!$A$2:$B$1000,2,FALSE),"")</f>
        <v/>
      </c>
    </row>
    <row r="144" spans="1:13" x14ac:dyDescent="0.25">
      <c r="A144" s="23" t="str">
        <f>IF(vdata_hours!A143=0,"",vdata_hours!A143)</f>
        <v/>
      </c>
      <c r="B144" s="23" t="str">
        <f>IFERROR(INDEX(vdata_regressors!$A$1:$L$2000,MATCH($A144,vdata_regressors!$A$2:$A$2000,0)+1,MATCH(B$2,vdata_regressors!$A$1:$R$1,0)),"")</f>
        <v/>
      </c>
      <c r="C144" s="23" t="str">
        <f>IFERROR(INDEX(vdata_regressors!$A$1:$L$2000,MATCH($A144,vdata_regressors!$A$2:$A$2000,0)+1,MATCH(C$2,vdata_regressors!$A$1:$R$1,0)),"")</f>
        <v/>
      </c>
      <c r="D144" s="23" t="str">
        <f>IFERROR(INDEX(vdata_regressors!$A$1:$L$2000,MATCH($A144,vdata_regressors!$A$2:$A$2000,0)+1,MATCH(D$2,vdata_regressors!$A$1:$R$1,0)),"")</f>
        <v/>
      </c>
      <c r="E144" s="23" t="str">
        <f>IFERROR(INDEX(vdata_regressors!$A$1:$L$2000,MATCH($A144,vdata_regressors!$A$2:$A$2000,0)+1,MATCH(E$2,vdata_regressors!$A$1:$R$1,0)),"")</f>
        <v/>
      </c>
      <c r="F144" s="23" t="str">
        <f>IFERROR(INDEX(vdata_regressors!$A$1:$L$2000,MATCH($A144,vdata_regressors!$A$2:$A$2000,0)+1,MATCH(F$2,vdata_regressors!$A$1:$R$1,0)),"")</f>
        <v/>
      </c>
      <c r="G144" s="23" t="str">
        <f>IFERROR(INDEX(vdata_regressors!$A$1:$L$2000,MATCH($A144,vdata_regressors!$A$2:$A$2000,0)+1,MATCH(G$2,vdata_regressors!$A$1:$R$1,0)),"")</f>
        <v/>
      </c>
      <c r="H144" s="23" t="str">
        <f>IFERROR(INDEX(vdata_regressors!$A$1:$L$2000,MATCH($A144,vdata_regressors!$A$2:$A$2000,0)+1,MATCH(H$2,vdata_regressors!$A$1:$R$1,0)),"")</f>
        <v/>
      </c>
      <c r="I144" s="23" t="str">
        <f>IFERROR(INDEX(vdata_regressors!$A$1:$L$2000,MATCH($A144,vdata_regressors!$A$2:$A$2000,0)+1,MATCH(I$2,vdata_regressors!$A$1:$R$1,0)),"")</f>
        <v/>
      </c>
      <c r="J144" s="23" t="str">
        <f>IFERROR(INDEX(vdata_regressors!$A$1:$L$2000,MATCH($A144,vdata_regressors!$A$2:$A$2000,0)+1,MATCH(J$2,vdata_regressors!$A$1:$R$1,0)),"")</f>
        <v/>
      </c>
      <c r="K144" s="23" t="str">
        <f>IFERROR(INDEX(vdata_regressors!$A$1:$L$2000,MATCH($A144,vdata_regressors!$A$2:$A$2000,0)+1,MATCH(K$2,vdata_regressors!$A$1:$R$1,0)),"")</f>
        <v/>
      </c>
      <c r="L144" s="23" t="str">
        <f>IFERROR(INDEX(vdata_regressors!$A$1:$L$2000,MATCH($A144,vdata_regressors!$A$2:$A$2000,0)+1,MATCH(L$2,vdata_regressors!$A$1:$R$1,0)),"")</f>
        <v/>
      </c>
      <c r="M144" s="23" t="str">
        <f>IFERROR(VLOOKUP(A144,vdata_hours!$A$2:$B$1000,2,FALSE),"")</f>
        <v/>
      </c>
    </row>
    <row r="145" spans="1:13" x14ac:dyDescent="0.25">
      <c r="A145" s="23" t="str">
        <f>IF(vdata_hours!A144=0,"",vdata_hours!A144)</f>
        <v/>
      </c>
      <c r="B145" s="23" t="str">
        <f>IFERROR(INDEX(vdata_regressors!$A$1:$L$2000,MATCH($A145,vdata_regressors!$A$2:$A$2000,0)+1,MATCH(B$2,vdata_regressors!$A$1:$R$1,0)),"")</f>
        <v/>
      </c>
      <c r="C145" s="23" t="str">
        <f>IFERROR(INDEX(vdata_regressors!$A$1:$L$2000,MATCH($A145,vdata_regressors!$A$2:$A$2000,0)+1,MATCH(C$2,vdata_regressors!$A$1:$R$1,0)),"")</f>
        <v/>
      </c>
      <c r="D145" s="23" t="str">
        <f>IFERROR(INDEX(vdata_regressors!$A$1:$L$2000,MATCH($A145,vdata_regressors!$A$2:$A$2000,0)+1,MATCH(D$2,vdata_regressors!$A$1:$R$1,0)),"")</f>
        <v/>
      </c>
      <c r="E145" s="23" t="str">
        <f>IFERROR(INDEX(vdata_regressors!$A$1:$L$2000,MATCH($A145,vdata_regressors!$A$2:$A$2000,0)+1,MATCH(E$2,vdata_regressors!$A$1:$R$1,0)),"")</f>
        <v/>
      </c>
      <c r="F145" s="23" t="str">
        <f>IFERROR(INDEX(vdata_regressors!$A$1:$L$2000,MATCH($A145,vdata_regressors!$A$2:$A$2000,0)+1,MATCH(F$2,vdata_regressors!$A$1:$R$1,0)),"")</f>
        <v/>
      </c>
      <c r="G145" s="23" t="str">
        <f>IFERROR(INDEX(vdata_regressors!$A$1:$L$2000,MATCH($A145,vdata_regressors!$A$2:$A$2000,0)+1,MATCH(G$2,vdata_regressors!$A$1:$R$1,0)),"")</f>
        <v/>
      </c>
      <c r="H145" s="23" t="str">
        <f>IFERROR(INDEX(vdata_regressors!$A$1:$L$2000,MATCH($A145,vdata_regressors!$A$2:$A$2000,0)+1,MATCH(H$2,vdata_regressors!$A$1:$R$1,0)),"")</f>
        <v/>
      </c>
      <c r="I145" s="23" t="str">
        <f>IFERROR(INDEX(vdata_regressors!$A$1:$L$2000,MATCH($A145,vdata_regressors!$A$2:$A$2000,0)+1,MATCH(I$2,vdata_regressors!$A$1:$R$1,0)),"")</f>
        <v/>
      </c>
      <c r="J145" s="23" t="str">
        <f>IFERROR(INDEX(vdata_regressors!$A$1:$L$2000,MATCH($A145,vdata_regressors!$A$2:$A$2000,0)+1,MATCH(J$2,vdata_regressors!$A$1:$R$1,0)),"")</f>
        <v/>
      </c>
      <c r="K145" s="23" t="str">
        <f>IFERROR(INDEX(vdata_regressors!$A$1:$L$2000,MATCH($A145,vdata_regressors!$A$2:$A$2000,0)+1,MATCH(K$2,vdata_regressors!$A$1:$R$1,0)),"")</f>
        <v/>
      </c>
      <c r="L145" s="23" t="str">
        <f>IFERROR(INDEX(vdata_regressors!$A$1:$L$2000,MATCH($A145,vdata_regressors!$A$2:$A$2000,0)+1,MATCH(L$2,vdata_regressors!$A$1:$R$1,0)),"")</f>
        <v/>
      </c>
      <c r="M145" s="23" t="str">
        <f>IFERROR(VLOOKUP(A145,vdata_hours!$A$2:$B$1000,2,FALSE),"")</f>
        <v/>
      </c>
    </row>
    <row r="146" spans="1:13" x14ac:dyDescent="0.25">
      <c r="A146" s="23" t="str">
        <f>IF(vdata_hours!A145=0,"",vdata_hours!A145)</f>
        <v/>
      </c>
      <c r="B146" s="23" t="str">
        <f>IFERROR(INDEX(vdata_regressors!$A$1:$L$2000,MATCH($A146,vdata_regressors!$A$2:$A$2000,0)+1,MATCH(B$2,vdata_regressors!$A$1:$R$1,0)),"")</f>
        <v/>
      </c>
      <c r="C146" s="23" t="str">
        <f>IFERROR(INDEX(vdata_regressors!$A$1:$L$2000,MATCH($A146,vdata_regressors!$A$2:$A$2000,0)+1,MATCH(C$2,vdata_regressors!$A$1:$R$1,0)),"")</f>
        <v/>
      </c>
      <c r="D146" s="23" t="str">
        <f>IFERROR(INDEX(vdata_regressors!$A$1:$L$2000,MATCH($A146,vdata_regressors!$A$2:$A$2000,0)+1,MATCH(D$2,vdata_regressors!$A$1:$R$1,0)),"")</f>
        <v/>
      </c>
      <c r="E146" s="23" t="str">
        <f>IFERROR(INDEX(vdata_regressors!$A$1:$L$2000,MATCH($A146,vdata_regressors!$A$2:$A$2000,0)+1,MATCH(E$2,vdata_regressors!$A$1:$R$1,0)),"")</f>
        <v/>
      </c>
      <c r="F146" s="23" t="str">
        <f>IFERROR(INDEX(vdata_regressors!$A$1:$L$2000,MATCH($A146,vdata_regressors!$A$2:$A$2000,0)+1,MATCH(F$2,vdata_regressors!$A$1:$R$1,0)),"")</f>
        <v/>
      </c>
      <c r="G146" s="23" t="str">
        <f>IFERROR(INDEX(vdata_regressors!$A$1:$L$2000,MATCH($A146,vdata_regressors!$A$2:$A$2000,0)+1,MATCH(G$2,vdata_regressors!$A$1:$R$1,0)),"")</f>
        <v/>
      </c>
      <c r="H146" s="23" t="str">
        <f>IFERROR(INDEX(vdata_regressors!$A$1:$L$2000,MATCH($A146,vdata_regressors!$A$2:$A$2000,0)+1,MATCH(H$2,vdata_regressors!$A$1:$R$1,0)),"")</f>
        <v/>
      </c>
      <c r="I146" s="23" t="str">
        <f>IFERROR(INDEX(vdata_regressors!$A$1:$L$2000,MATCH($A146,vdata_regressors!$A$2:$A$2000,0)+1,MATCH(I$2,vdata_regressors!$A$1:$R$1,0)),"")</f>
        <v/>
      </c>
      <c r="J146" s="23" t="str">
        <f>IFERROR(INDEX(vdata_regressors!$A$1:$L$2000,MATCH($A146,vdata_regressors!$A$2:$A$2000,0)+1,MATCH(J$2,vdata_regressors!$A$1:$R$1,0)),"")</f>
        <v/>
      </c>
      <c r="K146" s="23" t="str">
        <f>IFERROR(INDEX(vdata_regressors!$A$1:$L$2000,MATCH($A146,vdata_regressors!$A$2:$A$2000,0)+1,MATCH(K$2,vdata_regressors!$A$1:$R$1,0)),"")</f>
        <v/>
      </c>
      <c r="L146" s="23" t="str">
        <f>IFERROR(INDEX(vdata_regressors!$A$1:$L$2000,MATCH($A146,vdata_regressors!$A$2:$A$2000,0)+1,MATCH(L$2,vdata_regressors!$A$1:$R$1,0)),"")</f>
        <v/>
      </c>
      <c r="M146" s="23" t="str">
        <f>IFERROR(VLOOKUP(A146,vdata_hours!$A$2:$B$1000,2,FALSE),"")</f>
        <v/>
      </c>
    </row>
    <row r="147" spans="1:13" x14ac:dyDescent="0.25">
      <c r="A147" s="23" t="str">
        <f>IF(vdata_hours!A146=0,"",vdata_hours!A146)</f>
        <v/>
      </c>
      <c r="B147" s="23" t="str">
        <f>IFERROR(INDEX(vdata_regressors!$A$1:$L$2000,MATCH($A147,vdata_regressors!$A$2:$A$2000,0)+1,MATCH(B$2,vdata_regressors!$A$1:$R$1,0)),"")</f>
        <v/>
      </c>
      <c r="C147" s="23" t="str">
        <f>IFERROR(INDEX(vdata_regressors!$A$1:$L$2000,MATCH($A147,vdata_regressors!$A$2:$A$2000,0)+1,MATCH(C$2,vdata_regressors!$A$1:$R$1,0)),"")</f>
        <v/>
      </c>
      <c r="D147" s="23" t="str">
        <f>IFERROR(INDEX(vdata_regressors!$A$1:$L$2000,MATCH($A147,vdata_regressors!$A$2:$A$2000,0)+1,MATCH(D$2,vdata_regressors!$A$1:$R$1,0)),"")</f>
        <v/>
      </c>
      <c r="E147" s="23" t="str">
        <f>IFERROR(INDEX(vdata_regressors!$A$1:$L$2000,MATCH($A147,vdata_regressors!$A$2:$A$2000,0)+1,MATCH(E$2,vdata_regressors!$A$1:$R$1,0)),"")</f>
        <v/>
      </c>
      <c r="F147" s="23" t="str">
        <f>IFERROR(INDEX(vdata_regressors!$A$1:$L$2000,MATCH($A147,vdata_regressors!$A$2:$A$2000,0)+1,MATCH(F$2,vdata_regressors!$A$1:$R$1,0)),"")</f>
        <v/>
      </c>
      <c r="G147" s="23" t="str">
        <f>IFERROR(INDEX(vdata_regressors!$A$1:$L$2000,MATCH($A147,vdata_regressors!$A$2:$A$2000,0)+1,MATCH(G$2,vdata_regressors!$A$1:$R$1,0)),"")</f>
        <v/>
      </c>
      <c r="H147" s="23" t="str">
        <f>IFERROR(INDEX(vdata_regressors!$A$1:$L$2000,MATCH($A147,vdata_regressors!$A$2:$A$2000,0)+1,MATCH(H$2,vdata_regressors!$A$1:$R$1,0)),"")</f>
        <v/>
      </c>
      <c r="I147" s="23" t="str">
        <f>IFERROR(INDEX(vdata_regressors!$A$1:$L$2000,MATCH($A147,vdata_regressors!$A$2:$A$2000,0)+1,MATCH(I$2,vdata_regressors!$A$1:$R$1,0)),"")</f>
        <v/>
      </c>
      <c r="J147" s="23" t="str">
        <f>IFERROR(INDEX(vdata_regressors!$A$1:$L$2000,MATCH($A147,vdata_regressors!$A$2:$A$2000,0)+1,MATCH(J$2,vdata_regressors!$A$1:$R$1,0)),"")</f>
        <v/>
      </c>
      <c r="K147" s="23" t="str">
        <f>IFERROR(INDEX(vdata_regressors!$A$1:$L$2000,MATCH($A147,vdata_regressors!$A$2:$A$2000,0)+1,MATCH(K$2,vdata_regressors!$A$1:$R$1,0)),"")</f>
        <v/>
      </c>
      <c r="L147" s="23" t="str">
        <f>IFERROR(INDEX(vdata_regressors!$A$1:$L$2000,MATCH($A147,vdata_regressors!$A$2:$A$2000,0)+1,MATCH(L$2,vdata_regressors!$A$1:$R$1,0)),"")</f>
        <v/>
      </c>
      <c r="M147" s="23" t="str">
        <f>IFERROR(VLOOKUP(A147,vdata_hours!$A$2:$B$1000,2,FALSE),"")</f>
        <v/>
      </c>
    </row>
    <row r="148" spans="1:13" x14ac:dyDescent="0.25">
      <c r="A148" s="23" t="str">
        <f>IF(vdata_hours!A147=0,"",vdata_hours!A147)</f>
        <v/>
      </c>
      <c r="B148" s="23" t="str">
        <f>IFERROR(INDEX(vdata_regressors!$A$1:$L$2000,MATCH($A148,vdata_regressors!$A$2:$A$2000,0)+1,MATCH(B$2,vdata_regressors!$A$1:$R$1,0)),"")</f>
        <v/>
      </c>
      <c r="C148" s="23" t="str">
        <f>IFERROR(INDEX(vdata_regressors!$A$1:$L$2000,MATCH($A148,vdata_regressors!$A$2:$A$2000,0)+1,MATCH(C$2,vdata_regressors!$A$1:$R$1,0)),"")</f>
        <v/>
      </c>
      <c r="D148" s="23" t="str">
        <f>IFERROR(INDEX(vdata_regressors!$A$1:$L$2000,MATCH($A148,vdata_regressors!$A$2:$A$2000,0)+1,MATCH(D$2,vdata_regressors!$A$1:$R$1,0)),"")</f>
        <v/>
      </c>
      <c r="E148" s="23" t="str">
        <f>IFERROR(INDEX(vdata_regressors!$A$1:$L$2000,MATCH($A148,vdata_regressors!$A$2:$A$2000,0)+1,MATCH(E$2,vdata_regressors!$A$1:$R$1,0)),"")</f>
        <v/>
      </c>
      <c r="F148" s="23" t="str">
        <f>IFERROR(INDEX(vdata_regressors!$A$1:$L$2000,MATCH($A148,vdata_regressors!$A$2:$A$2000,0)+1,MATCH(F$2,vdata_regressors!$A$1:$R$1,0)),"")</f>
        <v/>
      </c>
      <c r="G148" s="23" t="str">
        <f>IFERROR(INDEX(vdata_regressors!$A$1:$L$2000,MATCH($A148,vdata_regressors!$A$2:$A$2000,0)+1,MATCH(G$2,vdata_regressors!$A$1:$R$1,0)),"")</f>
        <v/>
      </c>
      <c r="H148" s="23" t="str">
        <f>IFERROR(INDEX(vdata_regressors!$A$1:$L$2000,MATCH($A148,vdata_regressors!$A$2:$A$2000,0)+1,MATCH(H$2,vdata_regressors!$A$1:$R$1,0)),"")</f>
        <v/>
      </c>
      <c r="I148" s="23" t="str">
        <f>IFERROR(INDEX(vdata_regressors!$A$1:$L$2000,MATCH($A148,vdata_regressors!$A$2:$A$2000,0)+1,MATCH(I$2,vdata_regressors!$A$1:$R$1,0)),"")</f>
        <v/>
      </c>
      <c r="J148" s="23" t="str">
        <f>IFERROR(INDEX(vdata_regressors!$A$1:$L$2000,MATCH($A148,vdata_regressors!$A$2:$A$2000,0)+1,MATCH(J$2,vdata_regressors!$A$1:$R$1,0)),"")</f>
        <v/>
      </c>
      <c r="K148" s="23" t="str">
        <f>IFERROR(INDEX(vdata_regressors!$A$1:$L$2000,MATCH($A148,vdata_regressors!$A$2:$A$2000,0)+1,MATCH(K$2,vdata_regressors!$A$1:$R$1,0)),"")</f>
        <v/>
      </c>
      <c r="L148" s="23" t="str">
        <f>IFERROR(INDEX(vdata_regressors!$A$1:$L$2000,MATCH($A148,vdata_regressors!$A$2:$A$2000,0)+1,MATCH(L$2,vdata_regressors!$A$1:$R$1,0)),"")</f>
        <v/>
      </c>
      <c r="M148" s="23" t="str">
        <f>IFERROR(VLOOKUP(A148,vdata_hours!$A$2:$B$1000,2,FALSE),"")</f>
        <v/>
      </c>
    </row>
    <row r="149" spans="1:13" x14ac:dyDescent="0.25">
      <c r="A149" s="23" t="str">
        <f>IF(vdata_hours!A148=0,"",vdata_hours!A148)</f>
        <v/>
      </c>
      <c r="B149" s="23" t="str">
        <f>IFERROR(INDEX(vdata_regressors!$A$1:$L$2000,MATCH($A149,vdata_regressors!$A$2:$A$2000,0)+1,MATCH(B$2,vdata_regressors!$A$1:$R$1,0)),"")</f>
        <v/>
      </c>
      <c r="C149" s="23" t="str">
        <f>IFERROR(INDEX(vdata_regressors!$A$1:$L$2000,MATCH($A149,vdata_regressors!$A$2:$A$2000,0)+1,MATCH(C$2,vdata_regressors!$A$1:$R$1,0)),"")</f>
        <v/>
      </c>
      <c r="D149" s="23" t="str">
        <f>IFERROR(INDEX(vdata_regressors!$A$1:$L$2000,MATCH($A149,vdata_regressors!$A$2:$A$2000,0)+1,MATCH(D$2,vdata_regressors!$A$1:$R$1,0)),"")</f>
        <v/>
      </c>
      <c r="E149" s="23" t="str">
        <f>IFERROR(INDEX(vdata_regressors!$A$1:$L$2000,MATCH($A149,vdata_regressors!$A$2:$A$2000,0)+1,MATCH(E$2,vdata_regressors!$A$1:$R$1,0)),"")</f>
        <v/>
      </c>
      <c r="F149" s="23" t="str">
        <f>IFERROR(INDEX(vdata_regressors!$A$1:$L$2000,MATCH($A149,vdata_regressors!$A$2:$A$2000,0)+1,MATCH(F$2,vdata_regressors!$A$1:$R$1,0)),"")</f>
        <v/>
      </c>
      <c r="G149" s="23" t="str">
        <f>IFERROR(INDEX(vdata_regressors!$A$1:$L$2000,MATCH($A149,vdata_regressors!$A$2:$A$2000,0)+1,MATCH(G$2,vdata_regressors!$A$1:$R$1,0)),"")</f>
        <v/>
      </c>
      <c r="H149" s="23" t="str">
        <f>IFERROR(INDEX(vdata_regressors!$A$1:$L$2000,MATCH($A149,vdata_regressors!$A$2:$A$2000,0)+1,MATCH(H$2,vdata_regressors!$A$1:$R$1,0)),"")</f>
        <v/>
      </c>
      <c r="I149" s="23" t="str">
        <f>IFERROR(INDEX(vdata_regressors!$A$1:$L$2000,MATCH($A149,vdata_regressors!$A$2:$A$2000,0)+1,MATCH(I$2,vdata_regressors!$A$1:$R$1,0)),"")</f>
        <v/>
      </c>
      <c r="J149" s="23" t="str">
        <f>IFERROR(INDEX(vdata_regressors!$A$1:$L$2000,MATCH($A149,vdata_regressors!$A$2:$A$2000,0)+1,MATCH(J$2,vdata_regressors!$A$1:$R$1,0)),"")</f>
        <v/>
      </c>
      <c r="K149" s="23" t="str">
        <f>IFERROR(INDEX(vdata_regressors!$A$1:$L$2000,MATCH($A149,vdata_regressors!$A$2:$A$2000,0)+1,MATCH(K$2,vdata_regressors!$A$1:$R$1,0)),"")</f>
        <v/>
      </c>
      <c r="L149" s="23" t="str">
        <f>IFERROR(INDEX(vdata_regressors!$A$1:$L$2000,MATCH($A149,vdata_regressors!$A$2:$A$2000,0)+1,MATCH(L$2,vdata_regressors!$A$1:$R$1,0)),"")</f>
        <v/>
      </c>
      <c r="M149" s="23" t="str">
        <f>IFERROR(VLOOKUP(A149,vdata_hours!$A$2:$B$1000,2,FALSE),"")</f>
        <v/>
      </c>
    </row>
    <row r="150" spans="1:13" x14ac:dyDescent="0.25">
      <c r="A150" s="23" t="str">
        <f>IF(vdata_hours!A149=0,"",vdata_hours!A149)</f>
        <v/>
      </c>
      <c r="B150" s="23" t="str">
        <f>IFERROR(INDEX(vdata_regressors!$A$1:$L$2000,MATCH($A150,vdata_regressors!$A$2:$A$2000,0)+1,MATCH(B$2,vdata_regressors!$A$1:$R$1,0)),"")</f>
        <v/>
      </c>
      <c r="C150" s="23" t="str">
        <f>IFERROR(INDEX(vdata_regressors!$A$1:$L$2000,MATCH($A150,vdata_regressors!$A$2:$A$2000,0)+1,MATCH(C$2,vdata_regressors!$A$1:$R$1,0)),"")</f>
        <v/>
      </c>
      <c r="D150" s="23" t="str">
        <f>IFERROR(INDEX(vdata_regressors!$A$1:$L$2000,MATCH($A150,vdata_regressors!$A$2:$A$2000,0)+1,MATCH(D$2,vdata_regressors!$A$1:$R$1,0)),"")</f>
        <v/>
      </c>
      <c r="E150" s="23" t="str">
        <f>IFERROR(INDEX(vdata_regressors!$A$1:$L$2000,MATCH($A150,vdata_regressors!$A$2:$A$2000,0)+1,MATCH(E$2,vdata_regressors!$A$1:$R$1,0)),"")</f>
        <v/>
      </c>
      <c r="F150" s="23" t="str">
        <f>IFERROR(INDEX(vdata_regressors!$A$1:$L$2000,MATCH($A150,vdata_regressors!$A$2:$A$2000,0)+1,MATCH(F$2,vdata_regressors!$A$1:$R$1,0)),"")</f>
        <v/>
      </c>
      <c r="G150" s="23" t="str">
        <f>IFERROR(INDEX(vdata_regressors!$A$1:$L$2000,MATCH($A150,vdata_regressors!$A$2:$A$2000,0)+1,MATCH(G$2,vdata_regressors!$A$1:$R$1,0)),"")</f>
        <v/>
      </c>
      <c r="H150" s="23" t="str">
        <f>IFERROR(INDEX(vdata_regressors!$A$1:$L$2000,MATCH($A150,vdata_regressors!$A$2:$A$2000,0)+1,MATCH(H$2,vdata_regressors!$A$1:$R$1,0)),"")</f>
        <v/>
      </c>
      <c r="I150" s="23" t="str">
        <f>IFERROR(INDEX(vdata_regressors!$A$1:$L$2000,MATCH($A150,vdata_regressors!$A$2:$A$2000,0)+1,MATCH(I$2,vdata_regressors!$A$1:$R$1,0)),"")</f>
        <v/>
      </c>
      <c r="J150" s="23" t="str">
        <f>IFERROR(INDEX(vdata_regressors!$A$1:$L$2000,MATCH($A150,vdata_regressors!$A$2:$A$2000,0)+1,MATCH(J$2,vdata_regressors!$A$1:$R$1,0)),"")</f>
        <v/>
      </c>
      <c r="K150" s="23" t="str">
        <f>IFERROR(INDEX(vdata_regressors!$A$1:$L$2000,MATCH($A150,vdata_regressors!$A$2:$A$2000,0)+1,MATCH(K$2,vdata_regressors!$A$1:$R$1,0)),"")</f>
        <v/>
      </c>
      <c r="L150" s="23" t="str">
        <f>IFERROR(INDEX(vdata_regressors!$A$1:$L$2000,MATCH($A150,vdata_regressors!$A$2:$A$2000,0)+1,MATCH(L$2,vdata_regressors!$A$1:$R$1,0)),"")</f>
        <v/>
      </c>
      <c r="M150" s="23" t="str">
        <f>IFERROR(VLOOKUP(A150,vdata_hours!$A$2:$B$1000,2,FALSE),"")</f>
        <v/>
      </c>
    </row>
    <row r="151" spans="1:13" x14ac:dyDescent="0.25">
      <c r="A151" s="23" t="str">
        <f>IF(vdata_hours!A150=0,"",vdata_hours!A150)</f>
        <v/>
      </c>
      <c r="B151" s="23" t="str">
        <f>IFERROR(INDEX(vdata_regressors!$A$1:$L$2000,MATCH($A151,vdata_regressors!$A$2:$A$2000,0)+1,MATCH(B$2,vdata_regressors!$A$1:$R$1,0)),"")</f>
        <v/>
      </c>
      <c r="C151" s="23" t="str">
        <f>IFERROR(INDEX(vdata_regressors!$A$1:$L$2000,MATCH($A151,vdata_regressors!$A$2:$A$2000,0)+1,MATCH(C$2,vdata_regressors!$A$1:$R$1,0)),"")</f>
        <v/>
      </c>
      <c r="D151" s="23" t="str">
        <f>IFERROR(INDEX(vdata_regressors!$A$1:$L$2000,MATCH($A151,vdata_regressors!$A$2:$A$2000,0)+1,MATCH(D$2,vdata_regressors!$A$1:$R$1,0)),"")</f>
        <v/>
      </c>
      <c r="E151" s="23" t="str">
        <f>IFERROR(INDEX(vdata_regressors!$A$1:$L$2000,MATCH($A151,vdata_regressors!$A$2:$A$2000,0)+1,MATCH(E$2,vdata_regressors!$A$1:$R$1,0)),"")</f>
        <v/>
      </c>
      <c r="F151" s="23" t="str">
        <f>IFERROR(INDEX(vdata_regressors!$A$1:$L$2000,MATCH($A151,vdata_regressors!$A$2:$A$2000,0)+1,MATCH(F$2,vdata_regressors!$A$1:$R$1,0)),"")</f>
        <v/>
      </c>
      <c r="G151" s="23" t="str">
        <f>IFERROR(INDEX(vdata_regressors!$A$1:$L$2000,MATCH($A151,vdata_regressors!$A$2:$A$2000,0)+1,MATCH(G$2,vdata_regressors!$A$1:$R$1,0)),"")</f>
        <v/>
      </c>
      <c r="H151" s="23" t="str">
        <f>IFERROR(INDEX(vdata_regressors!$A$1:$L$2000,MATCH($A151,vdata_regressors!$A$2:$A$2000,0)+1,MATCH(H$2,vdata_regressors!$A$1:$R$1,0)),"")</f>
        <v/>
      </c>
      <c r="I151" s="23" t="str">
        <f>IFERROR(INDEX(vdata_regressors!$A$1:$L$2000,MATCH($A151,vdata_regressors!$A$2:$A$2000,0)+1,MATCH(I$2,vdata_regressors!$A$1:$R$1,0)),"")</f>
        <v/>
      </c>
      <c r="J151" s="23" t="str">
        <f>IFERROR(INDEX(vdata_regressors!$A$1:$L$2000,MATCH($A151,vdata_regressors!$A$2:$A$2000,0)+1,MATCH(J$2,vdata_regressors!$A$1:$R$1,0)),"")</f>
        <v/>
      </c>
      <c r="K151" s="23" t="str">
        <f>IFERROR(INDEX(vdata_regressors!$A$1:$L$2000,MATCH($A151,vdata_regressors!$A$2:$A$2000,0)+1,MATCH(K$2,vdata_regressors!$A$1:$R$1,0)),"")</f>
        <v/>
      </c>
      <c r="L151" s="23" t="str">
        <f>IFERROR(INDEX(vdata_regressors!$A$1:$L$2000,MATCH($A151,vdata_regressors!$A$2:$A$2000,0)+1,MATCH(L$2,vdata_regressors!$A$1:$R$1,0)),"")</f>
        <v/>
      </c>
      <c r="M151" s="23" t="str">
        <f>IFERROR(VLOOKUP(A151,vdata_hours!$A$2:$B$1000,2,FALSE),"")</f>
        <v/>
      </c>
    </row>
    <row r="152" spans="1:13" x14ac:dyDescent="0.25">
      <c r="A152" s="23" t="str">
        <f>IF(vdata_hours!A151=0,"",vdata_hours!A151)</f>
        <v/>
      </c>
      <c r="B152" s="23" t="str">
        <f>IFERROR(INDEX(vdata_regressors!$A$1:$L$2000,MATCH($A152,vdata_regressors!$A$2:$A$2000,0)+1,MATCH(B$2,vdata_regressors!$A$1:$R$1,0)),"")</f>
        <v/>
      </c>
      <c r="C152" s="23" t="str">
        <f>IFERROR(INDEX(vdata_regressors!$A$1:$L$2000,MATCH($A152,vdata_regressors!$A$2:$A$2000,0)+1,MATCH(C$2,vdata_regressors!$A$1:$R$1,0)),"")</f>
        <v/>
      </c>
      <c r="D152" s="23" t="str">
        <f>IFERROR(INDEX(vdata_regressors!$A$1:$L$2000,MATCH($A152,vdata_regressors!$A$2:$A$2000,0)+1,MATCH(D$2,vdata_regressors!$A$1:$R$1,0)),"")</f>
        <v/>
      </c>
      <c r="E152" s="23" t="str">
        <f>IFERROR(INDEX(vdata_regressors!$A$1:$L$2000,MATCH($A152,vdata_regressors!$A$2:$A$2000,0)+1,MATCH(E$2,vdata_regressors!$A$1:$R$1,0)),"")</f>
        <v/>
      </c>
      <c r="F152" s="23" t="str">
        <f>IFERROR(INDEX(vdata_regressors!$A$1:$L$2000,MATCH($A152,vdata_regressors!$A$2:$A$2000,0)+1,MATCH(F$2,vdata_regressors!$A$1:$R$1,0)),"")</f>
        <v/>
      </c>
      <c r="G152" s="23" t="str">
        <f>IFERROR(INDEX(vdata_regressors!$A$1:$L$2000,MATCH($A152,vdata_regressors!$A$2:$A$2000,0)+1,MATCH(G$2,vdata_regressors!$A$1:$R$1,0)),"")</f>
        <v/>
      </c>
      <c r="H152" s="23" t="str">
        <f>IFERROR(INDEX(vdata_regressors!$A$1:$L$2000,MATCH($A152,vdata_regressors!$A$2:$A$2000,0)+1,MATCH(H$2,vdata_regressors!$A$1:$R$1,0)),"")</f>
        <v/>
      </c>
      <c r="I152" s="23" t="str">
        <f>IFERROR(INDEX(vdata_regressors!$A$1:$L$2000,MATCH($A152,vdata_regressors!$A$2:$A$2000,0)+1,MATCH(I$2,vdata_regressors!$A$1:$R$1,0)),"")</f>
        <v/>
      </c>
      <c r="J152" s="23" t="str">
        <f>IFERROR(INDEX(vdata_regressors!$A$1:$L$2000,MATCH($A152,vdata_regressors!$A$2:$A$2000,0)+1,MATCH(J$2,vdata_regressors!$A$1:$R$1,0)),"")</f>
        <v/>
      </c>
      <c r="K152" s="23" t="str">
        <f>IFERROR(INDEX(vdata_regressors!$A$1:$L$2000,MATCH($A152,vdata_regressors!$A$2:$A$2000,0)+1,MATCH(K$2,vdata_regressors!$A$1:$R$1,0)),"")</f>
        <v/>
      </c>
      <c r="L152" s="23" t="str">
        <f>IFERROR(INDEX(vdata_regressors!$A$1:$L$2000,MATCH($A152,vdata_regressors!$A$2:$A$2000,0)+1,MATCH(L$2,vdata_regressors!$A$1:$R$1,0)),"")</f>
        <v/>
      </c>
      <c r="M152" s="23" t="str">
        <f>IFERROR(VLOOKUP(A152,vdata_hours!$A$2:$B$1000,2,FALSE),"")</f>
        <v/>
      </c>
    </row>
    <row r="153" spans="1:13" x14ac:dyDescent="0.25">
      <c r="A153" s="23" t="str">
        <f>IF(vdata_hours!A152=0,"",vdata_hours!A152)</f>
        <v/>
      </c>
      <c r="B153" s="23" t="str">
        <f>IFERROR(INDEX(vdata_regressors!$A$1:$L$2000,MATCH($A153,vdata_regressors!$A$2:$A$2000,0)+1,MATCH(B$2,vdata_regressors!$A$1:$R$1,0)),"")</f>
        <v/>
      </c>
      <c r="C153" s="23" t="str">
        <f>IFERROR(INDEX(vdata_regressors!$A$1:$L$2000,MATCH($A153,vdata_regressors!$A$2:$A$2000,0)+1,MATCH(C$2,vdata_regressors!$A$1:$R$1,0)),"")</f>
        <v/>
      </c>
      <c r="D153" s="23" t="str">
        <f>IFERROR(INDEX(vdata_regressors!$A$1:$L$2000,MATCH($A153,vdata_regressors!$A$2:$A$2000,0)+1,MATCH(D$2,vdata_regressors!$A$1:$R$1,0)),"")</f>
        <v/>
      </c>
      <c r="E153" s="23" t="str">
        <f>IFERROR(INDEX(vdata_regressors!$A$1:$L$2000,MATCH($A153,vdata_regressors!$A$2:$A$2000,0)+1,MATCH(E$2,vdata_regressors!$A$1:$R$1,0)),"")</f>
        <v/>
      </c>
      <c r="F153" s="23" t="str">
        <f>IFERROR(INDEX(vdata_regressors!$A$1:$L$2000,MATCH($A153,vdata_regressors!$A$2:$A$2000,0)+1,MATCH(F$2,vdata_regressors!$A$1:$R$1,0)),"")</f>
        <v/>
      </c>
      <c r="G153" s="23" t="str">
        <f>IFERROR(INDEX(vdata_regressors!$A$1:$L$2000,MATCH($A153,vdata_regressors!$A$2:$A$2000,0)+1,MATCH(G$2,vdata_regressors!$A$1:$R$1,0)),"")</f>
        <v/>
      </c>
      <c r="H153" s="23" t="str">
        <f>IFERROR(INDEX(vdata_regressors!$A$1:$L$2000,MATCH($A153,vdata_regressors!$A$2:$A$2000,0)+1,MATCH(H$2,vdata_regressors!$A$1:$R$1,0)),"")</f>
        <v/>
      </c>
      <c r="I153" s="23" t="str">
        <f>IFERROR(INDEX(vdata_regressors!$A$1:$L$2000,MATCH($A153,vdata_regressors!$A$2:$A$2000,0)+1,MATCH(I$2,vdata_regressors!$A$1:$R$1,0)),"")</f>
        <v/>
      </c>
      <c r="J153" s="23" t="str">
        <f>IFERROR(INDEX(vdata_regressors!$A$1:$L$2000,MATCH($A153,vdata_regressors!$A$2:$A$2000,0)+1,MATCH(J$2,vdata_regressors!$A$1:$R$1,0)),"")</f>
        <v/>
      </c>
      <c r="K153" s="23" t="str">
        <f>IFERROR(INDEX(vdata_regressors!$A$1:$L$2000,MATCH($A153,vdata_regressors!$A$2:$A$2000,0)+1,MATCH(K$2,vdata_regressors!$A$1:$R$1,0)),"")</f>
        <v/>
      </c>
      <c r="L153" s="23" t="str">
        <f>IFERROR(INDEX(vdata_regressors!$A$1:$L$2000,MATCH($A153,vdata_regressors!$A$2:$A$2000,0)+1,MATCH(L$2,vdata_regressors!$A$1:$R$1,0)),"")</f>
        <v/>
      </c>
      <c r="M153" s="23" t="str">
        <f>IFERROR(VLOOKUP(A153,vdata_hours!$A$2:$B$1000,2,FALSE),"")</f>
        <v/>
      </c>
    </row>
    <row r="154" spans="1:13" x14ac:dyDescent="0.25">
      <c r="A154" s="23" t="str">
        <f>IF(vdata_hours!A153=0,"",vdata_hours!A153)</f>
        <v/>
      </c>
      <c r="B154" s="23" t="str">
        <f>IFERROR(INDEX(vdata_regressors!$A$1:$L$2000,MATCH($A154,vdata_regressors!$A$2:$A$2000,0)+1,MATCH(B$2,vdata_regressors!$A$1:$R$1,0)),"")</f>
        <v/>
      </c>
      <c r="C154" s="23" t="str">
        <f>IFERROR(INDEX(vdata_regressors!$A$1:$L$2000,MATCH($A154,vdata_regressors!$A$2:$A$2000,0)+1,MATCH(C$2,vdata_regressors!$A$1:$R$1,0)),"")</f>
        <v/>
      </c>
      <c r="D154" s="23" t="str">
        <f>IFERROR(INDEX(vdata_regressors!$A$1:$L$2000,MATCH($A154,vdata_regressors!$A$2:$A$2000,0)+1,MATCH(D$2,vdata_regressors!$A$1:$R$1,0)),"")</f>
        <v/>
      </c>
      <c r="E154" s="23" t="str">
        <f>IFERROR(INDEX(vdata_regressors!$A$1:$L$2000,MATCH($A154,vdata_regressors!$A$2:$A$2000,0)+1,MATCH(E$2,vdata_regressors!$A$1:$R$1,0)),"")</f>
        <v/>
      </c>
      <c r="F154" s="23" t="str">
        <f>IFERROR(INDEX(vdata_regressors!$A$1:$L$2000,MATCH($A154,vdata_regressors!$A$2:$A$2000,0)+1,MATCH(F$2,vdata_regressors!$A$1:$R$1,0)),"")</f>
        <v/>
      </c>
      <c r="G154" s="23" t="str">
        <f>IFERROR(INDEX(vdata_regressors!$A$1:$L$2000,MATCH($A154,vdata_regressors!$A$2:$A$2000,0)+1,MATCH(G$2,vdata_regressors!$A$1:$R$1,0)),"")</f>
        <v/>
      </c>
      <c r="H154" s="23" t="str">
        <f>IFERROR(INDEX(vdata_regressors!$A$1:$L$2000,MATCH($A154,vdata_regressors!$A$2:$A$2000,0)+1,MATCH(H$2,vdata_regressors!$A$1:$R$1,0)),"")</f>
        <v/>
      </c>
      <c r="I154" s="23" t="str">
        <f>IFERROR(INDEX(vdata_regressors!$A$1:$L$2000,MATCH($A154,vdata_regressors!$A$2:$A$2000,0)+1,MATCH(I$2,vdata_regressors!$A$1:$R$1,0)),"")</f>
        <v/>
      </c>
      <c r="J154" s="23" t="str">
        <f>IFERROR(INDEX(vdata_regressors!$A$1:$L$2000,MATCH($A154,vdata_regressors!$A$2:$A$2000,0)+1,MATCH(J$2,vdata_regressors!$A$1:$R$1,0)),"")</f>
        <v/>
      </c>
      <c r="K154" s="23" t="str">
        <f>IFERROR(INDEX(vdata_regressors!$A$1:$L$2000,MATCH($A154,vdata_regressors!$A$2:$A$2000,0)+1,MATCH(K$2,vdata_regressors!$A$1:$R$1,0)),"")</f>
        <v/>
      </c>
      <c r="L154" s="23" t="str">
        <f>IFERROR(INDEX(vdata_regressors!$A$1:$L$2000,MATCH($A154,vdata_regressors!$A$2:$A$2000,0)+1,MATCH(L$2,vdata_regressors!$A$1:$R$1,0)),"")</f>
        <v/>
      </c>
      <c r="M154" s="23" t="str">
        <f>IFERROR(VLOOKUP(A154,vdata_hours!$A$2:$B$1000,2,FALSE),"")</f>
        <v/>
      </c>
    </row>
    <row r="155" spans="1:13" x14ac:dyDescent="0.25">
      <c r="A155" s="23" t="str">
        <f>IF(vdata_hours!A154=0,"",vdata_hours!A154)</f>
        <v/>
      </c>
      <c r="B155" s="23" t="str">
        <f>IFERROR(INDEX(vdata_regressors!$A$1:$L$2000,MATCH($A155,vdata_regressors!$A$2:$A$2000,0)+1,MATCH(B$2,vdata_regressors!$A$1:$R$1,0)),"")</f>
        <v/>
      </c>
      <c r="C155" s="23" t="str">
        <f>IFERROR(INDEX(vdata_regressors!$A$1:$L$2000,MATCH($A155,vdata_regressors!$A$2:$A$2000,0)+1,MATCH(C$2,vdata_regressors!$A$1:$R$1,0)),"")</f>
        <v/>
      </c>
      <c r="D155" s="23" t="str">
        <f>IFERROR(INDEX(vdata_regressors!$A$1:$L$2000,MATCH($A155,vdata_regressors!$A$2:$A$2000,0)+1,MATCH(D$2,vdata_regressors!$A$1:$R$1,0)),"")</f>
        <v/>
      </c>
      <c r="E155" s="23" t="str">
        <f>IFERROR(INDEX(vdata_regressors!$A$1:$L$2000,MATCH($A155,vdata_regressors!$A$2:$A$2000,0)+1,MATCH(E$2,vdata_regressors!$A$1:$R$1,0)),"")</f>
        <v/>
      </c>
      <c r="F155" s="23" t="str">
        <f>IFERROR(INDEX(vdata_regressors!$A$1:$L$2000,MATCH($A155,vdata_regressors!$A$2:$A$2000,0)+1,MATCH(F$2,vdata_regressors!$A$1:$R$1,0)),"")</f>
        <v/>
      </c>
      <c r="G155" s="23" t="str">
        <f>IFERROR(INDEX(vdata_regressors!$A$1:$L$2000,MATCH($A155,vdata_regressors!$A$2:$A$2000,0)+1,MATCH(G$2,vdata_regressors!$A$1:$R$1,0)),"")</f>
        <v/>
      </c>
      <c r="H155" s="23" t="str">
        <f>IFERROR(INDEX(vdata_regressors!$A$1:$L$2000,MATCH($A155,vdata_regressors!$A$2:$A$2000,0)+1,MATCH(H$2,vdata_regressors!$A$1:$R$1,0)),"")</f>
        <v/>
      </c>
      <c r="I155" s="23" t="str">
        <f>IFERROR(INDEX(vdata_regressors!$A$1:$L$2000,MATCH($A155,vdata_regressors!$A$2:$A$2000,0)+1,MATCH(I$2,vdata_regressors!$A$1:$R$1,0)),"")</f>
        <v/>
      </c>
      <c r="J155" s="23" t="str">
        <f>IFERROR(INDEX(vdata_regressors!$A$1:$L$2000,MATCH($A155,vdata_regressors!$A$2:$A$2000,0)+1,MATCH(J$2,vdata_regressors!$A$1:$R$1,0)),"")</f>
        <v/>
      </c>
      <c r="K155" s="23" t="str">
        <f>IFERROR(INDEX(vdata_regressors!$A$1:$L$2000,MATCH($A155,vdata_regressors!$A$2:$A$2000,0)+1,MATCH(K$2,vdata_regressors!$A$1:$R$1,0)),"")</f>
        <v/>
      </c>
      <c r="L155" s="23" t="str">
        <f>IFERROR(INDEX(vdata_regressors!$A$1:$L$2000,MATCH($A155,vdata_regressors!$A$2:$A$2000,0)+1,MATCH(L$2,vdata_regressors!$A$1:$R$1,0)),"")</f>
        <v/>
      </c>
      <c r="M155" s="23" t="str">
        <f>IFERROR(VLOOKUP(A155,vdata_hours!$A$2:$B$1000,2,FALSE),"")</f>
        <v/>
      </c>
    </row>
    <row r="156" spans="1:13" x14ac:dyDescent="0.25">
      <c r="A156" s="23" t="str">
        <f>IF(vdata_hours!A155=0,"",vdata_hours!A155)</f>
        <v/>
      </c>
      <c r="B156" s="23" t="str">
        <f>IFERROR(INDEX(vdata_regressors!$A$1:$L$2000,MATCH($A156,vdata_regressors!$A$2:$A$2000,0)+1,MATCH(B$2,vdata_regressors!$A$1:$R$1,0)),"")</f>
        <v/>
      </c>
      <c r="C156" s="23" t="str">
        <f>IFERROR(INDEX(vdata_regressors!$A$1:$L$2000,MATCH($A156,vdata_regressors!$A$2:$A$2000,0)+1,MATCH(C$2,vdata_regressors!$A$1:$R$1,0)),"")</f>
        <v/>
      </c>
      <c r="D156" s="23" t="str">
        <f>IFERROR(INDEX(vdata_regressors!$A$1:$L$2000,MATCH($A156,vdata_regressors!$A$2:$A$2000,0)+1,MATCH(D$2,vdata_regressors!$A$1:$R$1,0)),"")</f>
        <v/>
      </c>
      <c r="E156" s="23" t="str">
        <f>IFERROR(INDEX(vdata_regressors!$A$1:$L$2000,MATCH($A156,vdata_regressors!$A$2:$A$2000,0)+1,MATCH(E$2,vdata_regressors!$A$1:$R$1,0)),"")</f>
        <v/>
      </c>
      <c r="F156" s="23" t="str">
        <f>IFERROR(INDEX(vdata_regressors!$A$1:$L$2000,MATCH($A156,vdata_regressors!$A$2:$A$2000,0)+1,MATCH(F$2,vdata_regressors!$A$1:$R$1,0)),"")</f>
        <v/>
      </c>
      <c r="G156" s="23" t="str">
        <f>IFERROR(INDEX(vdata_regressors!$A$1:$L$2000,MATCH($A156,vdata_regressors!$A$2:$A$2000,0)+1,MATCH(G$2,vdata_regressors!$A$1:$R$1,0)),"")</f>
        <v/>
      </c>
      <c r="H156" s="23" t="str">
        <f>IFERROR(INDEX(vdata_regressors!$A$1:$L$2000,MATCH($A156,vdata_regressors!$A$2:$A$2000,0)+1,MATCH(H$2,vdata_regressors!$A$1:$R$1,0)),"")</f>
        <v/>
      </c>
      <c r="I156" s="23" t="str">
        <f>IFERROR(INDEX(vdata_regressors!$A$1:$L$2000,MATCH($A156,vdata_regressors!$A$2:$A$2000,0)+1,MATCH(I$2,vdata_regressors!$A$1:$R$1,0)),"")</f>
        <v/>
      </c>
      <c r="J156" s="23" t="str">
        <f>IFERROR(INDEX(vdata_regressors!$A$1:$L$2000,MATCH($A156,vdata_regressors!$A$2:$A$2000,0)+1,MATCH(J$2,vdata_regressors!$A$1:$R$1,0)),"")</f>
        <v/>
      </c>
      <c r="K156" s="23" t="str">
        <f>IFERROR(INDEX(vdata_regressors!$A$1:$L$2000,MATCH($A156,vdata_regressors!$A$2:$A$2000,0)+1,MATCH(K$2,vdata_regressors!$A$1:$R$1,0)),"")</f>
        <v/>
      </c>
      <c r="L156" s="23" t="str">
        <f>IFERROR(INDEX(vdata_regressors!$A$1:$L$2000,MATCH($A156,vdata_regressors!$A$2:$A$2000,0)+1,MATCH(L$2,vdata_regressors!$A$1:$R$1,0)),"")</f>
        <v/>
      </c>
      <c r="M156" s="23" t="str">
        <f>IFERROR(VLOOKUP(A156,vdata_hours!$A$2:$B$1000,2,FALSE),"")</f>
        <v/>
      </c>
    </row>
    <row r="157" spans="1:13" x14ac:dyDescent="0.25">
      <c r="A157" s="23" t="str">
        <f>IF(vdata_hours!A156=0,"",vdata_hours!A156)</f>
        <v/>
      </c>
      <c r="B157" s="23" t="str">
        <f>IFERROR(INDEX(vdata_regressors!$A$1:$L$2000,MATCH($A157,vdata_regressors!$A$2:$A$2000,0)+1,MATCH(B$2,vdata_regressors!$A$1:$R$1,0)),"")</f>
        <v/>
      </c>
      <c r="C157" s="23" t="str">
        <f>IFERROR(INDEX(vdata_regressors!$A$1:$L$2000,MATCH($A157,vdata_regressors!$A$2:$A$2000,0)+1,MATCH(C$2,vdata_regressors!$A$1:$R$1,0)),"")</f>
        <v/>
      </c>
      <c r="D157" s="23" t="str">
        <f>IFERROR(INDEX(vdata_regressors!$A$1:$L$2000,MATCH($A157,vdata_regressors!$A$2:$A$2000,0)+1,MATCH(D$2,vdata_regressors!$A$1:$R$1,0)),"")</f>
        <v/>
      </c>
      <c r="E157" s="23" t="str">
        <f>IFERROR(INDEX(vdata_regressors!$A$1:$L$2000,MATCH($A157,vdata_regressors!$A$2:$A$2000,0)+1,MATCH(E$2,vdata_regressors!$A$1:$R$1,0)),"")</f>
        <v/>
      </c>
      <c r="F157" s="23" t="str">
        <f>IFERROR(INDEX(vdata_regressors!$A$1:$L$2000,MATCH($A157,vdata_regressors!$A$2:$A$2000,0)+1,MATCH(F$2,vdata_regressors!$A$1:$R$1,0)),"")</f>
        <v/>
      </c>
      <c r="G157" s="23" t="str">
        <f>IFERROR(INDEX(vdata_regressors!$A$1:$L$2000,MATCH($A157,vdata_regressors!$A$2:$A$2000,0)+1,MATCH(G$2,vdata_regressors!$A$1:$R$1,0)),"")</f>
        <v/>
      </c>
      <c r="H157" s="23" t="str">
        <f>IFERROR(INDEX(vdata_regressors!$A$1:$L$2000,MATCH($A157,vdata_regressors!$A$2:$A$2000,0)+1,MATCH(H$2,vdata_regressors!$A$1:$R$1,0)),"")</f>
        <v/>
      </c>
      <c r="I157" s="23" t="str">
        <f>IFERROR(INDEX(vdata_regressors!$A$1:$L$2000,MATCH($A157,vdata_regressors!$A$2:$A$2000,0)+1,MATCH(I$2,vdata_regressors!$A$1:$R$1,0)),"")</f>
        <v/>
      </c>
      <c r="J157" s="23" t="str">
        <f>IFERROR(INDEX(vdata_regressors!$A$1:$L$2000,MATCH($A157,vdata_regressors!$A$2:$A$2000,0)+1,MATCH(J$2,vdata_regressors!$A$1:$R$1,0)),"")</f>
        <v/>
      </c>
      <c r="K157" s="23" t="str">
        <f>IFERROR(INDEX(vdata_regressors!$A$1:$L$2000,MATCH($A157,vdata_regressors!$A$2:$A$2000,0)+1,MATCH(K$2,vdata_regressors!$A$1:$R$1,0)),"")</f>
        <v/>
      </c>
      <c r="L157" s="23" t="str">
        <f>IFERROR(INDEX(vdata_regressors!$A$1:$L$2000,MATCH($A157,vdata_regressors!$A$2:$A$2000,0)+1,MATCH(L$2,vdata_regressors!$A$1:$R$1,0)),"")</f>
        <v/>
      </c>
      <c r="M157" s="23" t="str">
        <f>IFERROR(VLOOKUP(A157,vdata_hours!$A$2:$B$1000,2,FALSE),"")</f>
        <v/>
      </c>
    </row>
    <row r="158" spans="1:13" x14ac:dyDescent="0.25">
      <c r="A158" s="23" t="str">
        <f>IF(vdata_hours!A157=0,"",vdata_hours!A157)</f>
        <v/>
      </c>
      <c r="B158" s="23" t="str">
        <f>IFERROR(INDEX(vdata_regressors!$A$1:$L$2000,MATCH($A158,vdata_regressors!$A$2:$A$2000,0)+1,MATCH(B$2,vdata_regressors!$A$1:$R$1,0)),"")</f>
        <v/>
      </c>
      <c r="C158" s="23" t="str">
        <f>IFERROR(INDEX(vdata_regressors!$A$1:$L$2000,MATCH($A158,vdata_regressors!$A$2:$A$2000,0)+1,MATCH(C$2,vdata_regressors!$A$1:$R$1,0)),"")</f>
        <v/>
      </c>
      <c r="D158" s="23" t="str">
        <f>IFERROR(INDEX(vdata_regressors!$A$1:$L$2000,MATCH($A158,vdata_regressors!$A$2:$A$2000,0)+1,MATCH(D$2,vdata_regressors!$A$1:$R$1,0)),"")</f>
        <v/>
      </c>
      <c r="E158" s="23" t="str">
        <f>IFERROR(INDEX(vdata_regressors!$A$1:$L$2000,MATCH($A158,vdata_regressors!$A$2:$A$2000,0)+1,MATCH(E$2,vdata_regressors!$A$1:$R$1,0)),"")</f>
        <v/>
      </c>
      <c r="F158" s="23" t="str">
        <f>IFERROR(INDEX(vdata_regressors!$A$1:$L$2000,MATCH($A158,vdata_regressors!$A$2:$A$2000,0)+1,MATCH(F$2,vdata_regressors!$A$1:$R$1,0)),"")</f>
        <v/>
      </c>
      <c r="G158" s="23" t="str">
        <f>IFERROR(INDEX(vdata_regressors!$A$1:$L$2000,MATCH($A158,vdata_regressors!$A$2:$A$2000,0)+1,MATCH(G$2,vdata_regressors!$A$1:$R$1,0)),"")</f>
        <v/>
      </c>
      <c r="H158" s="23" t="str">
        <f>IFERROR(INDEX(vdata_regressors!$A$1:$L$2000,MATCH($A158,vdata_regressors!$A$2:$A$2000,0)+1,MATCH(H$2,vdata_regressors!$A$1:$R$1,0)),"")</f>
        <v/>
      </c>
      <c r="I158" s="23" t="str">
        <f>IFERROR(INDEX(vdata_regressors!$A$1:$L$2000,MATCH($A158,vdata_regressors!$A$2:$A$2000,0)+1,MATCH(I$2,vdata_regressors!$A$1:$R$1,0)),"")</f>
        <v/>
      </c>
      <c r="J158" s="23" t="str">
        <f>IFERROR(INDEX(vdata_regressors!$A$1:$L$2000,MATCH($A158,vdata_regressors!$A$2:$A$2000,0)+1,MATCH(J$2,vdata_regressors!$A$1:$R$1,0)),"")</f>
        <v/>
      </c>
      <c r="K158" s="23" t="str">
        <f>IFERROR(INDEX(vdata_regressors!$A$1:$L$2000,MATCH($A158,vdata_regressors!$A$2:$A$2000,0)+1,MATCH(K$2,vdata_regressors!$A$1:$R$1,0)),"")</f>
        <v/>
      </c>
      <c r="L158" s="23" t="str">
        <f>IFERROR(INDEX(vdata_regressors!$A$1:$L$2000,MATCH($A158,vdata_regressors!$A$2:$A$2000,0)+1,MATCH(L$2,vdata_regressors!$A$1:$R$1,0)),"")</f>
        <v/>
      </c>
      <c r="M158" s="23" t="str">
        <f>IFERROR(VLOOKUP(A158,vdata_hours!$A$2:$B$1000,2,FALSE),"")</f>
        <v/>
      </c>
    </row>
    <row r="159" spans="1:13" x14ac:dyDescent="0.25">
      <c r="A159" s="23" t="str">
        <f>IF(vdata_hours!A158=0,"",vdata_hours!A158)</f>
        <v/>
      </c>
      <c r="B159" s="23" t="str">
        <f>IFERROR(INDEX(vdata_regressors!$A$1:$L$2000,MATCH($A159,vdata_regressors!$A$2:$A$2000,0)+1,MATCH(B$2,vdata_regressors!$A$1:$R$1,0)),"")</f>
        <v/>
      </c>
      <c r="C159" s="23" t="str">
        <f>IFERROR(INDEX(vdata_regressors!$A$1:$L$2000,MATCH($A159,vdata_regressors!$A$2:$A$2000,0)+1,MATCH(C$2,vdata_regressors!$A$1:$R$1,0)),"")</f>
        <v/>
      </c>
      <c r="D159" s="23" t="str">
        <f>IFERROR(INDEX(vdata_regressors!$A$1:$L$2000,MATCH($A159,vdata_regressors!$A$2:$A$2000,0)+1,MATCH(D$2,vdata_regressors!$A$1:$R$1,0)),"")</f>
        <v/>
      </c>
      <c r="E159" s="23" t="str">
        <f>IFERROR(INDEX(vdata_regressors!$A$1:$L$2000,MATCH($A159,vdata_regressors!$A$2:$A$2000,0)+1,MATCH(E$2,vdata_regressors!$A$1:$R$1,0)),"")</f>
        <v/>
      </c>
      <c r="F159" s="23" t="str">
        <f>IFERROR(INDEX(vdata_regressors!$A$1:$L$2000,MATCH($A159,vdata_regressors!$A$2:$A$2000,0)+1,MATCH(F$2,vdata_regressors!$A$1:$R$1,0)),"")</f>
        <v/>
      </c>
      <c r="G159" s="23" t="str">
        <f>IFERROR(INDEX(vdata_regressors!$A$1:$L$2000,MATCH($A159,vdata_regressors!$A$2:$A$2000,0)+1,MATCH(G$2,vdata_regressors!$A$1:$R$1,0)),"")</f>
        <v/>
      </c>
      <c r="H159" s="23" t="str">
        <f>IFERROR(INDEX(vdata_regressors!$A$1:$L$2000,MATCH($A159,vdata_regressors!$A$2:$A$2000,0)+1,MATCH(H$2,vdata_regressors!$A$1:$R$1,0)),"")</f>
        <v/>
      </c>
      <c r="I159" s="23" t="str">
        <f>IFERROR(INDEX(vdata_regressors!$A$1:$L$2000,MATCH($A159,vdata_regressors!$A$2:$A$2000,0)+1,MATCH(I$2,vdata_regressors!$A$1:$R$1,0)),"")</f>
        <v/>
      </c>
      <c r="J159" s="23" t="str">
        <f>IFERROR(INDEX(vdata_regressors!$A$1:$L$2000,MATCH($A159,vdata_regressors!$A$2:$A$2000,0)+1,MATCH(J$2,vdata_regressors!$A$1:$R$1,0)),"")</f>
        <v/>
      </c>
      <c r="K159" s="23" t="str">
        <f>IFERROR(INDEX(vdata_regressors!$A$1:$L$2000,MATCH($A159,vdata_regressors!$A$2:$A$2000,0)+1,MATCH(K$2,vdata_regressors!$A$1:$R$1,0)),"")</f>
        <v/>
      </c>
      <c r="L159" s="23" t="str">
        <f>IFERROR(INDEX(vdata_regressors!$A$1:$L$2000,MATCH($A159,vdata_regressors!$A$2:$A$2000,0)+1,MATCH(L$2,vdata_regressors!$A$1:$R$1,0)),"")</f>
        <v/>
      </c>
      <c r="M159" s="23" t="str">
        <f>IFERROR(VLOOKUP(A159,vdata_hours!$A$2:$B$1000,2,FALSE),"")</f>
        <v/>
      </c>
    </row>
    <row r="160" spans="1:13" x14ac:dyDescent="0.25">
      <c r="A160" s="23" t="str">
        <f>IF(vdata_hours!A159=0,"",vdata_hours!A159)</f>
        <v/>
      </c>
      <c r="B160" s="23" t="str">
        <f>IFERROR(INDEX(vdata_regressors!$A$1:$L$2000,MATCH($A160,vdata_regressors!$A$2:$A$2000,0)+1,MATCH(B$2,vdata_regressors!$A$1:$R$1,0)),"")</f>
        <v/>
      </c>
      <c r="C160" s="23" t="str">
        <f>IFERROR(INDEX(vdata_regressors!$A$1:$L$2000,MATCH($A160,vdata_regressors!$A$2:$A$2000,0)+1,MATCH(C$2,vdata_regressors!$A$1:$R$1,0)),"")</f>
        <v/>
      </c>
      <c r="D160" s="23" t="str">
        <f>IFERROR(INDEX(vdata_regressors!$A$1:$L$2000,MATCH($A160,vdata_regressors!$A$2:$A$2000,0)+1,MATCH(D$2,vdata_regressors!$A$1:$R$1,0)),"")</f>
        <v/>
      </c>
      <c r="E160" s="23" t="str">
        <f>IFERROR(INDEX(vdata_regressors!$A$1:$L$2000,MATCH($A160,vdata_regressors!$A$2:$A$2000,0)+1,MATCH(E$2,vdata_regressors!$A$1:$R$1,0)),"")</f>
        <v/>
      </c>
      <c r="F160" s="23" t="str">
        <f>IFERROR(INDEX(vdata_regressors!$A$1:$L$2000,MATCH($A160,vdata_regressors!$A$2:$A$2000,0)+1,MATCH(F$2,vdata_regressors!$A$1:$R$1,0)),"")</f>
        <v/>
      </c>
      <c r="G160" s="23" t="str">
        <f>IFERROR(INDEX(vdata_regressors!$A$1:$L$2000,MATCH($A160,vdata_regressors!$A$2:$A$2000,0)+1,MATCH(G$2,vdata_regressors!$A$1:$R$1,0)),"")</f>
        <v/>
      </c>
      <c r="H160" s="23" t="str">
        <f>IFERROR(INDEX(vdata_regressors!$A$1:$L$2000,MATCH($A160,vdata_regressors!$A$2:$A$2000,0)+1,MATCH(H$2,vdata_regressors!$A$1:$R$1,0)),"")</f>
        <v/>
      </c>
      <c r="I160" s="23" t="str">
        <f>IFERROR(INDEX(vdata_regressors!$A$1:$L$2000,MATCH($A160,vdata_regressors!$A$2:$A$2000,0)+1,MATCH(I$2,vdata_regressors!$A$1:$R$1,0)),"")</f>
        <v/>
      </c>
      <c r="J160" s="23" t="str">
        <f>IFERROR(INDEX(vdata_regressors!$A$1:$L$2000,MATCH($A160,vdata_regressors!$A$2:$A$2000,0)+1,MATCH(J$2,vdata_regressors!$A$1:$R$1,0)),"")</f>
        <v/>
      </c>
      <c r="K160" s="23" t="str">
        <f>IFERROR(INDEX(vdata_regressors!$A$1:$L$2000,MATCH($A160,vdata_regressors!$A$2:$A$2000,0)+1,MATCH(K$2,vdata_regressors!$A$1:$R$1,0)),"")</f>
        <v/>
      </c>
      <c r="L160" s="23" t="str">
        <f>IFERROR(INDEX(vdata_regressors!$A$1:$L$2000,MATCH($A160,vdata_regressors!$A$2:$A$2000,0)+1,MATCH(L$2,vdata_regressors!$A$1:$R$1,0)),"")</f>
        <v/>
      </c>
      <c r="M160" s="23" t="str">
        <f>IFERROR(VLOOKUP(A160,vdata_hours!$A$2:$B$1000,2,FALSE),"")</f>
        <v/>
      </c>
    </row>
    <row r="161" spans="1:13" x14ac:dyDescent="0.25">
      <c r="A161" s="23" t="str">
        <f>IF(vdata_hours!A160=0,"",vdata_hours!A160)</f>
        <v/>
      </c>
      <c r="B161" s="23" t="str">
        <f>IFERROR(INDEX(vdata_regressors!$A$1:$L$2000,MATCH($A161,vdata_regressors!$A$2:$A$2000,0)+1,MATCH(B$2,vdata_regressors!$A$1:$R$1,0)),"")</f>
        <v/>
      </c>
      <c r="C161" s="23" t="str">
        <f>IFERROR(INDEX(vdata_regressors!$A$1:$L$2000,MATCH($A161,vdata_regressors!$A$2:$A$2000,0)+1,MATCH(C$2,vdata_regressors!$A$1:$R$1,0)),"")</f>
        <v/>
      </c>
      <c r="D161" s="23" t="str">
        <f>IFERROR(INDEX(vdata_regressors!$A$1:$L$2000,MATCH($A161,vdata_regressors!$A$2:$A$2000,0)+1,MATCH(D$2,vdata_regressors!$A$1:$R$1,0)),"")</f>
        <v/>
      </c>
      <c r="E161" s="23" t="str">
        <f>IFERROR(INDEX(vdata_regressors!$A$1:$L$2000,MATCH($A161,vdata_regressors!$A$2:$A$2000,0)+1,MATCH(E$2,vdata_regressors!$A$1:$R$1,0)),"")</f>
        <v/>
      </c>
      <c r="F161" s="23" t="str">
        <f>IFERROR(INDEX(vdata_regressors!$A$1:$L$2000,MATCH($A161,vdata_regressors!$A$2:$A$2000,0)+1,MATCH(F$2,vdata_regressors!$A$1:$R$1,0)),"")</f>
        <v/>
      </c>
      <c r="G161" s="23" t="str">
        <f>IFERROR(INDEX(vdata_regressors!$A$1:$L$2000,MATCH($A161,vdata_regressors!$A$2:$A$2000,0)+1,MATCH(G$2,vdata_regressors!$A$1:$R$1,0)),"")</f>
        <v/>
      </c>
      <c r="H161" s="23" t="str">
        <f>IFERROR(INDEX(vdata_regressors!$A$1:$L$2000,MATCH($A161,vdata_regressors!$A$2:$A$2000,0)+1,MATCH(H$2,vdata_regressors!$A$1:$R$1,0)),"")</f>
        <v/>
      </c>
      <c r="I161" s="23" t="str">
        <f>IFERROR(INDEX(vdata_regressors!$A$1:$L$2000,MATCH($A161,vdata_regressors!$A$2:$A$2000,0)+1,MATCH(I$2,vdata_regressors!$A$1:$R$1,0)),"")</f>
        <v/>
      </c>
      <c r="J161" s="23" t="str">
        <f>IFERROR(INDEX(vdata_regressors!$A$1:$L$2000,MATCH($A161,vdata_regressors!$A$2:$A$2000,0)+1,MATCH(J$2,vdata_regressors!$A$1:$R$1,0)),"")</f>
        <v/>
      </c>
      <c r="K161" s="23" t="str">
        <f>IFERROR(INDEX(vdata_regressors!$A$1:$L$2000,MATCH($A161,vdata_regressors!$A$2:$A$2000,0)+1,MATCH(K$2,vdata_regressors!$A$1:$R$1,0)),"")</f>
        <v/>
      </c>
      <c r="L161" s="23" t="str">
        <f>IFERROR(INDEX(vdata_regressors!$A$1:$L$2000,MATCH($A161,vdata_regressors!$A$2:$A$2000,0)+1,MATCH(L$2,vdata_regressors!$A$1:$R$1,0)),"")</f>
        <v/>
      </c>
      <c r="M161" s="23" t="str">
        <f>IFERROR(VLOOKUP(A161,vdata_hours!$A$2:$B$1000,2,FALSE),"")</f>
        <v/>
      </c>
    </row>
    <row r="162" spans="1:13" x14ac:dyDescent="0.25">
      <c r="A162" s="23" t="str">
        <f>IF(vdata_hours!A161=0,"",vdata_hours!A161)</f>
        <v/>
      </c>
      <c r="B162" s="23" t="str">
        <f>IFERROR(INDEX(vdata_regressors!$A$1:$L$2000,MATCH($A162,vdata_regressors!$A$2:$A$2000,0)+1,MATCH(B$2,vdata_regressors!$A$1:$R$1,0)),"")</f>
        <v/>
      </c>
      <c r="C162" s="23" t="str">
        <f>IFERROR(INDEX(vdata_regressors!$A$1:$L$2000,MATCH($A162,vdata_regressors!$A$2:$A$2000,0)+1,MATCH(C$2,vdata_regressors!$A$1:$R$1,0)),"")</f>
        <v/>
      </c>
      <c r="D162" s="23" t="str">
        <f>IFERROR(INDEX(vdata_regressors!$A$1:$L$2000,MATCH($A162,vdata_regressors!$A$2:$A$2000,0)+1,MATCH(D$2,vdata_regressors!$A$1:$R$1,0)),"")</f>
        <v/>
      </c>
      <c r="E162" s="23" t="str">
        <f>IFERROR(INDEX(vdata_regressors!$A$1:$L$2000,MATCH($A162,vdata_regressors!$A$2:$A$2000,0)+1,MATCH(E$2,vdata_regressors!$A$1:$R$1,0)),"")</f>
        <v/>
      </c>
      <c r="F162" s="23" t="str">
        <f>IFERROR(INDEX(vdata_regressors!$A$1:$L$2000,MATCH($A162,vdata_regressors!$A$2:$A$2000,0)+1,MATCH(F$2,vdata_regressors!$A$1:$R$1,0)),"")</f>
        <v/>
      </c>
      <c r="G162" s="23" t="str">
        <f>IFERROR(INDEX(vdata_regressors!$A$1:$L$2000,MATCH($A162,vdata_regressors!$A$2:$A$2000,0)+1,MATCH(G$2,vdata_regressors!$A$1:$R$1,0)),"")</f>
        <v/>
      </c>
      <c r="H162" s="23" t="str">
        <f>IFERROR(INDEX(vdata_regressors!$A$1:$L$2000,MATCH($A162,vdata_regressors!$A$2:$A$2000,0)+1,MATCH(H$2,vdata_regressors!$A$1:$R$1,0)),"")</f>
        <v/>
      </c>
      <c r="I162" s="23" t="str">
        <f>IFERROR(INDEX(vdata_regressors!$A$1:$L$2000,MATCH($A162,vdata_regressors!$A$2:$A$2000,0)+1,MATCH(I$2,vdata_regressors!$A$1:$R$1,0)),"")</f>
        <v/>
      </c>
      <c r="J162" s="23" t="str">
        <f>IFERROR(INDEX(vdata_regressors!$A$1:$L$2000,MATCH($A162,vdata_regressors!$A$2:$A$2000,0)+1,MATCH(J$2,vdata_regressors!$A$1:$R$1,0)),"")</f>
        <v/>
      </c>
      <c r="K162" s="23" t="str">
        <f>IFERROR(INDEX(vdata_regressors!$A$1:$L$2000,MATCH($A162,vdata_regressors!$A$2:$A$2000,0)+1,MATCH(K$2,vdata_regressors!$A$1:$R$1,0)),"")</f>
        <v/>
      </c>
      <c r="L162" s="23" t="str">
        <f>IFERROR(INDEX(vdata_regressors!$A$1:$L$2000,MATCH($A162,vdata_regressors!$A$2:$A$2000,0)+1,MATCH(L$2,vdata_regressors!$A$1:$R$1,0)),"")</f>
        <v/>
      </c>
      <c r="M162" s="23" t="str">
        <f>IFERROR(VLOOKUP(A162,vdata_hours!$A$2:$B$1000,2,FALSE),"")</f>
        <v/>
      </c>
    </row>
    <row r="163" spans="1:13" x14ac:dyDescent="0.25">
      <c r="A163" s="23" t="str">
        <f>IF(vdata_hours!A162=0,"",vdata_hours!A162)</f>
        <v/>
      </c>
      <c r="B163" s="23" t="str">
        <f>IFERROR(INDEX(vdata_regressors!$A$1:$L$2000,MATCH($A163,vdata_regressors!$A$2:$A$2000,0)+1,MATCH(B$2,vdata_regressors!$A$1:$R$1,0)),"")</f>
        <v/>
      </c>
      <c r="C163" s="23" t="str">
        <f>IFERROR(INDEX(vdata_regressors!$A$1:$L$2000,MATCH($A163,vdata_regressors!$A$2:$A$2000,0)+1,MATCH(C$2,vdata_regressors!$A$1:$R$1,0)),"")</f>
        <v/>
      </c>
      <c r="D163" s="23" t="str">
        <f>IFERROR(INDEX(vdata_regressors!$A$1:$L$2000,MATCH($A163,vdata_regressors!$A$2:$A$2000,0)+1,MATCH(D$2,vdata_regressors!$A$1:$R$1,0)),"")</f>
        <v/>
      </c>
      <c r="E163" s="23" t="str">
        <f>IFERROR(INDEX(vdata_regressors!$A$1:$L$2000,MATCH($A163,vdata_regressors!$A$2:$A$2000,0)+1,MATCH(E$2,vdata_regressors!$A$1:$R$1,0)),"")</f>
        <v/>
      </c>
      <c r="F163" s="23" t="str">
        <f>IFERROR(INDEX(vdata_regressors!$A$1:$L$2000,MATCH($A163,vdata_regressors!$A$2:$A$2000,0)+1,MATCH(F$2,vdata_regressors!$A$1:$R$1,0)),"")</f>
        <v/>
      </c>
      <c r="G163" s="23" t="str">
        <f>IFERROR(INDEX(vdata_regressors!$A$1:$L$2000,MATCH($A163,vdata_regressors!$A$2:$A$2000,0)+1,MATCH(G$2,vdata_regressors!$A$1:$R$1,0)),"")</f>
        <v/>
      </c>
      <c r="H163" s="23" t="str">
        <f>IFERROR(INDEX(vdata_regressors!$A$1:$L$2000,MATCH($A163,vdata_regressors!$A$2:$A$2000,0)+1,MATCH(H$2,vdata_regressors!$A$1:$R$1,0)),"")</f>
        <v/>
      </c>
      <c r="I163" s="23" t="str">
        <f>IFERROR(INDEX(vdata_regressors!$A$1:$L$2000,MATCH($A163,vdata_regressors!$A$2:$A$2000,0)+1,MATCH(I$2,vdata_regressors!$A$1:$R$1,0)),"")</f>
        <v/>
      </c>
      <c r="J163" s="23" t="str">
        <f>IFERROR(INDEX(vdata_regressors!$A$1:$L$2000,MATCH($A163,vdata_regressors!$A$2:$A$2000,0)+1,MATCH(J$2,vdata_regressors!$A$1:$R$1,0)),"")</f>
        <v/>
      </c>
      <c r="K163" s="23" t="str">
        <f>IFERROR(INDEX(vdata_regressors!$A$1:$L$2000,MATCH($A163,vdata_regressors!$A$2:$A$2000,0)+1,MATCH(K$2,vdata_regressors!$A$1:$R$1,0)),"")</f>
        <v/>
      </c>
      <c r="L163" s="23" t="str">
        <f>IFERROR(INDEX(vdata_regressors!$A$1:$L$2000,MATCH($A163,vdata_regressors!$A$2:$A$2000,0)+1,MATCH(L$2,vdata_regressors!$A$1:$R$1,0)),"")</f>
        <v/>
      </c>
      <c r="M163" s="23" t="str">
        <f>IFERROR(VLOOKUP(A163,vdata_hours!$A$2:$B$1000,2,FALSE),"")</f>
        <v/>
      </c>
    </row>
    <row r="164" spans="1:13" x14ac:dyDescent="0.25">
      <c r="A164" s="23" t="str">
        <f>IF(vdata_hours!A163=0,"",vdata_hours!A163)</f>
        <v/>
      </c>
      <c r="B164" s="23" t="str">
        <f>IFERROR(INDEX(vdata_regressors!$A$1:$L$2000,MATCH($A164,vdata_regressors!$A$2:$A$2000,0)+1,MATCH(B$2,vdata_regressors!$A$1:$R$1,0)),"")</f>
        <v/>
      </c>
      <c r="C164" s="23" t="str">
        <f>IFERROR(INDEX(vdata_regressors!$A$1:$L$2000,MATCH($A164,vdata_regressors!$A$2:$A$2000,0)+1,MATCH(C$2,vdata_regressors!$A$1:$R$1,0)),"")</f>
        <v/>
      </c>
      <c r="D164" s="23" t="str">
        <f>IFERROR(INDEX(vdata_regressors!$A$1:$L$2000,MATCH($A164,vdata_regressors!$A$2:$A$2000,0)+1,MATCH(D$2,vdata_regressors!$A$1:$R$1,0)),"")</f>
        <v/>
      </c>
      <c r="E164" s="23" t="str">
        <f>IFERROR(INDEX(vdata_regressors!$A$1:$L$2000,MATCH($A164,vdata_regressors!$A$2:$A$2000,0)+1,MATCH(E$2,vdata_regressors!$A$1:$R$1,0)),"")</f>
        <v/>
      </c>
      <c r="F164" s="23" t="str">
        <f>IFERROR(INDEX(vdata_regressors!$A$1:$L$2000,MATCH($A164,vdata_regressors!$A$2:$A$2000,0)+1,MATCH(F$2,vdata_regressors!$A$1:$R$1,0)),"")</f>
        <v/>
      </c>
      <c r="G164" s="23" t="str">
        <f>IFERROR(INDEX(vdata_regressors!$A$1:$L$2000,MATCH($A164,vdata_regressors!$A$2:$A$2000,0)+1,MATCH(G$2,vdata_regressors!$A$1:$R$1,0)),"")</f>
        <v/>
      </c>
      <c r="H164" s="23" t="str">
        <f>IFERROR(INDEX(vdata_regressors!$A$1:$L$2000,MATCH($A164,vdata_regressors!$A$2:$A$2000,0)+1,MATCH(H$2,vdata_regressors!$A$1:$R$1,0)),"")</f>
        <v/>
      </c>
      <c r="I164" s="23" t="str">
        <f>IFERROR(INDEX(vdata_regressors!$A$1:$L$2000,MATCH($A164,vdata_regressors!$A$2:$A$2000,0)+1,MATCH(I$2,vdata_regressors!$A$1:$R$1,0)),"")</f>
        <v/>
      </c>
      <c r="J164" s="23" t="str">
        <f>IFERROR(INDEX(vdata_regressors!$A$1:$L$2000,MATCH($A164,vdata_regressors!$A$2:$A$2000,0)+1,MATCH(J$2,vdata_regressors!$A$1:$R$1,0)),"")</f>
        <v/>
      </c>
      <c r="K164" s="23" t="str">
        <f>IFERROR(INDEX(vdata_regressors!$A$1:$L$2000,MATCH($A164,vdata_regressors!$A$2:$A$2000,0)+1,MATCH(K$2,vdata_regressors!$A$1:$R$1,0)),"")</f>
        <v/>
      </c>
      <c r="L164" s="23" t="str">
        <f>IFERROR(INDEX(vdata_regressors!$A$1:$L$2000,MATCH($A164,vdata_regressors!$A$2:$A$2000,0)+1,MATCH(L$2,vdata_regressors!$A$1:$R$1,0)),"")</f>
        <v/>
      </c>
      <c r="M164" s="23" t="str">
        <f>IFERROR(VLOOKUP(A164,vdata_hours!$A$2:$B$1000,2,FALSE),"")</f>
        <v/>
      </c>
    </row>
    <row r="165" spans="1:13" x14ac:dyDescent="0.25">
      <c r="A165" s="23" t="str">
        <f>IF(vdata_hours!A164=0,"",vdata_hours!A164)</f>
        <v/>
      </c>
      <c r="B165" s="23" t="str">
        <f>IFERROR(INDEX(vdata_regressors!$A$1:$L$2000,MATCH($A165,vdata_regressors!$A$2:$A$2000,0)+1,MATCH(B$2,vdata_regressors!$A$1:$R$1,0)),"")</f>
        <v/>
      </c>
      <c r="C165" s="23" t="str">
        <f>IFERROR(INDEX(vdata_regressors!$A$1:$L$2000,MATCH($A165,vdata_regressors!$A$2:$A$2000,0)+1,MATCH(C$2,vdata_regressors!$A$1:$R$1,0)),"")</f>
        <v/>
      </c>
      <c r="D165" s="23" t="str">
        <f>IFERROR(INDEX(vdata_regressors!$A$1:$L$2000,MATCH($A165,vdata_regressors!$A$2:$A$2000,0)+1,MATCH(D$2,vdata_regressors!$A$1:$R$1,0)),"")</f>
        <v/>
      </c>
      <c r="E165" s="23" t="str">
        <f>IFERROR(INDEX(vdata_regressors!$A$1:$L$2000,MATCH($A165,vdata_regressors!$A$2:$A$2000,0)+1,MATCH(E$2,vdata_regressors!$A$1:$R$1,0)),"")</f>
        <v/>
      </c>
      <c r="F165" s="23" t="str">
        <f>IFERROR(INDEX(vdata_regressors!$A$1:$L$2000,MATCH($A165,vdata_regressors!$A$2:$A$2000,0)+1,MATCH(F$2,vdata_regressors!$A$1:$R$1,0)),"")</f>
        <v/>
      </c>
      <c r="G165" s="23" t="str">
        <f>IFERROR(INDEX(vdata_regressors!$A$1:$L$2000,MATCH($A165,vdata_regressors!$A$2:$A$2000,0)+1,MATCH(G$2,vdata_regressors!$A$1:$R$1,0)),"")</f>
        <v/>
      </c>
      <c r="H165" s="23" t="str">
        <f>IFERROR(INDEX(vdata_regressors!$A$1:$L$2000,MATCH($A165,vdata_regressors!$A$2:$A$2000,0)+1,MATCH(H$2,vdata_regressors!$A$1:$R$1,0)),"")</f>
        <v/>
      </c>
      <c r="I165" s="23" t="str">
        <f>IFERROR(INDEX(vdata_regressors!$A$1:$L$2000,MATCH($A165,vdata_regressors!$A$2:$A$2000,0)+1,MATCH(I$2,vdata_regressors!$A$1:$R$1,0)),"")</f>
        <v/>
      </c>
      <c r="J165" s="23" t="str">
        <f>IFERROR(INDEX(vdata_regressors!$A$1:$L$2000,MATCH($A165,vdata_regressors!$A$2:$A$2000,0)+1,MATCH(J$2,vdata_regressors!$A$1:$R$1,0)),"")</f>
        <v/>
      </c>
      <c r="K165" s="23" t="str">
        <f>IFERROR(INDEX(vdata_regressors!$A$1:$L$2000,MATCH($A165,vdata_regressors!$A$2:$A$2000,0)+1,MATCH(K$2,vdata_regressors!$A$1:$R$1,0)),"")</f>
        <v/>
      </c>
      <c r="L165" s="23" t="str">
        <f>IFERROR(INDEX(vdata_regressors!$A$1:$L$2000,MATCH($A165,vdata_regressors!$A$2:$A$2000,0)+1,MATCH(L$2,vdata_regressors!$A$1:$R$1,0)),"")</f>
        <v/>
      </c>
      <c r="M165" s="23" t="str">
        <f>IFERROR(VLOOKUP(A165,vdata_hours!$A$2:$B$1000,2,FALSE),"")</f>
        <v/>
      </c>
    </row>
    <row r="166" spans="1:13" x14ac:dyDescent="0.25">
      <c r="A166" s="23" t="str">
        <f>IF(vdata_hours!A165=0,"",vdata_hours!A165)</f>
        <v/>
      </c>
      <c r="B166" s="23" t="str">
        <f>IFERROR(INDEX(vdata_regressors!$A$1:$L$2000,MATCH($A166,vdata_regressors!$A$2:$A$2000,0)+1,MATCH(B$2,vdata_regressors!$A$1:$R$1,0)),"")</f>
        <v/>
      </c>
      <c r="C166" s="23" t="str">
        <f>IFERROR(INDEX(vdata_regressors!$A$1:$L$2000,MATCH($A166,vdata_regressors!$A$2:$A$2000,0)+1,MATCH(C$2,vdata_regressors!$A$1:$R$1,0)),"")</f>
        <v/>
      </c>
      <c r="D166" s="23" t="str">
        <f>IFERROR(INDEX(vdata_regressors!$A$1:$L$2000,MATCH($A166,vdata_regressors!$A$2:$A$2000,0)+1,MATCH(D$2,vdata_regressors!$A$1:$R$1,0)),"")</f>
        <v/>
      </c>
      <c r="E166" s="23" t="str">
        <f>IFERROR(INDEX(vdata_regressors!$A$1:$L$2000,MATCH($A166,vdata_regressors!$A$2:$A$2000,0)+1,MATCH(E$2,vdata_regressors!$A$1:$R$1,0)),"")</f>
        <v/>
      </c>
      <c r="F166" s="23" t="str">
        <f>IFERROR(INDEX(vdata_regressors!$A$1:$L$2000,MATCH($A166,vdata_regressors!$A$2:$A$2000,0)+1,MATCH(F$2,vdata_regressors!$A$1:$R$1,0)),"")</f>
        <v/>
      </c>
      <c r="G166" s="23" t="str">
        <f>IFERROR(INDEX(vdata_regressors!$A$1:$L$2000,MATCH($A166,vdata_regressors!$A$2:$A$2000,0)+1,MATCH(G$2,vdata_regressors!$A$1:$R$1,0)),"")</f>
        <v/>
      </c>
      <c r="H166" s="23" t="str">
        <f>IFERROR(INDEX(vdata_regressors!$A$1:$L$2000,MATCH($A166,vdata_regressors!$A$2:$A$2000,0)+1,MATCH(H$2,vdata_regressors!$A$1:$R$1,0)),"")</f>
        <v/>
      </c>
      <c r="I166" s="23" t="str">
        <f>IFERROR(INDEX(vdata_regressors!$A$1:$L$2000,MATCH($A166,vdata_regressors!$A$2:$A$2000,0)+1,MATCH(I$2,vdata_regressors!$A$1:$R$1,0)),"")</f>
        <v/>
      </c>
      <c r="J166" s="23" t="str">
        <f>IFERROR(INDEX(vdata_regressors!$A$1:$L$2000,MATCH($A166,vdata_regressors!$A$2:$A$2000,0)+1,MATCH(J$2,vdata_regressors!$A$1:$R$1,0)),"")</f>
        <v/>
      </c>
      <c r="K166" s="23" t="str">
        <f>IFERROR(INDEX(vdata_regressors!$A$1:$L$2000,MATCH($A166,vdata_regressors!$A$2:$A$2000,0)+1,MATCH(K$2,vdata_regressors!$A$1:$R$1,0)),"")</f>
        <v/>
      </c>
      <c r="L166" s="23" t="str">
        <f>IFERROR(INDEX(vdata_regressors!$A$1:$L$2000,MATCH($A166,vdata_regressors!$A$2:$A$2000,0)+1,MATCH(L$2,vdata_regressors!$A$1:$R$1,0)),"")</f>
        <v/>
      </c>
      <c r="M166" s="23" t="str">
        <f>IFERROR(VLOOKUP(A166,vdata_hours!$A$2:$B$1000,2,FALSE),"")</f>
        <v/>
      </c>
    </row>
    <row r="167" spans="1:13" x14ac:dyDescent="0.25">
      <c r="A167" s="23" t="str">
        <f>IF(vdata_hours!A166=0,"",vdata_hours!A166)</f>
        <v/>
      </c>
      <c r="B167" s="23" t="str">
        <f>IFERROR(INDEX(vdata_regressors!$A$1:$L$2000,MATCH($A167,vdata_regressors!$A$2:$A$2000,0)+1,MATCH(B$2,vdata_regressors!$A$1:$R$1,0)),"")</f>
        <v/>
      </c>
      <c r="C167" s="23" t="str">
        <f>IFERROR(INDEX(vdata_regressors!$A$1:$L$2000,MATCH($A167,vdata_regressors!$A$2:$A$2000,0)+1,MATCH(C$2,vdata_regressors!$A$1:$R$1,0)),"")</f>
        <v/>
      </c>
      <c r="D167" s="23" t="str">
        <f>IFERROR(INDEX(vdata_regressors!$A$1:$L$2000,MATCH($A167,vdata_regressors!$A$2:$A$2000,0)+1,MATCH(D$2,vdata_regressors!$A$1:$R$1,0)),"")</f>
        <v/>
      </c>
      <c r="E167" s="23" t="str">
        <f>IFERROR(INDEX(vdata_regressors!$A$1:$L$2000,MATCH($A167,vdata_regressors!$A$2:$A$2000,0)+1,MATCH(E$2,vdata_regressors!$A$1:$R$1,0)),"")</f>
        <v/>
      </c>
      <c r="F167" s="23" t="str">
        <f>IFERROR(INDEX(vdata_regressors!$A$1:$L$2000,MATCH($A167,vdata_regressors!$A$2:$A$2000,0)+1,MATCH(F$2,vdata_regressors!$A$1:$R$1,0)),"")</f>
        <v/>
      </c>
      <c r="G167" s="23" t="str">
        <f>IFERROR(INDEX(vdata_regressors!$A$1:$L$2000,MATCH($A167,vdata_regressors!$A$2:$A$2000,0)+1,MATCH(G$2,vdata_regressors!$A$1:$R$1,0)),"")</f>
        <v/>
      </c>
      <c r="H167" s="23" t="str">
        <f>IFERROR(INDEX(vdata_regressors!$A$1:$L$2000,MATCH($A167,vdata_regressors!$A$2:$A$2000,0)+1,MATCH(H$2,vdata_regressors!$A$1:$R$1,0)),"")</f>
        <v/>
      </c>
      <c r="I167" s="23" t="str">
        <f>IFERROR(INDEX(vdata_regressors!$A$1:$L$2000,MATCH($A167,vdata_regressors!$A$2:$A$2000,0)+1,MATCH(I$2,vdata_regressors!$A$1:$R$1,0)),"")</f>
        <v/>
      </c>
      <c r="J167" s="23" t="str">
        <f>IFERROR(INDEX(vdata_regressors!$A$1:$L$2000,MATCH($A167,vdata_regressors!$A$2:$A$2000,0)+1,MATCH(J$2,vdata_regressors!$A$1:$R$1,0)),"")</f>
        <v/>
      </c>
      <c r="K167" s="23" t="str">
        <f>IFERROR(INDEX(vdata_regressors!$A$1:$L$2000,MATCH($A167,vdata_regressors!$A$2:$A$2000,0)+1,MATCH(K$2,vdata_regressors!$A$1:$R$1,0)),"")</f>
        <v/>
      </c>
      <c r="L167" s="23" t="str">
        <f>IFERROR(INDEX(vdata_regressors!$A$1:$L$2000,MATCH($A167,vdata_regressors!$A$2:$A$2000,0)+1,MATCH(L$2,vdata_regressors!$A$1:$R$1,0)),"")</f>
        <v/>
      </c>
      <c r="M167" s="23" t="str">
        <f>IFERROR(VLOOKUP(A167,vdata_hours!$A$2:$B$1000,2,FALSE),"")</f>
        <v/>
      </c>
    </row>
    <row r="168" spans="1:13" x14ac:dyDescent="0.25">
      <c r="A168" s="23" t="str">
        <f>IF(vdata_hours!A167=0,"",vdata_hours!A167)</f>
        <v/>
      </c>
      <c r="B168" s="23" t="str">
        <f>IFERROR(INDEX(vdata_regressors!$A$1:$L$2000,MATCH($A168,vdata_regressors!$A$2:$A$2000,0)+1,MATCH(B$2,vdata_regressors!$A$1:$R$1,0)),"")</f>
        <v/>
      </c>
      <c r="C168" s="23" t="str">
        <f>IFERROR(INDEX(vdata_regressors!$A$1:$L$2000,MATCH($A168,vdata_regressors!$A$2:$A$2000,0)+1,MATCH(C$2,vdata_regressors!$A$1:$R$1,0)),"")</f>
        <v/>
      </c>
      <c r="D168" s="23" t="str">
        <f>IFERROR(INDEX(vdata_regressors!$A$1:$L$2000,MATCH($A168,vdata_regressors!$A$2:$A$2000,0)+1,MATCH(D$2,vdata_regressors!$A$1:$R$1,0)),"")</f>
        <v/>
      </c>
      <c r="E168" s="23" t="str">
        <f>IFERROR(INDEX(vdata_regressors!$A$1:$L$2000,MATCH($A168,vdata_regressors!$A$2:$A$2000,0)+1,MATCH(E$2,vdata_regressors!$A$1:$R$1,0)),"")</f>
        <v/>
      </c>
      <c r="F168" s="23" t="str">
        <f>IFERROR(INDEX(vdata_regressors!$A$1:$L$2000,MATCH($A168,vdata_regressors!$A$2:$A$2000,0)+1,MATCH(F$2,vdata_regressors!$A$1:$R$1,0)),"")</f>
        <v/>
      </c>
      <c r="G168" s="23" t="str">
        <f>IFERROR(INDEX(vdata_regressors!$A$1:$L$2000,MATCH($A168,vdata_regressors!$A$2:$A$2000,0)+1,MATCH(G$2,vdata_regressors!$A$1:$R$1,0)),"")</f>
        <v/>
      </c>
      <c r="H168" s="23" t="str">
        <f>IFERROR(INDEX(vdata_regressors!$A$1:$L$2000,MATCH($A168,vdata_regressors!$A$2:$A$2000,0)+1,MATCH(H$2,vdata_regressors!$A$1:$R$1,0)),"")</f>
        <v/>
      </c>
      <c r="I168" s="23" t="str">
        <f>IFERROR(INDEX(vdata_regressors!$A$1:$L$2000,MATCH($A168,vdata_regressors!$A$2:$A$2000,0)+1,MATCH(I$2,vdata_regressors!$A$1:$R$1,0)),"")</f>
        <v/>
      </c>
      <c r="J168" s="23" t="str">
        <f>IFERROR(INDEX(vdata_regressors!$A$1:$L$2000,MATCH($A168,vdata_regressors!$A$2:$A$2000,0)+1,MATCH(J$2,vdata_regressors!$A$1:$R$1,0)),"")</f>
        <v/>
      </c>
      <c r="K168" s="23" t="str">
        <f>IFERROR(INDEX(vdata_regressors!$A$1:$L$2000,MATCH($A168,vdata_regressors!$A$2:$A$2000,0)+1,MATCH(K$2,vdata_regressors!$A$1:$R$1,0)),"")</f>
        <v/>
      </c>
      <c r="L168" s="23" t="str">
        <f>IFERROR(INDEX(vdata_regressors!$A$1:$L$2000,MATCH($A168,vdata_regressors!$A$2:$A$2000,0)+1,MATCH(L$2,vdata_regressors!$A$1:$R$1,0)),"")</f>
        <v/>
      </c>
      <c r="M168" s="23" t="str">
        <f>IFERROR(VLOOKUP(A168,vdata_hours!$A$2:$B$1000,2,FALSE),"")</f>
        <v/>
      </c>
    </row>
    <row r="169" spans="1:13" x14ac:dyDescent="0.25">
      <c r="A169" s="23" t="str">
        <f>IF(vdata_hours!A168=0,"",vdata_hours!A168)</f>
        <v/>
      </c>
      <c r="B169" s="23" t="str">
        <f>IFERROR(INDEX(vdata_regressors!$A$1:$L$2000,MATCH($A169,vdata_regressors!$A$2:$A$2000,0)+1,MATCH(B$2,vdata_regressors!$A$1:$R$1,0)),"")</f>
        <v/>
      </c>
      <c r="C169" s="23" t="str">
        <f>IFERROR(INDEX(vdata_regressors!$A$1:$L$2000,MATCH($A169,vdata_regressors!$A$2:$A$2000,0)+1,MATCH(C$2,vdata_regressors!$A$1:$R$1,0)),"")</f>
        <v/>
      </c>
      <c r="D169" s="23" t="str">
        <f>IFERROR(INDEX(vdata_regressors!$A$1:$L$2000,MATCH($A169,vdata_regressors!$A$2:$A$2000,0)+1,MATCH(D$2,vdata_regressors!$A$1:$R$1,0)),"")</f>
        <v/>
      </c>
      <c r="E169" s="23" t="str">
        <f>IFERROR(INDEX(vdata_regressors!$A$1:$L$2000,MATCH($A169,vdata_regressors!$A$2:$A$2000,0)+1,MATCH(E$2,vdata_regressors!$A$1:$R$1,0)),"")</f>
        <v/>
      </c>
      <c r="F169" s="23" t="str">
        <f>IFERROR(INDEX(vdata_regressors!$A$1:$L$2000,MATCH($A169,vdata_regressors!$A$2:$A$2000,0)+1,MATCH(F$2,vdata_regressors!$A$1:$R$1,0)),"")</f>
        <v/>
      </c>
      <c r="G169" s="23" t="str">
        <f>IFERROR(INDEX(vdata_regressors!$A$1:$L$2000,MATCH($A169,vdata_regressors!$A$2:$A$2000,0)+1,MATCH(G$2,vdata_regressors!$A$1:$R$1,0)),"")</f>
        <v/>
      </c>
      <c r="H169" s="23" t="str">
        <f>IFERROR(INDEX(vdata_regressors!$A$1:$L$2000,MATCH($A169,vdata_regressors!$A$2:$A$2000,0)+1,MATCH(H$2,vdata_regressors!$A$1:$R$1,0)),"")</f>
        <v/>
      </c>
      <c r="I169" s="23" t="str">
        <f>IFERROR(INDEX(vdata_regressors!$A$1:$L$2000,MATCH($A169,vdata_regressors!$A$2:$A$2000,0)+1,MATCH(I$2,vdata_regressors!$A$1:$R$1,0)),"")</f>
        <v/>
      </c>
      <c r="J169" s="23" t="str">
        <f>IFERROR(INDEX(vdata_regressors!$A$1:$L$2000,MATCH($A169,vdata_regressors!$A$2:$A$2000,0)+1,MATCH(J$2,vdata_regressors!$A$1:$R$1,0)),"")</f>
        <v/>
      </c>
      <c r="K169" s="23" t="str">
        <f>IFERROR(INDEX(vdata_regressors!$A$1:$L$2000,MATCH($A169,vdata_regressors!$A$2:$A$2000,0)+1,MATCH(K$2,vdata_regressors!$A$1:$R$1,0)),"")</f>
        <v/>
      </c>
      <c r="L169" s="23" t="str">
        <f>IFERROR(INDEX(vdata_regressors!$A$1:$L$2000,MATCH($A169,vdata_regressors!$A$2:$A$2000,0)+1,MATCH(L$2,vdata_regressors!$A$1:$R$1,0)),"")</f>
        <v/>
      </c>
      <c r="M169" s="23" t="str">
        <f>IFERROR(VLOOKUP(A169,vdata_hours!$A$2:$B$1000,2,FALSE),"")</f>
        <v/>
      </c>
    </row>
    <row r="170" spans="1:13" x14ac:dyDescent="0.25">
      <c r="A170" s="23" t="str">
        <f>IF(vdata_hours!A169=0,"",vdata_hours!A169)</f>
        <v/>
      </c>
      <c r="B170" s="23" t="str">
        <f>IFERROR(INDEX(vdata_regressors!$A$1:$L$2000,MATCH($A170,vdata_regressors!$A$2:$A$2000,0)+1,MATCH(B$2,vdata_regressors!$A$1:$R$1,0)),"")</f>
        <v/>
      </c>
      <c r="C170" s="23" t="str">
        <f>IFERROR(INDEX(vdata_regressors!$A$1:$L$2000,MATCH($A170,vdata_regressors!$A$2:$A$2000,0)+1,MATCH(C$2,vdata_regressors!$A$1:$R$1,0)),"")</f>
        <v/>
      </c>
      <c r="D170" s="23" t="str">
        <f>IFERROR(INDEX(vdata_regressors!$A$1:$L$2000,MATCH($A170,vdata_regressors!$A$2:$A$2000,0)+1,MATCH(D$2,vdata_regressors!$A$1:$R$1,0)),"")</f>
        <v/>
      </c>
      <c r="E170" s="23" t="str">
        <f>IFERROR(INDEX(vdata_regressors!$A$1:$L$2000,MATCH($A170,vdata_regressors!$A$2:$A$2000,0)+1,MATCH(E$2,vdata_regressors!$A$1:$R$1,0)),"")</f>
        <v/>
      </c>
      <c r="F170" s="23" t="str">
        <f>IFERROR(INDEX(vdata_regressors!$A$1:$L$2000,MATCH($A170,vdata_regressors!$A$2:$A$2000,0)+1,MATCH(F$2,vdata_regressors!$A$1:$R$1,0)),"")</f>
        <v/>
      </c>
      <c r="G170" s="23" t="str">
        <f>IFERROR(INDEX(vdata_regressors!$A$1:$L$2000,MATCH($A170,vdata_regressors!$A$2:$A$2000,0)+1,MATCH(G$2,vdata_regressors!$A$1:$R$1,0)),"")</f>
        <v/>
      </c>
      <c r="H170" s="23" t="str">
        <f>IFERROR(INDEX(vdata_regressors!$A$1:$L$2000,MATCH($A170,vdata_regressors!$A$2:$A$2000,0)+1,MATCH(H$2,vdata_regressors!$A$1:$R$1,0)),"")</f>
        <v/>
      </c>
      <c r="I170" s="23" t="str">
        <f>IFERROR(INDEX(vdata_regressors!$A$1:$L$2000,MATCH($A170,vdata_regressors!$A$2:$A$2000,0)+1,MATCH(I$2,vdata_regressors!$A$1:$R$1,0)),"")</f>
        <v/>
      </c>
      <c r="J170" s="23" t="str">
        <f>IFERROR(INDEX(vdata_regressors!$A$1:$L$2000,MATCH($A170,vdata_regressors!$A$2:$A$2000,0)+1,MATCH(J$2,vdata_regressors!$A$1:$R$1,0)),"")</f>
        <v/>
      </c>
      <c r="K170" s="23" t="str">
        <f>IFERROR(INDEX(vdata_regressors!$A$1:$L$2000,MATCH($A170,vdata_regressors!$A$2:$A$2000,0)+1,MATCH(K$2,vdata_regressors!$A$1:$R$1,0)),"")</f>
        <v/>
      </c>
      <c r="L170" s="23" t="str">
        <f>IFERROR(INDEX(vdata_regressors!$A$1:$L$2000,MATCH($A170,vdata_regressors!$A$2:$A$2000,0)+1,MATCH(L$2,vdata_regressors!$A$1:$R$1,0)),"")</f>
        <v/>
      </c>
      <c r="M170" s="23" t="str">
        <f>IFERROR(VLOOKUP(A170,vdata_hours!$A$2:$B$1000,2,FALSE),"")</f>
        <v/>
      </c>
    </row>
    <row r="171" spans="1:13" x14ac:dyDescent="0.25">
      <c r="A171" s="23" t="str">
        <f>IF(vdata_hours!A170=0,"",vdata_hours!A170)</f>
        <v/>
      </c>
      <c r="B171" s="23" t="str">
        <f>IFERROR(INDEX(vdata_regressors!$A$1:$L$2000,MATCH($A171,vdata_regressors!$A$2:$A$2000,0)+1,MATCH(B$2,vdata_regressors!$A$1:$R$1,0)),"")</f>
        <v/>
      </c>
      <c r="C171" s="23" t="str">
        <f>IFERROR(INDEX(vdata_regressors!$A$1:$L$2000,MATCH($A171,vdata_regressors!$A$2:$A$2000,0)+1,MATCH(C$2,vdata_regressors!$A$1:$R$1,0)),"")</f>
        <v/>
      </c>
      <c r="D171" s="23" t="str">
        <f>IFERROR(INDEX(vdata_regressors!$A$1:$L$2000,MATCH($A171,vdata_regressors!$A$2:$A$2000,0)+1,MATCH(D$2,vdata_regressors!$A$1:$R$1,0)),"")</f>
        <v/>
      </c>
      <c r="E171" s="23" t="str">
        <f>IFERROR(INDEX(vdata_regressors!$A$1:$L$2000,MATCH($A171,vdata_regressors!$A$2:$A$2000,0)+1,MATCH(E$2,vdata_regressors!$A$1:$R$1,0)),"")</f>
        <v/>
      </c>
      <c r="F171" s="23" t="str">
        <f>IFERROR(INDEX(vdata_regressors!$A$1:$L$2000,MATCH($A171,vdata_regressors!$A$2:$A$2000,0)+1,MATCH(F$2,vdata_regressors!$A$1:$R$1,0)),"")</f>
        <v/>
      </c>
      <c r="G171" s="23" t="str">
        <f>IFERROR(INDEX(vdata_regressors!$A$1:$L$2000,MATCH($A171,vdata_regressors!$A$2:$A$2000,0)+1,MATCH(G$2,vdata_regressors!$A$1:$R$1,0)),"")</f>
        <v/>
      </c>
      <c r="H171" s="23" t="str">
        <f>IFERROR(INDEX(vdata_regressors!$A$1:$L$2000,MATCH($A171,vdata_regressors!$A$2:$A$2000,0)+1,MATCH(H$2,vdata_regressors!$A$1:$R$1,0)),"")</f>
        <v/>
      </c>
      <c r="I171" s="23" t="str">
        <f>IFERROR(INDEX(vdata_regressors!$A$1:$L$2000,MATCH($A171,vdata_regressors!$A$2:$A$2000,0)+1,MATCH(I$2,vdata_regressors!$A$1:$R$1,0)),"")</f>
        <v/>
      </c>
      <c r="J171" s="23" t="str">
        <f>IFERROR(INDEX(vdata_regressors!$A$1:$L$2000,MATCH($A171,vdata_regressors!$A$2:$A$2000,0)+1,MATCH(J$2,vdata_regressors!$A$1:$R$1,0)),"")</f>
        <v/>
      </c>
      <c r="K171" s="23" t="str">
        <f>IFERROR(INDEX(vdata_regressors!$A$1:$L$2000,MATCH($A171,vdata_regressors!$A$2:$A$2000,0)+1,MATCH(K$2,vdata_regressors!$A$1:$R$1,0)),"")</f>
        <v/>
      </c>
      <c r="L171" s="23" t="str">
        <f>IFERROR(INDEX(vdata_regressors!$A$1:$L$2000,MATCH($A171,vdata_regressors!$A$2:$A$2000,0)+1,MATCH(L$2,vdata_regressors!$A$1:$R$1,0)),"")</f>
        <v/>
      </c>
      <c r="M171" s="23" t="str">
        <f>IFERROR(VLOOKUP(A171,vdata_hours!$A$2:$B$1000,2,FALSE),"")</f>
        <v/>
      </c>
    </row>
    <row r="172" spans="1:13" x14ac:dyDescent="0.25">
      <c r="A172" s="23" t="str">
        <f>IF(vdata_hours!A171=0,"",vdata_hours!A171)</f>
        <v/>
      </c>
      <c r="B172" s="23" t="str">
        <f>IFERROR(INDEX(vdata_regressors!$A$1:$L$2000,MATCH($A172,vdata_regressors!$A$2:$A$2000,0)+1,MATCH(B$2,vdata_regressors!$A$1:$R$1,0)),"")</f>
        <v/>
      </c>
      <c r="C172" s="23" t="str">
        <f>IFERROR(INDEX(vdata_regressors!$A$1:$L$2000,MATCH($A172,vdata_regressors!$A$2:$A$2000,0)+1,MATCH(C$2,vdata_regressors!$A$1:$R$1,0)),"")</f>
        <v/>
      </c>
      <c r="D172" s="23" t="str">
        <f>IFERROR(INDEX(vdata_regressors!$A$1:$L$2000,MATCH($A172,vdata_regressors!$A$2:$A$2000,0)+1,MATCH(D$2,vdata_regressors!$A$1:$R$1,0)),"")</f>
        <v/>
      </c>
      <c r="E172" s="23" t="str">
        <f>IFERROR(INDEX(vdata_regressors!$A$1:$L$2000,MATCH($A172,vdata_regressors!$A$2:$A$2000,0)+1,MATCH(E$2,vdata_regressors!$A$1:$R$1,0)),"")</f>
        <v/>
      </c>
      <c r="F172" s="23" t="str">
        <f>IFERROR(INDEX(vdata_regressors!$A$1:$L$2000,MATCH($A172,vdata_regressors!$A$2:$A$2000,0)+1,MATCH(F$2,vdata_regressors!$A$1:$R$1,0)),"")</f>
        <v/>
      </c>
      <c r="G172" s="23" t="str">
        <f>IFERROR(INDEX(vdata_regressors!$A$1:$L$2000,MATCH($A172,vdata_regressors!$A$2:$A$2000,0)+1,MATCH(G$2,vdata_regressors!$A$1:$R$1,0)),"")</f>
        <v/>
      </c>
      <c r="H172" s="23" t="str">
        <f>IFERROR(INDEX(vdata_regressors!$A$1:$L$2000,MATCH($A172,vdata_regressors!$A$2:$A$2000,0)+1,MATCH(H$2,vdata_regressors!$A$1:$R$1,0)),"")</f>
        <v/>
      </c>
      <c r="I172" s="23" t="str">
        <f>IFERROR(INDEX(vdata_regressors!$A$1:$L$2000,MATCH($A172,vdata_regressors!$A$2:$A$2000,0)+1,MATCH(I$2,vdata_regressors!$A$1:$R$1,0)),"")</f>
        <v/>
      </c>
      <c r="J172" s="23" t="str">
        <f>IFERROR(INDEX(vdata_regressors!$A$1:$L$2000,MATCH($A172,vdata_regressors!$A$2:$A$2000,0)+1,MATCH(J$2,vdata_regressors!$A$1:$R$1,0)),"")</f>
        <v/>
      </c>
      <c r="K172" s="23" t="str">
        <f>IFERROR(INDEX(vdata_regressors!$A$1:$L$2000,MATCH($A172,vdata_regressors!$A$2:$A$2000,0)+1,MATCH(K$2,vdata_regressors!$A$1:$R$1,0)),"")</f>
        <v/>
      </c>
      <c r="L172" s="23" t="str">
        <f>IFERROR(INDEX(vdata_regressors!$A$1:$L$2000,MATCH($A172,vdata_regressors!$A$2:$A$2000,0)+1,MATCH(L$2,vdata_regressors!$A$1:$R$1,0)),"")</f>
        <v/>
      </c>
      <c r="M172" s="23" t="str">
        <f>IFERROR(VLOOKUP(A172,vdata_hours!$A$2:$B$1000,2,FALSE),"")</f>
        <v/>
      </c>
    </row>
    <row r="173" spans="1:13" x14ac:dyDescent="0.25">
      <c r="A173" s="23" t="str">
        <f>IF(vdata_hours!A172=0,"",vdata_hours!A172)</f>
        <v/>
      </c>
      <c r="B173" s="23" t="str">
        <f>IFERROR(INDEX(vdata_regressors!$A$1:$L$2000,MATCH($A173,vdata_regressors!$A$2:$A$2000,0)+1,MATCH(B$2,vdata_regressors!$A$1:$R$1,0)),"")</f>
        <v/>
      </c>
      <c r="C173" s="23" t="str">
        <f>IFERROR(INDEX(vdata_regressors!$A$1:$L$2000,MATCH($A173,vdata_regressors!$A$2:$A$2000,0)+1,MATCH(C$2,vdata_regressors!$A$1:$R$1,0)),"")</f>
        <v/>
      </c>
      <c r="D173" s="23" t="str">
        <f>IFERROR(INDEX(vdata_regressors!$A$1:$L$2000,MATCH($A173,vdata_regressors!$A$2:$A$2000,0)+1,MATCH(D$2,vdata_regressors!$A$1:$R$1,0)),"")</f>
        <v/>
      </c>
      <c r="E173" s="23" t="str">
        <f>IFERROR(INDEX(vdata_regressors!$A$1:$L$2000,MATCH($A173,vdata_regressors!$A$2:$A$2000,0)+1,MATCH(E$2,vdata_regressors!$A$1:$R$1,0)),"")</f>
        <v/>
      </c>
      <c r="F173" s="23" t="str">
        <f>IFERROR(INDEX(vdata_regressors!$A$1:$L$2000,MATCH($A173,vdata_regressors!$A$2:$A$2000,0)+1,MATCH(F$2,vdata_regressors!$A$1:$R$1,0)),"")</f>
        <v/>
      </c>
      <c r="G173" s="23" t="str">
        <f>IFERROR(INDEX(vdata_regressors!$A$1:$L$2000,MATCH($A173,vdata_regressors!$A$2:$A$2000,0)+1,MATCH(G$2,vdata_regressors!$A$1:$R$1,0)),"")</f>
        <v/>
      </c>
      <c r="H173" s="23" t="str">
        <f>IFERROR(INDEX(vdata_regressors!$A$1:$L$2000,MATCH($A173,vdata_regressors!$A$2:$A$2000,0)+1,MATCH(H$2,vdata_regressors!$A$1:$R$1,0)),"")</f>
        <v/>
      </c>
      <c r="I173" s="23" t="str">
        <f>IFERROR(INDEX(vdata_regressors!$A$1:$L$2000,MATCH($A173,vdata_regressors!$A$2:$A$2000,0)+1,MATCH(I$2,vdata_regressors!$A$1:$R$1,0)),"")</f>
        <v/>
      </c>
      <c r="J173" s="23" t="str">
        <f>IFERROR(INDEX(vdata_regressors!$A$1:$L$2000,MATCH($A173,vdata_regressors!$A$2:$A$2000,0)+1,MATCH(J$2,vdata_regressors!$A$1:$R$1,0)),"")</f>
        <v/>
      </c>
      <c r="K173" s="23" t="str">
        <f>IFERROR(INDEX(vdata_regressors!$A$1:$L$2000,MATCH($A173,vdata_regressors!$A$2:$A$2000,0)+1,MATCH(K$2,vdata_regressors!$A$1:$R$1,0)),"")</f>
        <v/>
      </c>
      <c r="L173" s="23" t="str">
        <f>IFERROR(INDEX(vdata_regressors!$A$1:$L$2000,MATCH($A173,vdata_regressors!$A$2:$A$2000,0)+1,MATCH(L$2,vdata_regressors!$A$1:$R$1,0)),"")</f>
        <v/>
      </c>
      <c r="M173" s="23" t="str">
        <f>IFERROR(VLOOKUP(A173,vdata_hours!$A$2:$B$1000,2,FALSE),"")</f>
        <v/>
      </c>
    </row>
    <row r="174" spans="1:13" x14ac:dyDescent="0.25">
      <c r="A174" s="23" t="str">
        <f>IF(vdata_hours!A173=0,"",vdata_hours!A173)</f>
        <v/>
      </c>
      <c r="B174" s="23" t="str">
        <f>IFERROR(INDEX(vdata_regressors!$A$1:$L$2000,MATCH($A174,vdata_regressors!$A$2:$A$2000,0)+1,MATCH(B$2,vdata_regressors!$A$1:$R$1,0)),"")</f>
        <v/>
      </c>
      <c r="C174" s="23" t="str">
        <f>IFERROR(INDEX(vdata_regressors!$A$1:$L$2000,MATCH($A174,vdata_regressors!$A$2:$A$2000,0)+1,MATCH(C$2,vdata_regressors!$A$1:$R$1,0)),"")</f>
        <v/>
      </c>
      <c r="D174" s="23" t="str">
        <f>IFERROR(INDEX(vdata_regressors!$A$1:$L$2000,MATCH($A174,vdata_regressors!$A$2:$A$2000,0)+1,MATCH(D$2,vdata_regressors!$A$1:$R$1,0)),"")</f>
        <v/>
      </c>
      <c r="E174" s="23" t="str">
        <f>IFERROR(INDEX(vdata_regressors!$A$1:$L$2000,MATCH($A174,vdata_regressors!$A$2:$A$2000,0)+1,MATCH(E$2,vdata_regressors!$A$1:$R$1,0)),"")</f>
        <v/>
      </c>
      <c r="F174" s="23" t="str">
        <f>IFERROR(INDEX(vdata_regressors!$A$1:$L$2000,MATCH($A174,vdata_regressors!$A$2:$A$2000,0)+1,MATCH(F$2,vdata_regressors!$A$1:$R$1,0)),"")</f>
        <v/>
      </c>
      <c r="G174" s="23" t="str">
        <f>IFERROR(INDEX(vdata_regressors!$A$1:$L$2000,MATCH($A174,vdata_regressors!$A$2:$A$2000,0)+1,MATCH(G$2,vdata_regressors!$A$1:$R$1,0)),"")</f>
        <v/>
      </c>
      <c r="H174" s="23" t="str">
        <f>IFERROR(INDEX(vdata_regressors!$A$1:$L$2000,MATCH($A174,vdata_regressors!$A$2:$A$2000,0)+1,MATCH(H$2,vdata_regressors!$A$1:$R$1,0)),"")</f>
        <v/>
      </c>
      <c r="I174" s="23" t="str">
        <f>IFERROR(INDEX(vdata_regressors!$A$1:$L$2000,MATCH($A174,vdata_regressors!$A$2:$A$2000,0)+1,MATCH(I$2,vdata_regressors!$A$1:$R$1,0)),"")</f>
        <v/>
      </c>
      <c r="J174" s="23" t="str">
        <f>IFERROR(INDEX(vdata_regressors!$A$1:$L$2000,MATCH($A174,vdata_regressors!$A$2:$A$2000,0)+1,MATCH(J$2,vdata_regressors!$A$1:$R$1,0)),"")</f>
        <v/>
      </c>
      <c r="K174" s="23" t="str">
        <f>IFERROR(INDEX(vdata_regressors!$A$1:$L$2000,MATCH($A174,vdata_regressors!$A$2:$A$2000,0)+1,MATCH(K$2,vdata_regressors!$A$1:$R$1,0)),"")</f>
        <v/>
      </c>
      <c r="L174" s="23" t="str">
        <f>IFERROR(INDEX(vdata_regressors!$A$1:$L$2000,MATCH($A174,vdata_regressors!$A$2:$A$2000,0)+1,MATCH(L$2,vdata_regressors!$A$1:$R$1,0)),"")</f>
        <v/>
      </c>
      <c r="M174" s="23" t="str">
        <f>IFERROR(VLOOKUP(A174,vdata_hours!$A$2:$B$1000,2,FALSE),"")</f>
        <v/>
      </c>
    </row>
    <row r="175" spans="1:13" x14ac:dyDescent="0.25">
      <c r="A175" s="23" t="str">
        <f>IF(vdata_hours!A174=0,"",vdata_hours!A174)</f>
        <v/>
      </c>
      <c r="B175" s="23" t="str">
        <f>IFERROR(INDEX(vdata_regressors!$A$1:$L$2000,MATCH($A175,vdata_regressors!$A$2:$A$2000,0)+1,MATCH(B$2,vdata_regressors!$A$1:$R$1,0)),"")</f>
        <v/>
      </c>
      <c r="C175" s="23" t="str">
        <f>IFERROR(INDEX(vdata_regressors!$A$1:$L$2000,MATCH($A175,vdata_regressors!$A$2:$A$2000,0)+1,MATCH(C$2,vdata_regressors!$A$1:$R$1,0)),"")</f>
        <v/>
      </c>
      <c r="D175" s="23" t="str">
        <f>IFERROR(INDEX(vdata_regressors!$A$1:$L$2000,MATCH($A175,vdata_regressors!$A$2:$A$2000,0)+1,MATCH(D$2,vdata_regressors!$A$1:$R$1,0)),"")</f>
        <v/>
      </c>
      <c r="E175" s="23" t="str">
        <f>IFERROR(INDEX(vdata_regressors!$A$1:$L$2000,MATCH($A175,vdata_regressors!$A$2:$A$2000,0)+1,MATCH(E$2,vdata_regressors!$A$1:$R$1,0)),"")</f>
        <v/>
      </c>
      <c r="F175" s="23" t="str">
        <f>IFERROR(INDEX(vdata_regressors!$A$1:$L$2000,MATCH($A175,vdata_regressors!$A$2:$A$2000,0)+1,MATCH(F$2,vdata_regressors!$A$1:$R$1,0)),"")</f>
        <v/>
      </c>
      <c r="G175" s="23" t="str">
        <f>IFERROR(INDEX(vdata_regressors!$A$1:$L$2000,MATCH($A175,vdata_regressors!$A$2:$A$2000,0)+1,MATCH(G$2,vdata_regressors!$A$1:$R$1,0)),"")</f>
        <v/>
      </c>
      <c r="H175" s="23" t="str">
        <f>IFERROR(INDEX(vdata_regressors!$A$1:$L$2000,MATCH($A175,vdata_regressors!$A$2:$A$2000,0)+1,MATCH(H$2,vdata_regressors!$A$1:$R$1,0)),"")</f>
        <v/>
      </c>
      <c r="I175" s="23" t="str">
        <f>IFERROR(INDEX(vdata_regressors!$A$1:$L$2000,MATCH($A175,vdata_regressors!$A$2:$A$2000,0)+1,MATCH(I$2,vdata_regressors!$A$1:$R$1,0)),"")</f>
        <v/>
      </c>
      <c r="J175" s="23" t="str">
        <f>IFERROR(INDEX(vdata_regressors!$A$1:$L$2000,MATCH($A175,vdata_regressors!$A$2:$A$2000,0)+1,MATCH(J$2,vdata_regressors!$A$1:$R$1,0)),"")</f>
        <v/>
      </c>
      <c r="K175" s="23" t="str">
        <f>IFERROR(INDEX(vdata_regressors!$A$1:$L$2000,MATCH($A175,vdata_regressors!$A$2:$A$2000,0)+1,MATCH(K$2,vdata_regressors!$A$1:$R$1,0)),"")</f>
        <v/>
      </c>
      <c r="L175" s="23" t="str">
        <f>IFERROR(INDEX(vdata_regressors!$A$1:$L$2000,MATCH($A175,vdata_regressors!$A$2:$A$2000,0)+1,MATCH(L$2,vdata_regressors!$A$1:$R$1,0)),"")</f>
        <v/>
      </c>
      <c r="M175" s="23" t="str">
        <f>IFERROR(VLOOKUP(A175,vdata_hours!$A$2:$B$1000,2,FALSE),"")</f>
        <v/>
      </c>
    </row>
    <row r="176" spans="1:13" x14ac:dyDescent="0.25">
      <c r="A176" s="23" t="str">
        <f>IF(vdata_hours!A175=0,"",vdata_hours!A175)</f>
        <v/>
      </c>
      <c r="B176" s="23" t="str">
        <f>IFERROR(INDEX(vdata_regressors!$A$1:$L$2000,MATCH($A176,vdata_regressors!$A$2:$A$2000,0)+1,MATCH(B$2,vdata_regressors!$A$1:$R$1,0)),"")</f>
        <v/>
      </c>
      <c r="C176" s="23" t="str">
        <f>IFERROR(INDEX(vdata_regressors!$A$1:$L$2000,MATCH($A176,vdata_regressors!$A$2:$A$2000,0)+1,MATCH(C$2,vdata_regressors!$A$1:$R$1,0)),"")</f>
        <v/>
      </c>
      <c r="D176" s="23" t="str">
        <f>IFERROR(INDEX(vdata_regressors!$A$1:$L$2000,MATCH($A176,vdata_regressors!$A$2:$A$2000,0)+1,MATCH(D$2,vdata_regressors!$A$1:$R$1,0)),"")</f>
        <v/>
      </c>
      <c r="E176" s="23" t="str">
        <f>IFERROR(INDEX(vdata_regressors!$A$1:$L$2000,MATCH($A176,vdata_regressors!$A$2:$A$2000,0)+1,MATCH(E$2,vdata_regressors!$A$1:$R$1,0)),"")</f>
        <v/>
      </c>
      <c r="F176" s="23" t="str">
        <f>IFERROR(INDEX(vdata_regressors!$A$1:$L$2000,MATCH($A176,vdata_regressors!$A$2:$A$2000,0)+1,MATCH(F$2,vdata_regressors!$A$1:$R$1,0)),"")</f>
        <v/>
      </c>
      <c r="G176" s="23" t="str">
        <f>IFERROR(INDEX(vdata_regressors!$A$1:$L$2000,MATCH($A176,vdata_regressors!$A$2:$A$2000,0)+1,MATCH(G$2,vdata_regressors!$A$1:$R$1,0)),"")</f>
        <v/>
      </c>
      <c r="H176" s="23" t="str">
        <f>IFERROR(INDEX(vdata_regressors!$A$1:$L$2000,MATCH($A176,vdata_regressors!$A$2:$A$2000,0)+1,MATCH(H$2,vdata_regressors!$A$1:$R$1,0)),"")</f>
        <v/>
      </c>
      <c r="I176" s="23" t="str">
        <f>IFERROR(INDEX(vdata_regressors!$A$1:$L$2000,MATCH($A176,vdata_regressors!$A$2:$A$2000,0)+1,MATCH(I$2,vdata_regressors!$A$1:$R$1,0)),"")</f>
        <v/>
      </c>
      <c r="J176" s="23" t="str">
        <f>IFERROR(INDEX(vdata_regressors!$A$1:$L$2000,MATCH($A176,vdata_regressors!$A$2:$A$2000,0)+1,MATCH(J$2,vdata_regressors!$A$1:$R$1,0)),"")</f>
        <v/>
      </c>
      <c r="K176" s="23" t="str">
        <f>IFERROR(INDEX(vdata_regressors!$A$1:$L$2000,MATCH($A176,vdata_regressors!$A$2:$A$2000,0)+1,MATCH(K$2,vdata_regressors!$A$1:$R$1,0)),"")</f>
        <v/>
      </c>
      <c r="L176" s="23" t="str">
        <f>IFERROR(INDEX(vdata_regressors!$A$1:$L$2000,MATCH($A176,vdata_regressors!$A$2:$A$2000,0)+1,MATCH(L$2,vdata_regressors!$A$1:$R$1,0)),"")</f>
        <v/>
      </c>
      <c r="M176" s="23" t="str">
        <f>IFERROR(VLOOKUP(A176,vdata_hours!$A$2:$B$1000,2,FALSE),"")</f>
        <v/>
      </c>
    </row>
    <row r="177" spans="1:13" x14ac:dyDescent="0.25">
      <c r="A177" s="23" t="str">
        <f>IF(vdata_hours!A176=0,"",vdata_hours!A176)</f>
        <v/>
      </c>
      <c r="B177" s="23" t="str">
        <f>IFERROR(INDEX(vdata_regressors!$A$1:$L$2000,MATCH($A177,vdata_regressors!$A$2:$A$2000,0)+1,MATCH(B$2,vdata_regressors!$A$1:$R$1,0)),"")</f>
        <v/>
      </c>
      <c r="C177" s="23" t="str">
        <f>IFERROR(INDEX(vdata_regressors!$A$1:$L$2000,MATCH($A177,vdata_regressors!$A$2:$A$2000,0)+1,MATCH(C$2,vdata_regressors!$A$1:$R$1,0)),"")</f>
        <v/>
      </c>
      <c r="D177" s="23" t="str">
        <f>IFERROR(INDEX(vdata_regressors!$A$1:$L$2000,MATCH($A177,vdata_regressors!$A$2:$A$2000,0)+1,MATCH(D$2,vdata_regressors!$A$1:$R$1,0)),"")</f>
        <v/>
      </c>
      <c r="E177" s="23" t="str">
        <f>IFERROR(INDEX(vdata_regressors!$A$1:$L$2000,MATCH($A177,vdata_regressors!$A$2:$A$2000,0)+1,MATCH(E$2,vdata_regressors!$A$1:$R$1,0)),"")</f>
        <v/>
      </c>
      <c r="F177" s="23" t="str">
        <f>IFERROR(INDEX(vdata_regressors!$A$1:$L$2000,MATCH($A177,vdata_regressors!$A$2:$A$2000,0)+1,MATCH(F$2,vdata_regressors!$A$1:$R$1,0)),"")</f>
        <v/>
      </c>
      <c r="G177" s="23" t="str">
        <f>IFERROR(INDEX(vdata_regressors!$A$1:$L$2000,MATCH($A177,vdata_regressors!$A$2:$A$2000,0)+1,MATCH(G$2,vdata_regressors!$A$1:$R$1,0)),"")</f>
        <v/>
      </c>
      <c r="H177" s="23" t="str">
        <f>IFERROR(INDEX(vdata_regressors!$A$1:$L$2000,MATCH($A177,vdata_regressors!$A$2:$A$2000,0)+1,MATCH(H$2,vdata_regressors!$A$1:$R$1,0)),"")</f>
        <v/>
      </c>
      <c r="I177" s="23" t="str">
        <f>IFERROR(INDEX(vdata_regressors!$A$1:$L$2000,MATCH($A177,vdata_regressors!$A$2:$A$2000,0)+1,MATCH(I$2,vdata_regressors!$A$1:$R$1,0)),"")</f>
        <v/>
      </c>
      <c r="J177" s="23" t="str">
        <f>IFERROR(INDEX(vdata_regressors!$A$1:$L$2000,MATCH($A177,vdata_regressors!$A$2:$A$2000,0)+1,MATCH(J$2,vdata_regressors!$A$1:$R$1,0)),"")</f>
        <v/>
      </c>
      <c r="K177" s="23" t="str">
        <f>IFERROR(INDEX(vdata_regressors!$A$1:$L$2000,MATCH($A177,vdata_regressors!$A$2:$A$2000,0)+1,MATCH(K$2,vdata_regressors!$A$1:$R$1,0)),"")</f>
        <v/>
      </c>
      <c r="L177" s="23" t="str">
        <f>IFERROR(INDEX(vdata_regressors!$A$1:$L$2000,MATCH($A177,vdata_regressors!$A$2:$A$2000,0)+1,MATCH(L$2,vdata_regressors!$A$1:$R$1,0)),"")</f>
        <v/>
      </c>
      <c r="M177" s="23" t="str">
        <f>IFERROR(VLOOKUP(A177,vdata_hours!$A$2:$B$1000,2,FALSE),"")</f>
        <v/>
      </c>
    </row>
    <row r="178" spans="1:13" x14ac:dyDescent="0.25">
      <c r="A178" s="23" t="str">
        <f>IF(vdata_hours!A177=0,"",vdata_hours!A177)</f>
        <v/>
      </c>
      <c r="B178" s="23" t="str">
        <f>IFERROR(INDEX(vdata_regressors!$A$1:$L$2000,MATCH($A178,vdata_regressors!$A$2:$A$2000,0)+1,MATCH(B$2,vdata_regressors!$A$1:$R$1,0)),"")</f>
        <v/>
      </c>
      <c r="C178" s="23" t="str">
        <f>IFERROR(INDEX(vdata_regressors!$A$1:$L$2000,MATCH($A178,vdata_regressors!$A$2:$A$2000,0)+1,MATCH(C$2,vdata_regressors!$A$1:$R$1,0)),"")</f>
        <v/>
      </c>
      <c r="D178" s="23" t="str">
        <f>IFERROR(INDEX(vdata_regressors!$A$1:$L$2000,MATCH($A178,vdata_regressors!$A$2:$A$2000,0)+1,MATCH(D$2,vdata_regressors!$A$1:$R$1,0)),"")</f>
        <v/>
      </c>
      <c r="E178" s="23" t="str">
        <f>IFERROR(INDEX(vdata_regressors!$A$1:$L$2000,MATCH($A178,vdata_regressors!$A$2:$A$2000,0)+1,MATCH(E$2,vdata_regressors!$A$1:$R$1,0)),"")</f>
        <v/>
      </c>
      <c r="F178" s="23" t="str">
        <f>IFERROR(INDEX(vdata_regressors!$A$1:$L$2000,MATCH($A178,vdata_regressors!$A$2:$A$2000,0)+1,MATCH(F$2,vdata_regressors!$A$1:$R$1,0)),"")</f>
        <v/>
      </c>
      <c r="G178" s="23" t="str">
        <f>IFERROR(INDEX(vdata_regressors!$A$1:$L$2000,MATCH($A178,vdata_regressors!$A$2:$A$2000,0)+1,MATCH(G$2,vdata_regressors!$A$1:$R$1,0)),"")</f>
        <v/>
      </c>
      <c r="H178" s="23" t="str">
        <f>IFERROR(INDEX(vdata_regressors!$A$1:$L$2000,MATCH($A178,vdata_regressors!$A$2:$A$2000,0)+1,MATCH(H$2,vdata_regressors!$A$1:$R$1,0)),"")</f>
        <v/>
      </c>
      <c r="I178" s="23" t="str">
        <f>IFERROR(INDEX(vdata_regressors!$A$1:$L$2000,MATCH($A178,vdata_regressors!$A$2:$A$2000,0)+1,MATCH(I$2,vdata_regressors!$A$1:$R$1,0)),"")</f>
        <v/>
      </c>
      <c r="J178" s="23" t="str">
        <f>IFERROR(INDEX(vdata_regressors!$A$1:$L$2000,MATCH($A178,vdata_regressors!$A$2:$A$2000,0)+1,MATCH(J$2,vdata_regressors!$A$1:$R$1,0)),"")</f>
        <v/>
      </c>
      <c r="K178" s="23" t="str">
        <f>IFERROR(INDEX(vdata_regressors!$A$1:$L$2000,MATCH($A178,vdata_regressors!$A$2:$A$2000,0)+1,MATCH(K$2,vdata_regressors!$A$1:$R$1,0)),"")</f>
        <v/>
      </c>
      <c r="L178" s="23" t="str">
        <f>IFERROR(INDEX(vdata_regressors!$A$1:$L$2000,MATCH($A178,vdata_regressors!$A$2:$A$2000,0)+1,MATCH(L$2,vdata_regressors!$A$1:$R$1,0)),"")</f>
        <v/>
      </c>
      <c r="M178" s="23" t="str">
        <f>IFERROR(VLOOKUP(A178,vdata_hours!$A$2:$B$1000,2,FALSE),"")</f>
        <v/>
      </c>
    </row>
    <row r="179" spans="1:13" x14ac:dyDescent="0.25">
      <c r="A179" s="23" t="str">
        <f>IF(vdata_hours!A178=0,"",vdata_hours!A178)</f>
        <v/>
      </c>
      <c r="B179" s="23" t="str">
        <f>IFERROR(INDEX(vdata_regressors!$A$1:$L$2000,MATCH($A179,vdata_regressors!$A$2:$A$2000,0)+1,MATCH(B$2,vdata_regressors!$A$1:$R$1,0)),"")</f>
        <v/>
      </c>
      <c r="C179" s="23" t="str">
        <f>IFERROR(INDEX(vdata_regressors!$A$1:$L$2000,MATCH($A179,vdata_regressors!$A$2:$A$2000,0)+1,MATCH(C$2,vdata_regressors!$A$1:$R$1,0)),"")</f>
        <v/>
      </c>
      <c r="D179" s="23" t="str">
        <f>IFERROR(INDEX(vdata_regressors!$A$1:$L$2000,MATCH($A179,vdata_regressors!$A$2:$A$2000,0)+1,MATCH(D$2,vdata_regressors!$A$1:$R$1,0)),"")</f>
        <v/>
      </c>
      <c r="E179" s="23" t="str">
        <f>IFERROR(INDEX(vdata_regressors!$A$1:$L$2000,MATCH($A179,vdata_regressors!$A$2:$A$2000,0)+1,MATCH(E$2,vdata_regressors!$A$1:$R$1,0)),"")</f>
        <v/>
      </c>
      <c r="F179" s="23" t="str">
        <f>IFERROR(INDEX(vdata_regressors!$A$1:$L$2000,MATCH($A179,vdata_regressors!$A$2:$A$2000,0)+1,MATCH(F$2,vdata_regressors!$A$1:$R$1,0)),"")</f>
        <v/>
      </c>
      <c r="G179" s="23" t="str">
        <f>IFERROR(INDEX(vdata_regressors!$A$1:$L$2000,MATCH($A179,vdata_regressors!$A$2:$A$2000,0)+1,MATCH(G$2,vdata_regressors!$A$1:$R$1,0)),"")</f>
        <v/>
      </c>
      <c r="H179" s="23" t="str">
        <f>IFERROR(INDEX(vdata_regressors!$A$1:$L$2000,MATCH($A179,vdata_regressors!$A$2:$A$2000,0)+1,MATCH(H$2,vdata_regressors!$A$1:$R$1,0)),"")</f>
        <v/>
      </c>
      <c r="I179" s="23" t="str">
        <f>IFERROR(INDEX(vdata_regressors!$A$1:$L$2000,MATCH($A179,vdata_regressors!$A$2:$A$2000,0)+1,MATCH(I$2,vdata_regressors!$A$1:$R$1,0)),"")</f>
        <v/>
      </c>
      <c r="J179" s="23" t="str">
        <f>IFERROR(INDEX(vdata_regressors!$A$1:$L$2000,MATCH($A179,vdata_regressors!$A$2:$A$2000,0)+1,MATCH(J$2,vdata_regressors!$A$1:$R$1,0)),"")</f>
        <v/>
      </c>
      <c r="K179" s="23" t="str">
        <f>IFERROR(INDEX(vdata_regressors!$A$1:$L$2000,MATCH($A179,vdata_regressors!$A$2:$A$2000,0)+1,MATCH(K$2,vdata_regressors!$A$1:$R$1,0)),"")</f>
        <v/>
      </c>
      <c r="L179" s="23" t="str">
        <f>IFERROR(INDEX(vdata_regressors!$A$1:$L$2000,MATCH($A179,vdata_regressors!$A$2:$A$2000,0)+1,MATCH(L$2,vdata_regressors!$A$1:$R$1,0)),"")</f>
        <v/>
      </c>
      <c r="M179" s="23" t="str">
        <f>IFERROR(VLOOKUP(A179,vdata_hours!$A$2:$B$1000,2,FALSE),"")</f>
        <v/>
      </c>
    </row>
    <row r="180" spans="1:13" x14ac:dyDescent="0.25">
      <c r="A180" s="23" t="str">
        <f>IF(vdata_hours!A179=0,"",vdata_hours!A179)</f>
        <v/>
      </c>
      <c r="B180" s="23" t="str">
        <f>IFERROR(INDEX(vdata_regressors!$A$1:$L$2000,MATCH($A180,vdata_regressors!$A$2:$A$2000,0)+1,MATCH(B$2,vdata_regressors!$A$1:$R$1,0)),"")</f>
        <v/>
      </c>
      <c r="C180" s="23" t="str">
        <f>IFERROR(INDEX(vdata_regressors!$A$1:$L$2000,MATCH($A180,vdata_regressors!$A$2:$A$2000,0)+1,MATCH(C$2,vdata_regressors!$A$1:$R$1,0)),"")</f>
        <v/>
      </c>
      <c r="D180" s="23" t="str">
        <f>IFERROR(INDEX(vdata_regressors!$A$1:$L$2000,MATCH($A180,vdata_regressors!$A$2:$A$2000,0)+1,MATCH(D$2,vdata_regressors!$A$1:$R$1,0)),"")</f>
        <v/>
      </c>
      <c r="E180" s="23" t="str">
        <f>IFERROR(INDEX(vdata_regressors!$A$1:$L$2000,MATCH($A180,vdata_regressors!$A$2:$A$2000,0)+1,MATCH(E$2,vdata_regressors!$A$1:$R$1,0)),"")</f>
        <v/>
      </c>
      <c r="F180" s="23" t="str">
        <f>IFERROR(INDEX(vdata_regressors!$A$1:$L$2000,MATCH($A180,vdata_regressors!$A$2:$A$2000,0)+1,MATCH(F$2,vdata_regressors!$A$1:$R$1,0)),"")</f>
        <v/>
      </c>
      <c r="G180" s="23" t="str">
        <f>IFERROR(INDEX(vdata_regressors!$A$1:$L$2000,MATCH($A180,vdata_regressors!$A$2:$A$2000,0)+1,MATCH(G$2,vdata_regressors!$A$1:$R$1,0)),"")</f>
        <v/>
      </c>
      <c r="H180" s="23" t="str">
        <f>IFERROR(INDEX(vdata_regressors!$A$1:$L$2000,MATCH($A180,vdata_regressors!$A$2:$A$2000,0)+1,MATCH(H$2,vdata_regressors!$A$1:$R$1,0)),"")</f>
        <v/>
      </c>
      <c r="I180" s="23" t="str">
        <f>IFERROR(INDEX(vdata_regressors!$A$1:$L$2000,MATCH($A180,vdata_regressors!$A$2:$A$2000,0)+1,MATCH(I$2,vdata_regressors!$A$1:$R$1,0)),"")</f>
        <v/>
      </c>
      <c r="J180" s="23" t="str">
        <f>IFERROR(INDEX(vdata_regressors!$A$1:$L$2000,MATCH($A180,vdata_regressors!$A$2:$A$2000,0)+1,MATCH(J$2,vdata_regressors!$A$1:$R$1,0)),"")</f>
        <v/>
      </c>
      <c r="K180" s="23" t="str">
        <f>IFERROR(INDEX(vdata_regressors!$A$1:$L$2000,MATCH($A180,vdata_regressors!$A$2:$A$2000,0)+1,MATCH(K$2,vdata_regressors!$A$1:$R$1,0)),"")</f>
        <v/>
      </c>
      <c r="L180" s="23" t="str">
        <f>IFERROR(INDEX(vdata_regressors!$A$1:$L$2000,MATCH($A180,vdata_regressors!$A$2:$A$2000,0)+1,MATCH(L$2,vdata_regressors!$A$1:$R$1,0)),"")</f>
        <v/>
      </c>
      <c r="M180" s="23" t="str">
        <f>IFERROR(VLOOKUP(A180,vdata_hours!$A$2:$B$1000,2,FALSE),"")</f>
        <v/>
      </c>
    </row>
    <row r="181" spans="1:13" x14ac:dyDescent="0.25">
      <c r="A181" s="23" t="str">
        <f>IF(vdata_hours!A180=0,"",vdata_hours!A180)</f>
        <v/>
      </c>
      <c r="B181" s="23" t="str">
        <f>IFERROR(INDEX(vdata_regressors!$A$1:$L$2000,MATCH($A181,vdata_regressors!$A$2:$A$2000,0)+1,MATCH(B$2,vdata_regressors!$A$1:$R$1,0)),"")</f>
        <v/>
      </c>
      <c r="C181" s="23" t="str">
        <f>IFERROR(INDEX(vdata_regressors!$A$1:$L$2000,MATCH($A181,vdata_regressors!$A$2:$A$2000,0)+1,MATCH(C$2,vdata_regressors!$A$1:$R$1,0)),"")</f>
        <v/>
      </c>
      <c r="D181" s="23" t="str">
        <f>IFERROR(INDEX(vdata_regressors!$A$1:$L$2000,MATCH($A181,vdata_regressors!$A$2:$A$2000,0)+1,MATCH(D$2,vdata_regressors!$A$1:$R$1,0)),"")</f>
        <v/>
      </c>
      <c r="E181" s="23" t="str">
        <f>IFERROR(INDEX(vdata_regressors!$A$1:$L$2000,MATCH($A181,vdata_regressors!$A$2:$A$2000,0)+1,MATCH(E$2,vdata_regressors!$A$1:$R$1,0)),"")</f>
        <v/>
      </c>
      <c r="F181" s="23" t="str">
        <f>IFERROR(INDEX(vdata_regressors!$A$1:$L$2000,MATCH($A181,vdata_regressors!$A$2:$A$2000,0)+1,MATCH(F$2,vdata_regressors!$A$1:$R$1,0)),"")</f>
        <v/>
      </c>
      <c r="G181" s="23" t="str">
        <f>IFERROR(INDEX(vdata_regressors!$A$1:$L$2000,MATCH($A181,vdata_regressors!$A$2:$A$2000,0)+1,MATCH(G$2,vdata_regressors!$A$1:$R$1,0)),"")</f>
        <v/>
      </c>
      <c r="H181" s="23" t="str">
        <f>IFERROR(INDEX(vdata_regressors!$A$1:$L$2000,MATCH($A181,vdata_regressors!$A$2:$A$2000,0)+1,MATCH(H$2,vdata_regressors!$A$1:$R$1,0)),"")</f>
        <v/>
      </c>
      <c r="I181" s="23" t="str">
        <f>IFERROR(INDEX(vdata_regressors!$A$1:$L$2000,MATCH($A181,vdata_regressors!$A$2:$A$2000,0)+1,MATCH(I$2,vdata_regressors!$A$1:$R$1,0)),"")</f>
        <v/>
      </c>
      <c r="J181" s="23" t="str">
        <f>IFERROR(INDEX(vdata_regressors!$A$1:$L$2000,MATCH($A181,vdata_regressors!$A$2:$A$2000,0)+1,MATCH(J$2,vdata_regressors!$A$1:$R$1,0)),"")</f>
        <v/>
      </c>
      <c r="K181" s="23" t="str">
        <f>IFERROR(INDEX(vdata_regressors!$A$1:$L$2000,MATCH($A181,vdata_regressors!$A$2:$A$2000,0)+1,MATCH(K$2,vdata_regressors!$A$1:$R$1,0)),"")</f>
        <v/>
      </c>
      <c r="L181" s="23" t="str">
        <f>IFERROR(INDEX(vdata_regressors!$A$1:$L$2000,MATCH($A181,vdata_regressors!$A$2:$A$2000,0)+1,MATCH(L$2,vdata_regressors!$A$1:$R$1,0)),"")</f>
        <v/>
      </c>
      <c r="M181" s="23" t="str">
        <f>IFERROR(VLOOKUP(A181,vdata_hours!$A$2:$B$1000,2,FALSE),"")</f>
        <v/>
      </c>
    </row>
    <row r="182" spans="1:13" x14ac:dyDescent="0.25">
      <c r="A182" s="23" t="str">
        <f>IF(vdata_hours!A181=0,"",vdata_hours!A181)</f>
        <v/>
      </c>
      <c r="B182" s="23" t="str">
        <f>IFERROR(INDEX(vdata_regressors!$A$1:$L$2000,MATCH($A182,vdata_regressors!$A$2:$A$2000,0)+1,MATCH(B$2,vdata_regressors!$A$1:$R$1,0)),"")</f>
        <v/>
      </c>
      <c r="C182" s="23" t="str">
        <f>IFERROR(INDEX(vdata_regressors!$A$1:$L$2000,MATCH($A182,vdata_regressors!$A$2:$A$2000,0)+1,MATCH(C$2,vdata_regressors!$A$1:$R$1,0)),"")</f>
        <v/>
      </c>
      <c r="D182" s="23" t="str">
        <f>IFERROR(INDEX(vdata_regressors!$A$1:$L$2000,MATCH($A182,vdata_regressors!$A$2:$A$2000,0)+1,MATCH(D$2,vdata_regressors!$A$1:$R$1,0)),"")</f>
        <v/>
      </c>
      <c r="E182" s="23" t="str">
        <f>IFERROR(INDEX(vdata_regressors!$A$1:$L$2000,MATCH($A182,vdata_regressors!$A$2:$A$2000,0)+1,MATCH(E$2,vdata_regressors!$A$1:$R$1,0)),"")</f>
        <v/>
      </c>
      <c r="F182" s="23" t="str">
        <f>IFERROR(INDEX(vdata_regressors!$A$1:$L$2000,MATCH($A182,vdata_regressors!$A$2:$A$2000,0)+1,MATCH(F$2,vdata_regressors!$A$1:$R$1,0)),"")</f>
        <v/>
      </c>
      <c r="G182" s="23" t="str">
        <f>IFERROR(INDEX(vdata_regressors!$A$1:$L$2000,MATCH($A182,vdata_regressors!$A$2:$A$2000,0)+1,MATCH(G$2,vdata_regressors!$A$1:$R$1,0)),"")</f>
        <v/>
      </c>
      <c r="H182" s="23" t="str">
        <f>IFERROR(INDEX(vdata_regressors!$A$1:$L$2000,MATCH($A182,vdata_regressors!$A$2:$A$2000,0)+1,MATCH(H$2,vdata_regressors!$A$1:$R$1,0)),"")</f>
        <v/>
      </c>
      <c r="I182" s="23" t="str">
        <f>IFERROR(INDEX(vdata_regressors!$A$1:$L$2000,MATCH($A182,vdata_regressors!$A$2:$A$2000,0)+1,MATCH(I$2,vdata_regressors!$A$1:$R$1,0)),"")</f>
        <v/>
      </c>
      <c r="J182" s="23" t="str">
        <f>IFERROR(INDEX(vdata_regressors!$A$1:$L$2000,MATCH($A182,vdata_regressors!$A$2:$A$2000,0)+1,MATCH(J$2,vdata_regressors!$A$1:$R$1,0)),"")</f>
        <v/>
      </c>
      <c r="K182" s="23" t="str">
        <f>IFERROR(INDEX(vdata_regressors!$A$1:$L$2000,MATCH($A182,vdata_regressors!$A$2:$A$2000,0)+1,MATCH(K$2,vdata_regressors!$A$1:$R$1,0)),"")</f>
        <v/>
      </c>
      <c r="L182" s="23" t="str">
        <f>IFERROR(INDEX(vdata_regressors!$A$1:$L$2000,MATCH($A182,vdata_regressors!$A$2:$A$2000,0)+1,MATCH(L$2,vdata_regressors!$A$1:$R$1,0)),"")</f>
        <v/>
      </c>
      <c r="M182" s="23" t="str">
        <f>IFERROR(VLOOKUP(A182,vdata_hours!$A$2:$B$1000,2,FALSE),"")</f>
        <v/>
      </c>
    </row>
    <row r="183" spans="1:13" x14ac:dyDescent="0.25">
      <c r="A183" s="23" t="str">
        <f>IF(vdata_hours!A182=0,"",vdata_hours!A182)</f>
        <v/>
      </c>
      <c r="B183" s="23" t="str">
        <f>IFERROR(INDEX(vdata_regressors!$A$1:$L$2000,MATCH($A183,vdata_regressors!$A$2:$A$2000,0)+1,MATCH(B$2,vdata_regressors!$A$1:$R$1,0)),"")</f>
        <v/>
      </c>
      <c r="C183" s="23" t="str">
        <f>IFERROR(INDEX(vdata_regressors!$A$1:$L$2000,MATCH($A183,vdata_regressors!$A$2:$A$2000,0)+1,MATCH(C$2,vdata_regressors!$A$1:$R$1,0)),"")</f>
        <v/>
      </c>
      <c r="D183" s="23" t="str">
        <f>IFERROR(INDEX(vdata_regressors!$A$1:$L$2000,MATCH($A183,vdata_regressors!$A$2:$A$2000,0)+1,MATCH(D$2,vdata_regressors!$A$1:$R$1,0)),"")</f>
        <v/>
      </c>
      <c r="E183" s="23" t="str">
        <f>IFERROR(INDEX(vdata_regressors!$A$1:$L$2000,MATCH($A183,vdata_regressors!$A$2:$A$2000,0)+1,MATCH(E$2,vdata_regressors!$A$1:$R$1,0)),"")</f>
        <v/>
      </c>
      <c r="F183" s="23" t="str">
        <f>IFERROR(INDEX(vdata_regressors!$A$1:$L$2000,MATCH($A183,vdata_regressors!$A$2:$A$2000,0)+1,MATCH(F$2,vdata_regressors!$A$1:$R$1,0)),"")</f>
        <v/>
      </c>
      <c r="G183" s="23" t="str">
        <f>IFERROR(INDEX(vdata_regressors!$A$1:$L$2000,MATCH($A183,vdata_regressors!$A$2:$A$2000,0)+1,MATCH(G$2,vdata_regressors!$A$1:$R$1,0)),"")</f>
        <v/>
      </c>
      <c r="H183" s="23" t="str">
        <f>IFERROR(INDEX(vdata_regressors!$A$1:$L$2000,MATCH($A183,vdata_regressors!$A$2:$A$2000,0)+1,MATCH(H$2,vdata_regressors!$A$1:$R$1,0)),"")</f>
        <v/>
      </c>
      <c r="I183" s="23" t="str">
        <f>IFERROR(INDEX(vdata_regressors!$A$1:$L$2000,MATCH($A183,vdata_regressors!$A$2:$A$2000,0)+1,MATCH(I$2,vdata_regressors!$A$1:$R$1,0)),"")</f>
        <v/>
      </c>
      <c r="J183" s="23" t="str">
        <f>IFERROR(INDEX(vdata_regressors!$A$1:$L$2000,MATCH($A183,vdata_regressors!$A$2:$A$2000,0)+1,MATCH(J$2,vdata_regressors!$A$1:$R$1,0)),"")</f>
        <v/>
      </c>
      <c r="K183" s="23" t="str">
        <f>IFERROR(INDEX(vdata_regressors!$A$1:$L$2000,MATCH($A183,vdata_regressors!$A$2:$A$2000,0)+1,MATCH(K$2,vdata_regressors!$A$1:$R$1,0)),"")</f>
        <v/>
      </c>
      <c r="L183" s="23" t="str">
        <f>IFERROR(INDEX(vdata_regressors!$A$1:$L$2000,MATCH($A183,vdata_regressors!$A$2:$A$2000,0)+1,MATCH(L$2,vdata_regressors!$A$1:$R$1,0)),"")</f>
        <v/>
      </c>
      <c r="M183" s="23" t="str">
        <f>IFERROR(VLOOKUP(A183,vdata_hours!$A$2:$B$1000,2,FALSE),"")</f>
        <v/>
      </c>
    </row>
    <row r="184" spans="1:13" x14ac:dyDescent="0.25">
      <c r="A184" s="23" t="str">
        <f>IF(vdata_hours!A183=0,"",vdata_hours!A183)</f>
        <v/>
      </c>
      <c r="B184" s="23" t="str">
        <f>IFERROR(INDEX(vdata_regressors!$A$1:$L$2000,MATCH($A184,vdata_regressors!$A$2:$A$2000,0)+1,MATCH(B$2,vdata_regressors!$A$1:$R$1,0)),"")</f>
        <v/>
      </c>
      <c r="C184" s="23" t="str">
        <f>IFERROR(INDEX(vdata_regressors!$A$1:$L$2000,MATCH($A184,vdata_regressors!$A$2:$A$2000,0)+1,MATCH(C$2,vdata_regressors!$A$1:$R$1,0)),"")</f>
        <v/>
      </c>
      <c r="D184" s="23" t="str">
        <f>IFERROR(INDEX(vdata_regressors!$A$1:$L$2000,MATCH($A184,vdata_regressors!$A$2:$A$2000,0)+1,MATCH(D$2,vdata_regressors!$A$1:$R$1,0)),"")</f>
        <v/>
      </c>
      <c r="E184" s="23" t="str">
        <f>IFERROR(INDEX(vdata_regressors!$A$1:$L$2000,MATCH($A184,vdata_regressors!$A$2:$A$2000,0)+1,MATCH(E$2,vdata_regressors!$A$1:$R$1,0)),"")</f>
        <v/>
      </c>
      <c r="F184" s="23" t="str">
        <f>IFERROR(INDEX(vdata_regressors!$A$1:$L$2000,MATCH($A184,vdata_regressors!$A$2:$A$2000,0)+1,MATCH(F$2,vdata_regressors!$A$1:$R$1,0)),"")</f>
        <v/>
      </c>
      <c r="G184" s="23" t="str">
        <f>IFERROR(INDEX(vdata_regressors!$A$1:$L$2000,MATCH($A184,vdata_regressors!$A$2:$A$2000,0)+1,MATCH(G$2,vdata_regressors!$A$1:$R$1,0)),"")</f>
        <v/>
      </c>
      <c r="H184" s="23" t="str">
        <f>IFERROR(INDEX(vdata_regressors!$A$1:$L$2000,MATCH($A184,vdata_regressors!$A$2:$A$2000,0)+1,MATCH(H$2,vdata_regressors!$A$1:$R$1,0)),"")</f>
        <v/>
      </c>
      <c r="I184" s="23" t="str">
        <f>IFERROR(INDEX(vdata_regressors!$A$1:$L$2000,MATCH($A184,vdata_regressors!$A$2:$A$2000,0)+1,MATCH(I$2,vdata_regressors!$A$1:$R$1,0)),"")</f>
        <v/>
      </c>
      <c r="J184" s="23" t="str">
        <f>IFERROR(INDEX(vdata_regressors!$A$1:$L$2000,MATCH($A184,vdata_regressors!$A$2:$A$2000,0)+1,MATCH(J$2,vdata_regressors!$A$1:$R$1,0)),"")</f>
        <v/>
      </c>
      <c r="K184" s="23" t="str">
        <f>IFERROR(INDEX(vdata_regressors!$A$1:$L$2000,MATCH($A184,vdata_regressors!$A$2:$A$2000,0)+1,MATCH(K$2,vdata_regressors!$A$1:$R$1,0)),"")</f>
        <v/>
      </c>
      <c r="L184" s="23" t="str">
        <f>IFERROR(INDEX(vdata_regressors!$A$1:$L$2000,MATCH($A184,vdata_regressors!$A$2:$A$2000,0)+1,MATCH(L$2,vdata_regressors!$A$1:$R$1,0)),"")</f>
        <v/>
      </c>
      <c r="M184" s="23" t="str">
        <f>IFERROR(VLOOKUP(A184,vdata_hours!$A$2:$B$1000,2,FALSE),"")</f>
        <v/>
      </c>
    </row>
    <row r="185" spans="1:13" x14ac:dyDescent="0.25">
      <c r="A185" s="23" t="str">
        <f>IF(vdata_hours!A184=0,"",vdata_hours!A184)</f>
        <v/>
      </c>
      <c r="B185" s="23" t="str">
        <f>IFERROR(INDEX(vdata_regressors!$A$1:$L$2000,MATCH($A185,vdata_regressors!$A$2:$A$2000,0)+1,MATCH(B$2,vdata_regressors!$A$1:$R$1,0)),"")</f>
        <v/>
      </c>
      <c r="C185" s="23" t="str">
        <f>IFERROR(INDEX(vdata_regressors!$A$1:$L$2000,MATCH($A185,vdata_regressors!$A$2:$A$2000,0)+1,MATCH(C$2,vdata_regressors!$A$1:$R$1,0)),"")</f>
        <v/>
      </c>
      <c r="D185" s="23" t="str">
        <f>IFERROR(INDEX(vdata_regressors!$A$1:$L$2000,MATCH($A185,vdata_regressors!$A$2:$A$2000,0)+1,MATCH(D$2,vdata_regressors!$A$1:$R$1,0)),"")</f>
        <v/>
      </c>
      <c r="E185" s="23" t="str">
        <f>IFERROR(INDEX(vdata_regressors!$A$1:$L$2000,MATCH($A185,vdata_regressors!$A$2:$A$2000,0)+1,MATCH(E$2,vdata_regressors!$A$1:$R$1,0)),"")</f>
        <v/>
      </c>
      <c r="F185" s="23" t="str">
        <f>IFERROR(INDEX(vdata_regressors!$A$1:$L$2000,MATCH($A185,vdata_regressors!$A$2:$A$2000,0)+1,MATCH(F$2,vdata_regressors!$A$1:$R$1,0)),"")</f>
        <v/>
      </c>
      <c r="G185" s="23" t="str">
        <f>IFERROR(INDEX(vdata_regressors!$A$1:$L$2000,MATCH($A185,vdata_regressors!$A$2:$A$2000,0)+1,MATCH(G$2,vdata_regressors!$A$1:$R$1,0)),"")</f>
        <v/>
      </c>
      <c r="H185" s="23" t="str">
        <f>IFERROR(INDEX(vdata_regressors!$A$1:$L$2000,MATCH($A185,vdata_regressors!$A$2:$A$2000,0)+1,MATCH(H$2,vdata_regressors!$A$1:$R$1,0)),"")</f>
        <v/>
      </c>
      <c r="I185" s="23" t="str">
        <f>IFERROR(INDEX(vdata_regressors!$A$1:$L$2000,MATCH($A185,vdata_regressors!$A$2:$A$2000,0)+1,MATCH(I$2,vdata_regressors!$A$1:$R$1,0)),"")</f>
        <v/>
      </c>
      <c r="J185" s="23" t="str">
        <f>IFERROR(INDEX(vdata_regressors!$A$1:$L$2000,MATCH($A185,vdata_regressors!$A$2:$A$2000,0)+1,MATCH(J$2,vdata_regressors!$A$1:$R$1,0)),"")</f>
        <v/>
      </c>
      <c r="K185" s="23" t="str">
        <f>IFERROR(INDEX(vdata_regressors!$A$1:$L$2000,MATCH($A185,vdata_regressors!$A$2:$A$2000,0)+1,MATCH(K$2,vdata_regressors!$A$1:$R$1,0)),"")</f>
        <v/>
      </c>
      <c r="L185" s="23" t="str">
        <f>IFERROR(INDEX(vdata_regressors!$A$1:$L$2000,MATCH($A185,vdata_regressors!$A$2:$A$2000,0)+1,MATCH(L$2,vdata_regressors!$A$1:$R$1,0)),"")</f>
        <v/>
      </c>
      <c r="M185" s="23" t="str">
        <f>IFERROR(VLOOKUP(A185,vdata_hours!$A$2:$B$1000,2,FALSE),"")</f>
        <v/>
      </c>
    </row>
    <row r="186" spans="1:13" x14ac:dyDescent="0.25">
      <c r="A186" s="23" t="str">
        <f>IF(vdata_hours!A185=0,"",vdata_hours!A185)</f>
        <v/>
      </c>
      <c r="B186" s="23" t="str">
        <f>IFERROR(INDEX(vdata_regressors!$A$1:$L$2000,MATCH($A186,vdata_regressors!$A$2:$A$2000,0)+1,MATCH(B$2,vdata_regressors!$A$1:$R$1,0)),"")</f>
        <v/>
      </c>
      <c r="C186" s="23" t="str">
        <f>IFERROR(INDEX(vdata_regressors!$A$1:$L$2000,MATCH($A186,vdata_regressors!$A$2:$A$2000,0)+1,MATCH(C$2,vdata_regressors!$A$1:$R$1,0)),"")</f>
        <v/>
      </c>
      <c r="D186" s="23" t="str">
        <f>IFERROR(INDEX(vdata_regressors!$A$1:$L$2000,MATCH($A186,vdata_regressors!$A$2:$A$2000,0)+1,MATCH(D$2,vdata_regressors!$A$1:$R$1,0)),"")</f>
        <v/>
      </c>
      <c r="E186" s="23" t="str">
        <f>IFERROR(INDEX(vdata_regressors!$A$1:$L$2000,MATCH($A186,vdata_regressors!$A$2:$A$2000,0)+1,MATCH(E$2,vdata_regressors!$A$1:$R$1,0)),"")</f>
        <v/>
      </c>
      <c r="F186" s="23" t="str">
        <f>IFERROR(INDEX(vdata_regressors!$A$1:$L$2000,MATCH($A186,vdata_regressors!$A$2:$A$2000,0)+1,MATCH(F$2,vdata_regressors!$A$1:$R$1,0)),"")</f>
        <v/>
      </c>
      <c r="G186" s="23" t="str">
        <f>IFERROR(INDEX(vdata_regressors!$A$1:$L$2000,MATCH($A186,vdata_regressors!$A$2:$A$2000,0)+1,MATCH(G$2,vdata_regressors!$A$1:$R$1,0)),"")</f>
        <v/>
      </c>
      <c r="H186" s="23" t="str">
        <f>IFERROR(INDEX(vdata_regressors!$A$1:$L$2000,MATCH($A186,vdata_regressors!$A$2:$A$2000,0)+1,MATCH(H$2,vdata_regressors!$A$1:$R$1,0)),"")</f>
        <v/>
      </c>
      <c r="I186" s="23" t="str">
        <f>IFERROR(INDEX(vdata_regressors!$A$1:$L$2000,MATCH($A186,vdata_regressors!$A$2:$A$2000,0)+1,MATCH(I$2,vdata_regressors!$A$1:$R$1,0)),"")</f>
        <v/>
      </c>
      <c r="J186" s="23" t="str">
        <f>IFERROR(INDEX(vdata_regressors!$A$1:$L$2000,MATCH($A186,vdata_regressors!$A$2:$A$2000,0)+1,MATCH(J$2,vdata_regressors!$A$1:$R$1,0)),"")</f>
        <v/>
      </c>
      <c r="K186" s="23" t="str">
        <f>IFERROR(INDEX(vdata_regressors!$A$1:$L$2000,MATCH($A186,vdata_regressors!$A$2:$A$2000,0)+1,MATCH(K$2,vdata_regressors!$A$1:$R$1,0)),"")</f>
        <v/>
      </c>
      <c r="L186" s="23" t="str">
        <f>IFERROR(INDEX(vdata_regressors!$A$1:$L$2000,MATCH($A186,vdata_regressors!$A$2:$A$2000,0)+1,MATCH(L$2,vdata_regressors!$A$1:$R$1,0)),"")</f>
        <v/>
      </c>
      <c r="M186" s="23" t="str">
        <f>IFERROR(VLOOKUP(A186,vdata_hours!$A$2:$B$1000,2,FALSE),"")</f>
        <v/>
      </c>
    </row>
    <row r="187" spans="1:13" x14ac:dyDescent="0.25">
      <c r="A187" s="23" t="str">
        <f>IF(vdata_hours!A186=0,"",vdata_hours!A186)</f>
        <v/>
      </c>
      <c r="B187" s="23" t="str">
        <f>IFERROR(INDEX(vdata_regressors!$A$1:$L$2000,MATCH($A187,vdata_regressors!$A$2:$A$2000,0)+1,MATCH(B$2,vdata_regressors!$A$1:$R$1,0)),"")</f>
        <v/>
      </c>
      <c r="C187" s="23" t="str">
        <f>IFERROR(INDEX(vdata_regressors!$A$1:$L$2000,MATCH($A187,vdata_regressors!$A$2:$A$2000,0)+1,MATCH(C$2,vdata_regressors!$A$1:$R$1,0)),"")</f>
        <v/>
      </c>
      <c r="D187" s="23" t="str">
        <f>IFERROR(INDEX(vdata_regressors!$A$1:$L$2000,MATCH($A187,vdata_regressors!$A$2:$A$2000,0)+1,MATCH(D$2,vdata_regressors!$A$1:$R$1,0)),"")</f>
        <v/>
      </c>
      <c r="E187" s="23" t="str">
        <f>IFERROR(INDEX(vdata_regressors!$A$1:$L$2000,MATCH($A187,vdata_regressors!$A$2:$A$2000,0)+1,MATCH(E$2,vdata_regressors!$A$1:$R$1,0)),"")</f>
        <v/>
      </c>
      <c r="F187" s="23" t="str">
        <f>IFERROR(INDEX(vdata_regressors!$A$1:$L$2000,MATCH($A187,vdata_regressors!$A$2:$A$2000,0)+1,MATCH(F$2,vdata_regressors!$A$1:$R$1,0)),"")</f>
        <v/>
      </c>
      <c r="G187" s="23" t="str">
        <f>IFERROR(INDEX(vdata_regressors!$A$1:$L$2000,MATCH($A187,vdata_regressors!$A$2:$A$2000,0)+1,MATCH(G$2,vdata_regressors!$A$1:$R$1,0)),"")</f>
        <v/>
      </c>
      <c r="H187" s="23" t="str">
        <f>IFERROR(INDEX(vdata_regressors!$A$1:$L$2000,MATCH($A187,vdata_regressors!$A$2:$A$2000,0)+1,MATCH(H$2,vdata_regressors!$A$1:$R$1,0)),"")</f>
        <v/>
      </c>
      <c r="I187" s="23" t="str">
        <f>IFERROR(INDEX(vdata_regressors!$A$1:$L$2000,MATCH($A187,vdata_regressors!$A$2:$A$2000,0)+1,MATCH(I$2,vdata_regressors!$A$1:$R$1,0)),"")</f>
        <v/>
      </c>
      <c r="J187" s="23" t="str">
        <f>IFERROR(INDEX(vdata_regressors!$A$1:$L$2000,MATCH($A187,vdata_regressors!$A$2:$A$2000,0)+1,MATCH(J$2,vdata_regressors!$A$1:$R$1,0)),"")</f>
        <v/>
      </c>
      <c r="K187" s="23" t="str">
        <f>IFERROR(INDEX(vdata_regressors!$A$1:$L$2000,MATCH($A187,vdata_regressors!$A$2:$A$2000,0)+1,MATCH(K$2,vdata_regressors!$A$1:$R$1,0)),"")</f>
        <v/>
      </c>
      <c r="L187" s="23" t="str">
        <f>IFERROR(INDEX(vdata_regressors!$A$1:$L$2000,MATCH($A187,vdata_regressors!$A$2:$A$2000,0)+1,MATCH(L$2,vdata_regressors!$A$1:$R$1,0)),"")</f>
        <v/>
      </c>
      <c r="M187" s="23" t="str">
        <f>IFERROR(VLOOKUP(A187,vdata_hours!$A$2:$B$1000,2,FALSE),"")</f>
        <v/>
      </c>
    </row>
    <row r="188" spans="1:13" x14ac:dyDescent="0.25">
      <c r="A188" s="23" t="str">
        <f>IF(vdata_hours!A187=0,"",vdata_hours!A187)</f>
        <v/>
      </c>
      <c r="B188" s="23" t="str">
        <f>IFERROR(INDEX(vdata_regressors!$A$1:$L$2000,MATCH($A188,vdata_regressors!$A$2:$A$2000,0)+1,MATCH(B$2,vdata_regressors!$A$1:$R$1,0)),"")</f>
        <v/>
      </c>
      <c r="C188" s="23" t="str">
        <f>IFERROR(INDEX(vdata_regressors!$A$1:$L$2000,MATCH($A188,vdata_regressors!$A$2:$A$2000,0)+1,MATCH(C$2,vdata_regressors!$A$1:$R$1,0)),"")</f>
        <v/>
      </c>
      <c r="D188" s="23" t="str">
        <f>IFERROR(INDEX(vdata_regressors!$A$1:$L$2000,MATCH($A188,vdata_regressors!$A$2:$A$2000,0)+1,MATCH(D$2,vdata_regressors!$A$1:$R$1,0)),"")</f>
        <v/>
      </c>
      <c r="E188" s="23" t="str">
        <f>IFERROR(INDEX(vdata_regressors!$A$1:$L$2000,MATCH($A188,vdata_regressors!$A$2:$A$2000,0)+1,MATCH(E$2,vdata_regressors!$A$1:$R$1,0)),"")</f>
        <v/>
      </c>
      <c r="F188" s="23" t="str">
        <f>IFERROR(INDEX(vdata_regressors!$A$1:$L$2000,MATCH($A188,vdata_regressors!$A$2:$A$2000,0)+1,MATCH(F$2,vdata_regressors!$A$1:$R$1,0)),"")</f>
        <v/>
      </c>
      <c r="G188" s="23" t="str">
        <f>IFERROR(INDEX(vdata_regressors!$A$1:$L$2000,MATCH($A188,vdata_regressors!$A$2:$A$2000,0)+1,MATCH(G$2,vdata_regressors!$A$1:$R$1,0)),"")</f>
        <v/>
      </c>
      <c r="H188" s="23" t="str">
        <f>IFERROR(INDEX(vdata_regressors!$A$1:$L$2000,MATCH($A188,vdata_regressors!$A$2:$A$2000,0)+1,MATCH(H$2,vdata_regressors!$A$1:$R$1,0)),"")</f>
        <v/>
      </c>
      <c r="I188" s="23" t="str">
        <f>IFERROR(INDEX(vdata_regressors!$A$1:$L$2000,MATCH($A188,vdata_regressors!$A$2:$A$2000,0)+1,MATCH(I$2,vdata_regressors!$A$1:$R$1,0)),"")</f>
        <v/>
      </c>
      <c r="J188" s="23" t="str">
        <f>IFERROR(INDEX(vdata_regressors!$A$1:$L$2000,MATCH($A188,vdata_regressors!$A$2:$A$2000,0)+1,MATCH(J$2,vdata_regressors!$A$1:$R$1,0)),"")</f>
        <v/>
      </c>
      <c r="K188" s="23" t="str">
        <f>IFERROR(INDEX(vdata_regressors!$A$1:$L$2000,MATCH($A188,vdata_regressors!$A$2:$A$2000,0)+1,MATCH(K$2,vdata_regressors!$A$1:$R$1,0)),"")</f>
        <v/>
      </c>
      <c r="L188" s="23" t="str">
        <f>IFERROR(INDEX(vdata_regressors!$A$1:$L$2000,MATCH($A188,vdata_regressors!$A$2:$A$2000,0)+1,MATCH(L$2,vdata_regressors!$A$1:$R$1,0)),"")</f>
        <v/>
      </c>
      <c r="M188" s="23" t="str">
        <f>IFERROR(VLOOKUP(A188,vdata_hours!$A$2:$B$1000,2,FALSE),"")</f>
        <v/>
      </c>
    </row>
    <row r="189" spans="1:13" x14ac:dyDescent="0.25">
      <c r="A189" s="23" t="str">
        <f>IF(vdata_hours!A188=0,"",vdata_hours!A188)</f>
        <v/>
      </c>
      <c r="B189" s="23" t="str">
        <f>IFERROR(INDEX(vdata_regressors!$A$1:$L$2000,MATCH($A189,vdata_regressors!$A$2:$A$2000,0)+1,MATCH(B$2,vdata_regressors!$A$1:$R$1,0)),"")</f>
        <v/>
      </c>
      <c r="C189" s="23" t="str">
        <f>IFERROR(INDEX(vdata_regressors!$A$1:$L$2000,MATCH($A189,vdata_regressors!$A$2:$A$2000,0)+1,MATCH(C$2,vdata_regressors!$A$1:$R$1,0)),"")</f>
        <v/>
      </c>
      <c r="D189" s="23" t="str">
        <f>IFERROR(INDEX(vdata_regressors!$A$1:$L$2000,MATCH($A189,vdata_regressors!$A$2:$A$2000,0)+1,MATCH(D$2,vdata_regressors!$A$1:$R$1,0)),"")</f>
        <v/>
      </c>
      <c r="E189" s="23" t="str">
        <f>IFERROR(INDEX(vdata_regressors!$A$1:$L$2000,MATCH($A189,vdata_regressors!$A$2:$A$2000,0)+1,MATCH(E$2,vdata_regressors!$A$1:$R$1,0)),"")</f>
        <v/>
      </c>
      <c r="F189" s="23" t="str">
        <f>IFERROR(INDEX(vdata_regressors!$A$1:$L$2000,MATCH($A189,vdata_regressors!$A$2:$A$2000,0)+1,MATCH(F$2,vdata_regressors!$A$1:$R$1,0)),"")</f>
        <v/>
      </c>
      <c r="G189" s="23" t="str">
        <f>IFERROR(INDEX(vdata_regressors!$A$1:$L$2000,MATCH($A189,vdata_regressors!$A$2:$A$2000,0)+1,MATCH(G$2,vdata_regressors!$A$1:$R$1,0)),"")</f>
        <v/>
      </c>
      <c r="H189" s="23" t="str">
        <f>IFERROR(INDEX(vdata_regressors!$A$1:$L$2000,MATCH($A189,vdata_regressors!$A$2:$A$2000,0)+1,MATCH(H$2,vdata_regressors!$A$1:$R$1,0)),"")</f>
        <v/>
      </c>
      <c r="I189" s="23" t="str">
        <f>IFERROR(INDEX(vdata_regressors!$A$1:$L$2000,MATCH($A189,vdata_regressors!$A$2:$A$2000,0)+1,MATCH(I$2,vdata_regressors!$A$1:$R$1,0)),"")</f>
        <v/>
      </c>
      <c r="J189" s="23" t="str">
        <f>IFERROR(INDEX(vdata_regressors!$A$1:$L$2000,MATCH($A189,vdata_regressors!$A$2:$A$2000,0)+1,MATCH(J$2,vdata_regressors!$A$1:$R$1,0)),"")</f>
        <v/>
      </c>
      <c r="K189" s="23" t="str">
        <f>IFERROR(INDEX(vdata_regressors!$A$1:$L$2000,MATCH($A189,vdata_regressors!$A$2:$A$2000,0)+1,MATCH(K$2,vdata_regressors!$A$1:$R$1,0)),"")</f>
        <v/>
      </c>
      <c r="L189" s="23" t="str">
        <f>IFERROR(INDEX(vdata_regressors!$A$1:$L$2000,MATCH($A189,vdata_regressors!$A$2:$A$2000,0)+1,MATCH(L$2,vdata_regressors!$A$1:$R$1,0)),"")</f>
        <v/>
      </c>
      <c r="M189" s="23" t="str">
        <f>IFERROR(VLOOKUP(A189,vdata_hours!$A$2:$B$1000,2,FALSE),"")</f>
        <v/>
      </c>
    </row>
    <row r="190" spans="1:13" x14ac:dyDescent="0.25">
      <c r="A190" s="23" t="str">
        <f>IF(vdata_hours!A189=0,"",vdata_hours!A189)</f>
        <v/>
      </c>
      <c r="B190" s="23" t="str">
        <f>IFERROR(INDEX(vdata_regressors!$A$1:$L$2000,MATCH($A190,vdata_regressors!$A$2:$A$2000,0)+1,MATCH(B$2,vdata_regressors!$A$1:$R$1,0)),"")</f>
        <v/>
      </c>
      <c r="C190" s="23" t="str">
        <f>IFERROR(INDEX(vdata_regressors!$A$1:$L$2000,MATCH($A190,vdata_regressors!$A$2:$A$2000,0)+1,MATCH(C$2,vdata_regressors!$A$1:$R$1,0)),"")</f>
        <v/>
      </c>
      <c r="D190" s="23" t="str">
        <f>IFERROR(INDEX(vdata_regressors!$A$1:$L$2000,MATCH($A190,vdata_regressors!$A$2:$A$2000,0)+1,MATCH(D$2,vdata_regressors!$A$1:$R$1,0)),"")</f>
        <v/>
      </c>
      <c r="E190" s="23" t="str">
        <f>IFERROR(INDEX(vdata_regressors!$A$1:$L$2000,MATCH($A190,vdata_regressors!$A$2:$A$2000,0)+1,MATCH(E$2,vdata_regressors!$A$1:$R$1,0)),"")</f>
        <v/>
      </c>
      <c r="F190" s="23" t="str">
        <f>IFERROR(INDEX(vdata_regressors!$A$1:$L$2000,MATCH($A190,vdata_regressors!$A$2:$A$2000,0)+1,MATCH(F$2,vdata_regressors!$A$1:$R$1,0)),"")</f>
        <v/>
      </c>
      <c r="G190" s="23" t="str">
        <f>IFERROR(INDEX(vdata_regressors!$A$1:$L$2000,MATCH($A190,vdata_regressors!$A$2:$A$2000,0)+1,MATCH(G$2,vdata_regressors!$A$1:$R$1,0)),"")</f>
        <v/>
      </c>
      <c r="H190" s="23" t="str">
        <f>IFERROR(INDEX(vdata_regressors!$A$1:$L$2000,MATCH($A190,vdata_regressors!$A$2:$A$2000,0)+1,MATCH(H$2,vdata_regressors!$A$1:$R$1,0)),"")</f>
        <v/>
      </c>
      <c r="I190" s="23" t="str">
        <f>IFERROR(INDEX(vdata_regressors!$A$1:$L$2000,MATCH($A190,vdata_regressors!$A$2:$A$2000,0)+1,MATCH(I$2,vdata_regressors!$A$1:$R$1,0)),"")</f>
        <v/>
      </c>
      <c r="J190" s="23" t="str">
        <f>IFERROR(INDEX(vdata_regressors!$A$1:$L$2000,MATCH($A190,vdata_regressors!$A$2:$A$2000,0)+1,MATCH(J$2,vdata_regressors!$A$1:$R$1,0)),"")</f>
        <v/>
      </c>
      <c r="K190" s="23" t="str">
        <f>IFERROR(INDEX(vdata_regressors!$A$1:$L$2000,MATCH($A190,vdata_regressors!$A$2:$A$2000,0)+1,MATCH(K$2,vdata_regressors!$A$1:$R$1,0)),"")</f>
        <v/>
      </c>
      <c r="L190" s="23" t="str">
        <f>IFERROR(INDEX(vdata_regressors!$A$1:$L$2000,MATCH($A190,vdata_regressors!$A$2:$A$2000,0)+1,MATCH(L$2,vdata_regressors!$A$1:$R$1,0)),"")</f>
        <v/>
      </c>
      <c r="M190" s="23" t="str">
        <f>IFERROR(VLOOKUP(A190,vdata_hours!$A$2:$B$1000,2,FALSE),"")</f>
        <v/>
      </c>
    </row>
    <row r="191" spans="1:13" x14ac:dyDescent="0.25">
      <c r="A191" s="23" t="str">
        <f>IF(vdata_hours!A190=0,"",vdata_hours!A190)</f>
        <v/>
      </c>
      <c r="B191" s="23" t="str">
        <f>IFERROR(INDEX(vdata_regressors!$A$1:$L$2000,MATCH($A191,vdata_regressors!$A$2:$A$2000,0)+1,MATCH(B$2,vdata_regressors!$A$1:$R$1,0)),"")</f>
        <v/>
      </c>
      <c r="C191" s="23" t="str">
        <f>IFERROR(INDEX(vdata_regressors!$A$1:$L$2000,MATCH($A191,vdata_regressors!$A$2:$A$2000,0)+1,MATCH(C$2,vdata_regressors!$A$1:$R$1,0)),"")</f>
        <v/>
      </c>
      <c r="D191" s="23" t="str">
        <f>IFERROR(INDEX(vdata_regressors!$A$1:$L$2000,MATCH($A191,vdata_regressors!$A$2:$A$2000,0)+1,MATCH(D$2,vdata_regressors!$A$1:$R$1,0)),"")</f>
        <v/>
      </c>
      <c r="E191" s="23" t="str">
        <f>IFERROR(INDEX(vdata_regressors!$A$1:$L$2000,MATCH($A191,vdata_regressors!$A$2:$A$2000,0)+1,MATCH(E$2,vdata_regressors!$A$1:$R$1,0)),"")</f>
        <v/>
      </c>
      <c r="F191" s="23" t="str">
        <f>IFERROR(INDEX(vdata_regressors!$A$1:$L$2000,MATCH($A191,vdata_regressors!$A$2:$A$2000,0)+1,MATCH(F$2,vdata_regressors!$A$1:$R$1,0)),"")</f>
        <v/>
      </c>
      <c r="G191" s="23" t="str">
        <f>IFERROR(INDEX(vdata_regressors!$A$1:$L$2000,MATCH($A191,vdata_regressors!$A$2:$A$2000,0)+1,MATCH(G$2,vdata_regressors!$A$1:$R$1,0)),"")</f>
        <v/>
      </c>
      <c r="H191" s="23" t="str">
        <f>IFERROR(INDEX(vdata_regressors!$A$1:$L$2000,MATCH($A191,vdata_regressors!$A$2:$A$2000,0)+1,MATCH(H$2,vdata_regressors!$A$1:$R$1,0)),"")</f>
        <v/>
      </c>
      <c r="I191" s="23" t="str">
        <f>IFERROR(INDEX(vdata_regressors!$A$1:$L$2000,MATCH($A191,vdata_regressors!$A$2:$A$2000,0)+1,MATCH(I$2,vdata_regressors!$A$1:$R$1,0)),"")</f>
        <v/>
      </c>
      <c r="J191" s="23" t="str">
        <f>IFERROR(INDEX(vdata_regressors!$A$1:$L$2000,MATCH($A191,vdata_regressors!$A$2:$A$2000,0)+1,MATCH(J$2,vdata_regressors!$A$1:$R$1,0)),"")</f>
        <v/>
      </c>
      <c r="K191" s="23" t="str">
        <f>IFERROR(INDEX(vdata_regressors!$A$1:$L$2000,MATCH($A191,vdata_regressors!$A$2:$A$2000,0)+1,MATCH(K$2,vdata_regressors!$A$1:$R$1,0)),"")</f>
        <v/>
      </c>
      <c r="L191" s="23" t="str">
        <f>IFERROR(INDEX(vdata_regressors!$A$1:$L$2000,MATCH($A191,vdata_regressors!$A$2:$A$2000,0)+1,MATCH(L$2,vdata_regressors!$A$1:$R$1,0)),"")</f>
        <v/>
      </c>
      <c r="M191" s="23" t="str">
        <f>IFERROR(VLOOKUP(A191,vdata_hours!$A$2:$B$1000,2,FALSE),"")</f>
        <v/>
      </c>
    </row>
    <row r="192" spans="1:13" x14ac:dyDescent="0.25">
      <c r="A192" s="23" t="str">
        <f>IF(vdata_hours!A191=0,"",vdata_hours!A191)</f>
        <v/>
      </c>
      <c r="B192" s="23" t="str">
        <f>IFERROR(INDEX(vdata_regressors!$A$1:$L$2000,MATCH($A192,vdata_regressors!$A$2:$A$2000,0)+1,MATCH(B$2,vdata_regressors!$A$1:$R$1,0)),"")</f>
        <v/>
      </c>
      <c r="C192" s="23" t="str">
        <f>IFERROR(INDEX(vdata_regressors!$A$1:$L$2000,MATCH($A192,vdata_regressors!$A$2:$A$2000,0)+1,MATCH(C$2,vdata_regressors!$A$1:$R$1,0)),"")</f>
        <v/>
      </c>
      <c r="D192" s="23" t="str">
        <f>IFERROR(INDEX(vdata_regressors!$A$1:$L$2000,MATCH($A192,vdata_regressors!$A$2:$A$2000,0)+1,MATCH(D$2,vdata_regressors!$A$1:$R$1,0)),"")</f>
        <v/>
      </c>
      <c r="E192" s="23" t="str">
        <f>IFERROR(INDEX(vdata_regressors!$A$1:$L$2000,MATCH($A192,vdata_regressors!$A$2:$A$2000,0)+1,MATCH(E$2,vdata_regressors!$A$1:$R$1,0)),"")</f>
        <v/>
      </c>
      <c r="F192" s="23" t="str">
        <f>IFERROR(INDEX(vdata_regressors!$A$1:$L$2000,MATCH($A192,vdata_regressors!$A$2:$A$2000,0)+1,MATCH(F$2,vdata_regressors!$A$1:$R$1,0)),"")</f>
        <v/>
      </c>
      <c r="G192" s="23" t="str">
        <f>IFERROR(INDEX(vdata_regressors!$A$1:$L$2000,MATCH($A192,vdata_regressors!$A$2:$A$2000,0)+1,MATCH(G$2,vdata_regressors!$A$1:$R$1,0)),"")</f>
        <v/>
      </c>
      <c r="H192" s="23" t="str">
        <f>IFERROR(INDEX(vdata_regressors!$A$1:$L$2000,MATCH($A192,vdata_regressors!$A$2:$A$2000,0)+1,MATCH(H$2,vdata_regressors!$A$1:$R$1,0)),"")</f>
        <v/>
      </c>
      <c r="I192" s="23" t="str">
        <f>IFERROR(INDEX(vdata_regressors!$A$1:$L$2000,MATCH($A192,vdata_regressors!$A$2:$A$2000,0)+1,MATCH(I$2,vdata_regressors!$A$1:$R$1,0)),"")</f>
        <v/>
      </c>
      <c r="J192" s="23" t="str">
        <f>IFERROR(INDEX(vdata_regressors!$A$1:$L$2000,MATCH($A192,vdata_regressors!$A$2:$A$2000,0)+1,MATCH(J$2,vdata_regressors!$A$1:$R$1,0)),"")</f>
        <v/>
      </c>
      <c r="K192" s="23" t="str">
        <f>IFERROR(INDEX(vdata_regressors!$A$1:$L$2000,MATCH($A192,vdata_regressors!$A$2:$A$2000,0)+1,MATCH(K$2,vdata_regressors!$A$1:$R$1,0)),"")</f>
        <v/>
      </c>
      <c r="L192" s="23" t="str">
        <f>IFERROR(INDEX(vdata_regressors!$A$1:$L$2000,MATCH($A192,vdata_regressors!$A$2:$A$2000,0)+1,MATCH(L$2,vdata_regressors!$A$1:$R$1,0)),"")</f>
        <v/>
      </c>
      <c r="M192" s="23" t="str">
        <f>IFERROR(VLOOKUP(A192,vdata_hours!$A$2:$B$1000,2,FALSE),"")</f>
        <v/>
      </c>
    </row>
    <row r="193" spans="1:13" x14ac:dyDescent="0.25">
      <c r="A193" s="23" t="str">
        <f>IF(vdata_hours!A192=0,"",vdata_hours!A192)</f>
        <v/>
      </c>
      <c r="B193" s="23" t="str">
        <f>IFERROR(INDEX(vdata_regressors!$A$1:$L$2000,MATCH($A193,vdata_regressors!$A$2:$A$2000,0)+1,MATCH(B$2,vdata_regressors!$A$1:$R$1,0)),"")</f>
        <v/>
      </c>
      <c r="C193" s="23" t="str">
        <f>IFERROR(INDEX(vdata_regressors!$A$1:$L$2000,MATCH($A193,vdata_regressors!$A$2:$A$2000,0)+1,MATCH(C$2,vdata_regressors!$A$1:$R$1,0)),"")</f>
        <v/>
      </c>
      <c r="D193" s="23" t="str">
        <f>IFERROR(INDEX(vdata_regressors!$A$1:$L$2000,MATCH($A193,vdata_regressors!$A$2:$A$2000,0)+1,MATCH(D$2,vdata_regressors!$A$1:$R$1,0)),"")</f>
        <v/>
      </c>
      <c r="E193" s="23" t="str">
        <f>IFERROR(INDEX(vdata_regressors!$A$1:$L$2000,MATCH($A193,vdata_regressors!$A$2:$A$2000,0)+1,MATCH(E$2,vdata_regressors!$A$1:$R$1,0)),"")</f>
        <v/>
      </c>
      <c r="F193" s="23" t="str">
        <f>IFERROR(INDEX(vdata_regressors!$A$1:$L$2000,MATCH($A193,vdata_regressors!$A$2:$A$2000,0)+1,MATCH(F$2,vdata_regressors!$A$1:$R$1,0)),"")</f>
        <v/>
      </c>
      <c r="G193" s="23" t="str">
        <f>IFERROR(INDEX(vdata_regressors!$A$1:$L$2000,MATCH($A193,vdata_regressors!$A$2:$A$2000,0)+1,MATCH(G$2,vdata_regressors!$A$1:$R$1,0)),"")</f>
        <v/>
      </c>
      <c r="H193" s="23" t="str">
        <f>IFERROR(INDEX(vdata_regressors!$A$1:$L$2000,MATCH($A193,vdata_regressors!$A$2:$A$2000,0)+1,MATCH(H$2,vdata_regressors!$A$1:$R$1,0)),"")</f>
        <v/>
      </c>
      <c r="I193" s="23" t="str">
        <f>IFERROR(INDEX(vdata_regressors!$A$1:$L$2000,MATCH($A193,vdata_regressors!$A$2:$A$2000,0)+1,MATCH(I$2,vdata_regressors!$A$1:$R$1,0)),"")</f>
        <v/>
      </c>
      <c r="J193" s="23" t="str">
        <f>IFERROR(INDEX(vdata_regressors!$A$1:$L$2000,MATCH($A193,vdata_regressors!$A$2:$A$2000,0)+1,MATCH(J$2,vdata_regressors!$A$1:$R$1,0)),"")</f>
        <v/>
      </c>
      <c r="K193" s="23" t="str">
        <f>IFERROR(INDEX(vdata_regressors!$A$1:$L$2000,MATCH($A193,vdata_regressors!$A$2:$A$2000,0)+1,MATCH(K$2,vdata_regressors!$A$1:$R$1,0)),"")</f>
        <v/>
      </c>
      <c r="L193" s="23" t="str">
        <f>IFERROR(INDEX(vdata_regressors!$A$1:$L$2000,MATCH($A193,vdata_regressors!$A$2:$A$2000,0)+1,MATCH(L$2,vdata_regressors!$A$1:$R$1,0)),"")</f>
        <v/>
      </c>
      <c r="M193" s="23" t="str">
        <f>IFERROR(VLOOKUP(A193,vdata_hours!$A$2:$B$1000,2,FALSE),"")</f>
        <v/>
      </c>
    </row>
    <row r="194" spans="1:13" x14ac:dyDescent="0.25">
      <c r="A194" s="23" t="str">
        <f>IF(vdata_hours!A193=0,"",vdata_hours!A193)</f>
        <v/>
      </c>
      <c r="B194" s="23" t="str">
        <f>IFERROR(INDEX(vdata_regressors!$A$1:$L$2000,MATCH($A194,vdata_regressors!$A$2:$A$2000,0)+1,MATCH(B$2,vdata_regressors!$A$1:$R$1,0)),"")</f>
        <v/>
      </c>
      <c r="C194" s="23" t="str">
        <f>IFERROR(INDEX(vdata_regressors!$A$1:$L$2000,MATCH($A194,vdata_regressors!$A$2:$A$2000,0)+1,MATCH(C$2,vdata_regressors!$A$1:$R$1,0)),"")</f>
        <v/>
      </c>
      <c r="D194" s="23" t="str">
        <f>IFERROR(INDEX(vdata_regressors!$A$1:$L$2000,MATCH($A194,vdata_regressors!$A$2:$A$2000,0)+1,MATCH(D$2,vdata_regressors!$A$1:$R$1,0)),"")</f>
        <v/>
      </c>
      <c r="E194" s="23" t="str">
        <f>IFERROR(INDEX(vdata_regressors!$A$1:$L$2000,MATCH($A194,vdata_regressors!$A$2:$A$2000,0)+1,MATCH(E$2,vdata_regressors!$A$1:$R$1,0)),"")</f>
        <v/>
      </c>
      <c r="F194" s="23" t="str">
        <f>IFERROR(INDEX(vdata_regressors!$A$1:$L$2000,MATCH($A194,vdata_regressors!$A$2:$A$2000,0)+1,MATCH(F$2,vdata_regressors!$A$1:$R$1,0)),"")</f>
        <v/>
      </c>
      <c r="G194" s="23" t="str">
        <f>IFERROR(INDEX(vdata_regressors!$A$1:$L$2000,MATCH($A194,vdata_regressors!$A$2:$A$2000,0)+1,MATCH(G$2,vdata_regressors!$A$1:$R$1,0)),"")</f>
        <v/>
      </c>
      <c r="H194" s="23" t="str">
        <f>IFERROR(INDEX(vdata_regressors!$A$1:$L$2000,MATCH($A194,vdata_regressors!$A$2:$A$2000,0)+1,MATCH(H$2,vdata_regressors!$A$1:$R$1,0)),"")</f>
        <v/>
      </c>
      <c r="I194" s="23" t="str">
        <f>IFERROR(INDEX(vdata_regressors!$A$1:$L$2000,MATCH($A194,vdata_regressors!$A$2:$A$2000,0)+1,MATCH(I$2,vdata_regressors!$A$1:$R$1,0)),"")</f>
        <v/>
      </c>
      <c r="J194" s="23" t="str">
        <f>IFERROR(INDEX(vdata_regressors!$A$1:$L$2000,MATCH($A194,vdata_regressors!$A$2:$A$2000,0)+1,MATCH(J$2,vdata_regressors!$A$1:$R$1,0)),"")</f>
        <v/>
      </c>
      <c r="K194" s="23" t="str">
        <f>IFERROR(INDEX(vdata_regressors!$A$1:$L$2000,MATCH($A194,vdata_regressors!$A$2:$A$2000,0)+1,MATCH(K$2,vdata_regressors!$A$1:$R$1,0)),"")</f>
        <v/>
      </c>
      <c r="L194" s="23" t="str">
        <f>IFERROR(INDEX(vdata_regressors!$A$1:$L$2000,MATCH($A194,vdata_regressors!$A$2:$A$2000,0)+1,MATCH(L$2,vdata_regressors!$A$1:$R$1,0)),"")</f>
        <v/>
      </c>
      <c r="M194" s="23" t="str">
        <f>IFERROR(VLOOKUP(A194,vdata_hours!$A$2:$B$1000,2,FALSE),"")</f>
        <v/>
      </c>
    </row>
    <row r="195" spans="1:13" x14ac:dyDescent="0.25">
      <c r="A195" s="23" t="str">
        <f>IF(vdata_hours!A194=0,"",vdata_hours!A194)</f>
        <v/>
      </c>
      <c r="B195" s="23" t="str">
        <f>IFERROR(INDEX(vdata_regressors!$A$1:$L$2000,MATCH($A195,vdata_regressors!$A$2:$A$2000,0)+1,MATCH(B$2,vdata_regressors!$A$1:$R$1,0)),"")</f>
        <v/>
      </c>
      <c r="C195" s="23" t="str">
        <f>IFERROR(INDEX(vdata_regressors!$A$1:$L$2000,MATCH($A195,vdata_regressors!$A$2:$A$2000,0)+1,MATCH(C$2,vdata_regressors!$A$1:$R$1,0)),"")</f>
        <v/>
      </c>
      <c r="D195" s="23" t="str">
        <f>IFERROR(INDEX(vdata_regressors!$A$1:$L$2000,MATCH($A195,vdata_regressors!$A$2:$A$2000,0)+1,MATCH(D$2,vdata_regressors!$A$1:$R$1,0)),"")</f>
        <v/>
      </c>
      <c r="E195" s="23" t="str">
        <f>IFERROR(INDEX(vdata_regressors!$A$1:$L$2000,MATCH($A195,vdata_regressors!$A$2:$A$2000,0)+1,MATCH(E$2,vdata_regressors!$A$1:$R$1,0)),"")</f>
        <v/>
      </c>
      <c r="F195" s="23" t="str">
        <f>IFERROR(INDEX(vdata_regressors!$A$1:$L$2000,MATCH($A195,vdata_regressors!$A$2:$A$2000,0)+1,MATCH(F$2,vdata_regressors!$A$1:$R$1,0)),"")</f>
        <v/>
      </c>
      <c r="G195" s="23" t="str">
        <f>IFERROR(INDEX(vdata_regressors!$A$1:$L$2000,MATCH($A195,vdata_regressors!$A$2:$A$2000,0)+1,MATCH(G$2,vdata_regressors!$A$1:$R$1,0)),"")</f>
        <v/>
      </c>
      <c r="H195" s="23" t="str">
        <f>IFERROR(INDEX(vdata_regressors!$A$1:$L$2000,MATCH($A195,vdata_regressors!$A$2:$A$2000,0)+1,MATCH(H$2,vdata_regressors!$A$1:$R$1,0)),"")</f>
        <v/>
      </c>
      <c r="I195" s="23" t="str">
        <f>IFERROR(INDEX(vdata_regressors!$A$1:$L$2000,MATCH($A195,vdata_regressors!$A$2:$A$2000,0)+1,MATCH(I$2,vdata_regressors!$A$1:$R$1,0)),"")</f>
        <v/>
      </c>
      <c r="J195" s="23" t="str">
        <f>IFERROR(INDEX(vdata_regressors!$A$1:$L$2000,MATCH($A195,vdata_regressors!$A$2:$A$2000,0)+1,MATCH(J$2,vdata_regressors!$A$1:$R$1,0)),"")</f>
        <v/>
      </c>
      <c r="K195" s="23" t="str">
        <f>IFERROR(INDEX(vdata_regressors!$A$1:$L$2000,MATCH($A195,vdata_regressors!$A$2:$A$2000,0)+1,MATCH(K$2,vdata_regressors!$A$1:$R$1,0)),"")</f>
        <v/>
      </c>
      <c r="L195" s="23" t="str">
        <f>IFERROR(INDEX(vdata_regressors!$A$1:$L$2000,MATCH($A195,vdata_regressors!$A$2:$A$2000,0)+1,MATCH(L$2,vdata_regressors!$A$1:$R$1,0)),"")</f>
        <v/>
      </c>
      <c r="M195" s="23" t="str">
        <f>IFERROR(VLOOKUP(A195,vdata_hours!$A$2:$B$1000,2,FALSE),"")</f>
        <v/>
      </c>
    </row>
    <row r="196" spans="1:13" x14ac:dyDescent="0.25">
      <c r="A196" s="23" t="str">
        <f>IF(vdata_hours!A195=0,"",vdata_hours!A195)</f>
        <v/>
      </c>
      <c r="B196" s="23" t="str">
        <f>IFERROR(INDEX(vdata_regressors!$A$1:$L$2000,MATCH($A196,vdata_regressors!$A$2:$A$2000,0)+1,MATCH(B$2,vdata_regressors!$A$1:$R$1,0)),"")</f>
        <v/>
      </c>
      <c r="C196" s="23" t="str">
        <f>IFERROR(INDEX(vdata_regressors!$A$1:$L$2000,MATCH($A196,vdata_regressors!$A$2:$A$2000,0)+1,MATCH(C$2,vdata_regressors!$A$1:$R$1,0)),"")</f>
        <v/>
      </c>
      <c r="D196" s="23" t="str">
        <f>IFERROR(INDEX(vdata_regressors!$A$1:$L$2000,MATCH($A196,vdata_regressors!$A$2:$A$2000,0)+1,MATCH(D$2,vdata_regressors!$A$1:$R$1,0)),"")</f>
        <v/>
      </c>
      <c r="E196" s="23" t="str">
        <f>IFERROR(INDEX(vdata_regressors!$A$1:$L$2000,MATCH($A196,vdata_regressors!$A$2:$A$2000,0)+1,MATCH(E$2,vdata_regressors!$A$1:$R$1,0)),"")</f>
        <v/>
      </c>
      <c r="F196" s="23" t="str">
        <f>IFERROR(INDEX(vdata_regressors!$A$1:$L$2000,MATCH($A196,vdata_regressors!$A$2:$A$2000,0)+1,MATCH(F$2,vdata_regressors!$A$1:$R$1,0)),"")</f>
        <v/>
      </c>
      <c r="G196" s="23" t="str">
        <f>IFERROR(INDEX(vdata_regressors!$A$1:$L$2000,MATCH($A196,vdata_regressors!$A$2:$A$2000,0)+1,MATCH(G$2,vdata_regressors!$A$1:$R$1,0)),"")</f>
        <v/>
      </c>
      <c r="H196" s="23" t="str">
        <f>IFERROR(INDEX(vdata_regressors!$A$1:$L$2000,MATCH($A196,vdata_regressors!$A$2:$A$2000,0)+1,MATCH(H$2,vdata_regressors!$A$1:$R$1,0)),"")</f>
        <v/>
      </c>
      <c r="I196" s="23" t="str">
        <f>IFERROR(INDEX(vdata_regressors!$A$1:$L$2000,MATCH($A196,vdata_regressors!$A$2:$A$2000,0)+1,MATCH(I$2,vdata_regressors!$A$1:$R$1,0)),"")</f>
        <v/>
      </c>
      <c r="J196" s="23" t="str">
        <f>IFERROR(INDEX(vdata_regressors!$A$1:$L$2000,MATCH($A196,vdata_regressors!$A$2:$A$2000,0)+1,MATCH(J$2,vdata_regressors!$A$1:$R$1,0)),"")</f>
        <v/>
      </c>
      <c r="K196" s="23" t="str">
        <f>IFERROR(INDEX(vdata_regressors!$A$1:$L$2000,MATCH($A196,vdata_regressors!$A$2:$A$2000,0)+1,MATCH(K$2,vdata_regressors!$A$1:$R$1,0)),"")</f>
        <v/>
      </c>
      <c r="L196" s="23" t="str">
        <f>IFERROR(INDEX(vdata_regressors!$A$1:$L$2000,MATCH($A196,vdata_regressors!$A$2:$A$2000,0)+1,MATCH(L$2,vdata_regressors!$A$1:$R$1,0)),"")</f>
        <v/>
      </c>
      <c r="M196" s="23" t="str">
        <f>IFERROR(VLOOKUP(A196,vdata_hours!$A$2:$B$1000,2,FALSE),"")</f>
        <v/>
      </c>
    </row>
    <row r="197" spans="1:13" x14ac:dyDescent="0.25">
      <c r="A197" s="23" t="str">
        <f>IF(vdata_hours!A196=0,"",vdata_hours!A196)</f>
        <v/>
      </c>
      <c r="B197" s="23" t="str">
        <f>IFERROR(INDEX(vdata_regressors!$A$1:$L$2000,MATCH($A197,vdata_regressors!$A$2:$A$2000,0)+1,MATCH(B$2,vdata_regressors!$A$1:$R$1,0)),"")</f>
        <v/>
      </c>
      <c r="C197" s="23" t="str">
        <f>IFERROR(INDEX(vdata_regressors!$A$1:$L$2000,MATCH($A197,vdata_regressors!$A$2:$A$2000,0)+1,MATCH(C$2,vdata_regressors!$A$1:$R$1,0)),"")</f>
        <v/>
      </c>
      <c r="D197" s="23" t="str">
        <f>IFERROR(INDEX(vdata_regressors!$A$1:$L$2000,MATCH($A197,vdata_regressors!$A$2:$A$2000,0)+1,MATCH(D$2,vdata_regressors!$A$1:$R$1,0)),"")</f>
        <v/>
      </c>
      <c r="E197" s="23" t="str">
        <f>IFERROR(INDEX(vdata_regressors!$A$1:$L$2000,MATCH($A197,vdata_regressors!$A$2:$A$2000,0)+1,MATCH(E$2,vdata_regressors!$A$1:$R$1,0)),"")</f>
        <v/>
      </c>
      <c r="F197" s="23" t="str">
        <f>IFERROR(INDEX(vdata_regressors!$A$1:$L$2000,MATCH($A197,vdata_regressors!$A$2:$A$2000,0)+1,MATCH(F$2,vdata_regressors!$A$1:$R$1,0)),"")</f>
        <v/>
      </c>
      <c r="G197" s="23" t="str">
        <f>IFERROR(INDEX(vdata_regressors!$A$1:$L$2000,MATCH($A197,vdata_regressors!$A$2:$A$2000,0)+1,MATCH(G$2,vdata_regressors!$A$1:$R$1,0)),"")</f>
        <v/>
      </c>
      <c r="H197" s="23" t="str">
        <f>IFERROR(INDEX(vdata_regressors!$A$1:$L$2000,MATCH($A197,vdata_regressors!$A$2:$A$2000,0)+1,MATCH(H$2,vdata_regressors!$A$1:$R$1,0)),"")</f>
        <v/>
      </c>
      <c r="I197" s="23" t="str">
        <f>IFERROR(INDEX(vdata_regressors!$A$1:$L$2000,MATCH($A197,vdata_regressors!$A$2:$A$2000,0)+1,MATCH(I$2,vdata_regressors!$A$1:$R$1,0)),"")</f>
        <v/>
      </c>
      <c r="J197" s="23" t="str">
        <f>IFERROR(INDEX(vdata_regressors!$A$1:$L$2000,MATCH($A197,vdata_regressors!$A$2:$A$2000,0)+1,MATCH(J$2,vdata_regressors!$A$1:$R$1,0)),"")</f>
        <v/>
      </c>
      <c r="K197" s="23" t="str">
        <f>IFERROR(INDEX(vdata_regressors!$A$1:$L$2000,MATCH($A197,vdata_regressors!$A$2:$A$2000,0)+1,MATCH(K$2,vdata_regressors!$A$1:$R$1,0)),"")</f>
        <v/>
      </c>
      <c r="L197" s="23" t="str">
        <f>IFERROR(INDEX(vdata_regressors!$A$1:$L$2000,MATCH($A197,vdata_regressors!$A$2:$A$2000,0)+1,MATCH(L$2,vdata_regressors!$A$1:$R$1,0)),"")</f>
        <v/>
      </c>
      <c r="M197" s="23" t="str">
        <f>IFERROR(VLOOKUP(A197,vdata_hours!$A$2:$B$1000,2,FALSE),"")</f>
        <v/>
      </c>
    </row>
    <row r="198" spans="1:13" x14ac:dyDescent="0.25">
      <c r="A198" s="23" t="str">
        <f>IF(vdata_hours!A197=0,"",vdata_hours!A197)</f>
        <v/>
      </c>
      <c r="B198" s="23" t="str">
        <f>IFERROR(INDEX(vdata_regressors!$A$1:$L$2000,MATCH($A198,vdata_regressors!$A$2:$A$2000,0)+1,MATCH(B$2,vdata_regressors!$A$1:$R$1,0)),"")</f>
        <v/>
      </c>
      <c r="C198" s="23" t="str">
        <f>IFERROR(INDEX(vdata_regressors!$A$1:$L$2000,MATCH($A198,vdata_regressors!$A$2:$A$2000,0)+1,MATCH(C$2,vdata_regressors!$A$1:$R$1,0)),"")</f>
        <v/>
      </c>
      <c r="D198" s="23" t="str">
        <f>IFERROR(INDEX(vdata_regressors!$A$1:$L$2000,MATCH($A198,vdata_regressors!$A$2:$A$2000,0)+1,MATCH(D$2,vdata_regressors!$A$1:$R$1,0)),"")</f>
        <v/>
      </c>
      <c r="E198" s="23" t="str">
        <f>IFERROR(INDEX(vdata_regressors!$A$1:$L$2000,MATCH($A198,vdata_regressors!$A$2:$A$2000,0)+1,MATCH(E$2,vdata_regressors!$A$1:$R$1,0)),"")</f>
        <v/>
      </c>
      <c r="F198" s="23" t="str">
        <f>IFERROR(INDEX(vdata_regressors!$A$1:$L$2000,MATCH($A198,vdata_regressors!$A$2:$A$2000,0)+1,MATCH(F$2,vdata_regressors!$A$1:$R$1,0)),"")</f>
        <v/>
      </c>
      <c r="G198" s="23" t="str">
        <f>IFERROR(INDEX(vdata_regressors!$A$1:$L$2000,MATCH($A198,vdata_regressors!$A$2:$A$2000,0)+1,MATCH(G$2,vdata_regressors!$A$1:$R$1,0)),"")</f>
        <v/>
      </c>
      <c r="H198" s="23" t="str">
        <f>IFERROR(INDEX(vdata_regressors!$A$1:$L$2000,MATCH($A198,vdata_regressors!$A$2:$A$2000,0)+1,MATCH(H$2,vdata_regressors!$A$1:$R$1,0)),"")</f>
        <v/>
      </c>
      <c r="I198" s="23" t="str">
        <f>IFERROR(INDEX(vdata_regressors!$A$1:$L$2000,MATCH($A198,vdata_regressors!$A$2:$A$2000,0)+1,MATCH(I$2,vdata_regressors!$A$1:$R$1,0)),"")</f>
        <v/>
      </c>
      <c r="J198" s="23" t="str">
        <f>IFERROR(INDEX(vdata_regressors!$A$1:$L$2000,MATCH($A198,vdata_regressors!$A$2:$A$2000,0)+1,MATCH(J$2,vdata_regressors!$A$1:$R$1,0)),"")</f>
        <v/>
      </c>
      <c r="K198" s="23" t="str">
        <f>IFERROR(INDEX(vdata_regressors!$A$1:$L$2000,MATCH($A198,vdata_regressors!$A$2:$A$2000,0)+1,MATCH(K$2,vdata_regressors!$A$1:$R$1,0)),"")</f>
        <v/>
      </c>
      <c r="L198" s="23" t="str">
        <f>IFERROR(INDEX(vdata_regressors!$A$1:$L$2000,MATCH($A198,vdata_regressors!$A$2:$A$2000,0)+1,MATCH(L$2,vdata_regressors!$A$1:$R$1,0)),"")</f>
        <v/>
      </c>
      <c r="M198" s="23" t="str">
        <f>IFERROR(VLOOKUP(A198,vdata_hours!$A$2:$B$1000,2,FALSE),"")</f>
        <v/>
      </c>
    </row>
    <row r="199" spans="1:13" x14ac:dyDescent="0.25">
      <c r="A199" s="23" t="str">
        <f>IF(vdata_hours!A198=0,"",vdata_hours!A198)</f>
        <v/>
      </c>
      <c r="B199" s="23" t="str">
        <f>IFERROR(INDEX(vdata_regressors!$A$1:$L$2000,MATCH($A199,vdata_regressors!$A$2:$A$2000,0)+1,MATCH(B$2,vdata_regressors!$A$1:$R$1,0)),"")</f>
        <v/>
      </c>
      <c r="C199" s="23" t="str">
        <f>IFERROR(INDEX(vdata_regressors!$A$1:$L$2000,MATCH($A199,vdata_regressors!$A$2:$A$2000,0)+1,MATCH(C$2,vdata_regressors!$A$1:$R$1,0)),"")</f>
        <v/>
      </c>
      <c r="D199" s="23" t="str">
        <f>IFERROR(INDEX(vdata_regressors!$A$1:$L$2000,MATCH($A199,vdata_regressors!$A$2:$A$2000,0)+1,MATCH(D$2,vdata_regressors!$A$1:$R$1,0)),"")</f>
        <v/>
      </c>
      <c r="E199" s="23" t="str">
        <f>IFERROR(INDEX(vdata_regressors!$A$1:$L$2000,MATCH($A199,vdata_regressors!$A$2:$A$2000,0)+1,MATCH(E$2,vdata_regressors!$A$1:$R$1,0)),"")</f>
        <v/>
      </c>
      <c r="F199" s="23" t="str">
        <f>IFERROR(INDEX(vdata_regressors!$A$1:$L$2000,MATCH($A199,vdata_regressors!$A$2:$A$2000,0)+1,MATCH(F$2,vdata_regressors!$A$1:$R$1,0)),"")</f>
        <v/>
      </c>
      <c r="G199" s="23" t="str">
        <f>IFERROR(INDEX(vdata_regressors!$A$1:$L$2000,MATCH($A199,vdata_regressors!$A$2:$A$2000,0)+1,MATCH(G$2,vdata_regressors!$A$1:$R$1,0)),"")</f>
        <v/>
      </c>
      <c r="H199" s="23" t="str">
        <f>IFERROR(INDEX(vdata_regressors!$A$1:$L$2000,MATCH($A199,vdata_regressors!$A$2:$A$2000,0)+1,MATCH(H$2,vdata_regressors!$A$1:$R$1,0)),"")</f>
        <v/>
      </c>
      <c r="I199" s="23" t="str">
        <f>IFERROR(INDEX(vdata_regressors!$A$1:$L$2000,MATCH($A199,vdata_regressors!$A$2:$A$2000,0)+1,MATCH(I$2,vdata_regressors!$A$1:$R$1,0)),"")</f>
        <v/>
      </c>
      <c r="J199" s="23" t="str">
        <f>IFERROR(INDEX(vdata_regressors!$A$1:$L$2000,MATCH($A199,vdata_regressors!$A$2:$A$2000,0)+1,MATCH(J$2,vdata_regressors!$A$1:$R$1,0)),"")</f>
        <v/>
      </c>
      <c r="K199" s="23" t="str">
        <f>IFERROR(INDEX(vdata_regressors!$A$1:$L$2000,MATCH($A199,vdata_regressors!$A$2:$A$2000,0)+1,MATCH(K$2,vdata_regressors!$A$1:$R$1,0)),"")</f>
        <v/>
      </c>
      <c r="L199" s="23" t="str">
        <f>IFERROR(INDEX(vdata_regressors!$A$1:$L$2000,MATCH($A199,vdata_regressors!$A$2:$A$2000,0)+1,MATCH(L$2,vdata_regressors!$A$1:$R$1,0)),"")</f>
        <v/>
      </c>
      <c r="M199" s="23" t="str">
        <f>IFERROR(VLOOKUP(A199,vdata_hours!$A$2:$B$1000,2,FALSE),"")</f>
        <v/>
      </c>
    </row>
    <row r="200" spans="1:13" x14ac:dyDescent="0.25">
      <c r="A200" s="23" t="str">
        <f>IF(vdata_hours!A199=0,"",vdata_hours!A199)</f>
        <v/>
      </c>
      <c r="B200" s="23" t="str">
        <f>IFERROR(INDEX(vdata_regressors!$A$1:$L$2000,MATCH($A200,vdata_regressors!$A$2:$A$2000,0)+1,MATCH(B$2,vdata_regressors!$A$1:$R$1,0)),"")</f>
        <v/>
      </c>
      <c r="C200" s="23" t="str">
        <f>IFERROR(INDEX(vdata_regressors!$A$1:$L$2000,MATCH($A200,vdata_regressors!$A$2:$A$2000,0)+1,MATCH(C$2,vdata_regressors!$A$1:$R$1,0)),"")</f>
        <v/>
      </c>
      <c r="D200" s="23" t="str">
        <f>IFERROR(INDEX(vdata_regressors!$A$1:$L$2000,MATCH($A200,vdata_regressors!$A$2:$A$2000,0)+1,MATCH(D$2,vdata_regressors!$A$1:$R$1,0)),"")</f>
        <v/>
      </c>
      <c r="E200" s="23" t="str">
        <f>IFERROR(INDEX(vdata_regressors!$A$1:$L$2000,MATCH($A200,vdata_regressors!$A$2:$A$2000,0)+1,MATCH(E$2,vdata_regressors!$A$1:$R$1,0)),"")</f>
        <v/>
      </c>
      <c r="F200" s="23" t="str">
        <f>IFERROR(INDEX(vdata_regressors!$A$1:$L$2000,MATCH($A200,vdata_regressors!$A$2:$A$2000,0)+1,MATCH(F$2,vdata_regressors!$A$1:$R$1,0)),"")</f>
        <v/>
      </c>
      <c r="G200" s="23" t="str">
        <f>IFERROR(INDEX(vdata_regressors!$A$1:$L$2000,MATCH($A200,vdata_regressors!$A$2:$A$2000,0)+1,MATCH(G$2,vdata_regressors!$A$1:$R$1,0)),"")</f>
        <v/>
      </c>
      <c r="H200" s="23" t="str">
        <f>IFERROR(INDEX(vdata_regressors!$A$1:$L$2000,MATCH($A200,vdata_regressors!$A$2:$A$2000,0)+1,MATCH(H$2,vdata_regressors!$A$1:$R$1,0)),"")</f>
        <v/>
      </c>
      <c r="I200" s="23" t="str">
        <f>IFERROR(INDEX(vdata_regressors!$A$1:$L$2000,MATCH($A200,vdata_regressors!$A$2:$A$2000,0)+1,MATCH(I$2,vdata_regressors!$A$1:$R$1,0)),"")</f>
        <v/>
      </c>
      <c r="J200" s="23" t="str">
        <f>IFERROR(INDEX(vdata_regressors!$A$1:$L$2000,MATCH($A200,vdata_regressors!$A$2:$A$2000,0)+1,MATCH(J$2,vdata_regressors!$A$1:$R$1,0)),"")</f>
        <v/>
      </c>
      <c r="K200" s="23" t="str">
        <f>IFERROR(INDEX(vdata_regressors!$A$1:$L$2000,MATCH($A200,vdata_regressors!$A$2:$A$2000,0)+1,MATCH(K$2,vdata_regressors!$A$1:$R$1,0)),"")</f>
        <v/>
      </c>
      <c r="L200" s="23" t="str">
        <f>IFERROR(INDEX(vdata_regressors!$A$1:$L$2000,MATCH($A200,vdata_regressors!$A$2:$A$2000,0)+1,MATCH(L$2,vdata_regressors!$A$1:$R$1,0)),"")</f>
        <v/>
      </c>
      <c r="M200" s="23" t="str">
        <f>IFERROR(VLOOKUP(A200,vdata_hours!$A$2:$B$1000,2,FALSE),"")</f>
        <v/>
      </c>
    </row>
    <row r="201" spans="1:13" x14ac:dyDescent="0.25">
      <c r="A201" s="23" t="str">
        <f>IF(vdata_hours!A200=0,"",vdata_hours!A200)</f>
        <v/>
      </c>
      <c r="B201" s="23" t="str">
        <f>IFERROR(INDEX(vdata_regressors!$A$1:$L$2000,MATCH($A201,vdata_regressors!$A$2:$A$2000,0)+1,MATCH(B$2,vdata_regressors!$A$1:$R$1,0)),"")</f>
        <v/>
      </c>
      <c r="C201" s="23" t="str">
        <f>IFERROR(INDEX(vdata_regressors!$A$1:$L$2000,MATCH($A201,vdata_regressors!$A$2:$A$2000,0)+1,MATCH(C$2,vdata_regressors!$A$1:$R$1,0)),"")</f>
        <v/>
      </c>
      <c r="D201" s="23" t="str">
        <f>IFERROR(INDEX(vdata_regressors!$A$1:$L$2000,MATCH($A201,vdata_regressors!$A$2:$A$2000,0)+1,MATCH(D$2,vdata_regressors!$A$1:$R$1,0)),"")</f>
        <v/>
      </c>
      <c r="E201" s="23" t="str">
        <f>IFERROR(INDEX(vdata_regressors!$A$1:$L$2000,MATCH($A201,vdata_regressors!$A$2:$A$2000,0)+1,MATCH(E$2,vdata_regressors!$A$1:$R$1,0)),"")</f>
        <v/>
      </c>
      <c r="F201" s="23" t="str">
        <f>IFERROR(INDEX(vdata_regressors!$A$1:$L$2000,MATCH($A201,vdata_regressors!$A$2:$A$2000,0)+1,MATCH(F$2,vdata_regressors!$A$1:$R$1,0)),"")</f>
        <v/>
      </c>
      <c r="G201" s="23" t="str">
        <f>IFERROR(INDEX(vdata_regressors!$A$1:$L$2000,MATCH($A201,vdata_regressors!$A$2:$A$2000,0)+1,MATCH(G$2,vdata_regressors!$A$1:$R$1,0)),"")</f>
        <v/>
      </c>
      <c r="H201" s="23" t="str">
        <f>IFERROR(INDEX(vdata_regressors!$A$1:$L$2000,MATCH($A201,vdata_regressors!$A$2:$A$2000,0)+1,MATCH(H$2,vdata_regressors!$A$1:$R$1,0)),"")</f>
        <v/>
      </c>
      <c r="I201" s="23" t="str">
        <f>IFERROR(INDEX(vdata_regressors!$A$1:$L$2000,MATCH($A201,vdata_regressors!$A$2:$A$2000,0)+1,MATCH(I$2,vdata_regressors!$A$1:$R$1,0)),"")</f>
        <v/>
      </c>
      <c r="J201" s="23" t="str">
        <f>IFERROR(INDEX(vdata_regressors!$A$1:$L$2000,MATCH($A201,vdata_regressors!$A$2:$A$2000,0)+1,MATCH(J$2,vdata_regressors!$A$1:$R$1,0)),"")</f>
        <v/>
      </c>
      <c r="K201" s="23" t="str">
        <f>IFERROR(INDEX(vdata_regressors!$A$1:$L$2000,MATCH($A201,vdata_regressors!$A$2:$A$2000,0)+1,MATCH(K$2,vdata_regressors!$A$1:$R$1,0)),"")</f>
        <v/>
      </c>
      <c r="L201" s="23" t="str">
        <f>IFERROR(INDEX(vdata_regressors!$A$1:$L$2000,MATCH($A201,vdata_regressors!$A$2:$A$2000,0)+1,MATCH(L$2,vdata_regressors!$A$1:$R$1,0)),"")</f>
        <v/>
      </c>
      <c r="M201" s="23" t="str">
        <f>IFERROR(VLOOKUP(A201,vdata_hours!$A$2:$B$1000,2,FALSE),"")</f>
        <v/>
      </c>
    </row>
    <row r="202" spans="1:13" x14ac:dyDescent="0.25">
      <c r="A202" s="23" t="str">
        <f>IF(vdata_hours!A201=0,"",vdata_hours!A201)</f>
        <v/>
      </c>
      <c r="B202" s="23" t="str">
        <f>IFERROR(INDEX(vdata_regressors!$A$1:$L$2000,MATCH($A202,vdata_regressors!$A$2:$A$2000,0)+1,MATCH(B$2,vdata_regressors!$A$1:$R$1,0)),"")</f>
        <v/>
      </c>
      <c r="C202" s="23" t="str">
        <f>IFERROR(INDEX(vdata_regressors!$A$1:$L$2000,MATCH($A202,vdata_regressors!$A$2:$A$2000,0)+1,MATCH(C$2,vdata_regressors!$A$1:$R$1,0)),"")</f>
        <v/>
      </c>
      <c r="D202" s="23" t="str">
        <f>IFERROR(INDEX(vdata_regressors!$A$1:$L$2000,MATCH($A202,vdata_regressors!$A$2:$A$2000,0)+1,MATCH(D$2,vdata_regressors!$A$1:$R$1,0)),"")</f>
        <v/>
      </c>
      <c r="E202" s="23" t="str">
        <f>IFERROR(INDEX(vdata_regressors!$A$1:$L$2000,MATCH($A202,vdata_regressors!$A$2:$A$2000,0)+1,MATCH(E$2,vdata_regressors!$A$1:$R$1,0)),"")</f>
        <v/>
      </c>
      <c r="F202" s="23" t="str">
        <f>IFERROR(INDEX(vdata_regressors!$A$1:$L$2000,MATCH($A202,vdata_regressors!$A$2:$A$2000,0)+1,MATCH(F$2,vdata_regressors!$A$1:$R$1,0)),"")</f>
        <v/>
      </c>
      <c r="G202" s="23" t="str">
        <f>IFERROR(INDEX(vdata_regressors!$A$1:$L$2000,MATCH($A202,vdata_regressors!$A$2:$A$2000,0)+1,MATCH(G$2,vdata_regressors!$A$1:$R$1,0)),"")</f>
        <v/>
      </c>
      <c r="H202" s="23" t="str">
        <f>IFERROR(INDEX(vdata_regressors!$A$1:$L$2000,MATCH($A202,vdata_regressors!$A$2:$A$2000,0)+1,MATCH(H$2,vdata_regressors!$A$1:$R$1,0)),"")</f>
        <v/>
      </c>
      <c r="I202" s="23" t="str">
        <f>IFERROR(INDEX(vdata_regressors!$A$1:$L$2000,MATCH($A202,vdata_regressors!$A$2:$A$2000,0)+1,MATCH(I$2,vdata_regressors!$A$1:$R$1,0)),"")</f>
        <v/>
      </c>
      <c r="J202" s="23" t="str">
        <f>IFERROR(INDEX(vdata_regressors!$A$1:$L$2000,MATCH($A202,vdata_regressors!$A$2:$A$2000,0)+1,MATCH(J$2,vdata_regressors!$A$1:$R$1,0)),"")</f>
        <v/>
      </c>
      <c r="K202" s="23" t="str">
        <f>IFERROR(INDEX(vdata_regressors!$A$1:$L$2000,MATCH($A202,vdata_regressors!$A$2:$A$2000,0)+1,MATCH(K$2,vdata_regressors!$A$1:$R$1,0)),"")</f>
        <v/>
      </c>
      <c r="L202" s="23" t="str">
        <f>IFERROR(INDEX(vdata_regressors!$A$1:$L$2000,MATCH($A202,vdata_regressors!$A$2:$A$2000,0)+1,MATCH(L$2,vdata_regressors!$A$1:$R$1,0)),"")</f>
        <v/>
      </c>
      <c r="M202" s="23" t="str">
        <f>IFERROR(VLOOKUP(A202,vdata_hours!$A$2:$B$1000,2,FALSE),"")</f>
        <v/>
      </c>
    </row>
    <row r="203" spans="1:13" x14ac:dyDescent="0.25">
      <c r="A203" s="23" t="str">
        <f>IF(vdata_hours!A202=0,"",vdata_hours!A202)</f>
        <v/>
      </c>
      <c r="B203" s="23" t="str">
        <f>IFERROR(INDEX(vdata_regressors!$A$1:$L$2000,MATCH($A203,vdata_regressors!$A$2:$A$2000,0)+1,MATCH(B$2,vdata_regressors!$A$1:$R$1,0)),"")</f>
        <v/>
      </c>
      <c r="C203" s="23" t="str">
        <f>IFERROR(INDEX(vdata_regressors!$A$1:$L$2000,MATCH($A203,vdata_regressors!$A$2:$A$2000,0)+1,MATCH(C$2,vdata_regressors!$A$1:$R$1,0)),"")</f>
        <v/>
      </c>
      <c r="D203" s="23" t="str">
        <f>IFERROR(INDEX(vdata_regressors!$A$1:$L$2000,MATCH($A203,vdata_regressors!$A$2:$A$2000,0)+1,MATCH(D$2,vdata_regressors!$A$1:$R$1,0)),"")</f>
        <v/>
      </c>
      <c r="E203" s="23" t="str">
        <f>IFERROR(INDEX(vdata_regressors!$A$1:$L$2000,MATCH($A203,vdata_regressors!$A$2:$A$2000,0)+1,MATCH(E$2,vdata_regressors!$A$1:$R$1,0)),"")</f>
        <v/>
      </c>
      <c r="F203" s="23" t="str">
        <f>IFERROR(INDEX(vdata_regressors!$A$1:$L$2000,MATCH($A203,vdata_regressors!$A$2:$A$2000,0)+1,MATCH(F$2,vdata_regressors!$A$1:$R$1,0)),"")</f>
        <v/>
      </c>
      <c r="G203" s="23" t="str">
        <f>IFERROR(INDEX(vdata_regressors!$A$1:$L$2000,MATCH($A203,vdata_regressors!$A$2:$A$2000,0)+1,MATCH(G$2,vdata_regressors!$A$1:$R$1,0)),"")</f>
        <v/>
      </c>
      <c r="H203" s="23" t="str">
        <f>IFERROR(INDEX(vdata_regressors!$A$1:$L$2000,MATCH($A203,vdata_regressors!$A$2:$A$2000,0)+1,MATCH(H$2,vdata_regressors!$A$1:$R$1,0)),"")</f>
        <v/>
      </c>
      <c r="I203" s="23" t="str">
        <f>IFERROR(INDEX(vdata_regressors!$A$1:$L$2000,MATCH($A203,vdata_regressors!$A$2:$A$2000,0)+1,MATCH(I$2,vdata_regressors!$A$1:$R$1,0)),"")</f>
        <v/>
      </c>
      <c r="J203" s="23" t="str">
        <f>IFERROR(INDEX(vdata_regressors!$A$1:$L$2000,MATCH($A203,vdata_regressors!$A$2:$A$2000,0)+1,MATCH(J$2,vdata_regressors!$A$1:$R$1,0)),"")</f>
        <v/>
      </c>
      <c r="K203" s="23" t="str">
        <f>IFERROR(INDEX(vdata_regressors!$A$1:$L$2000,MATCH($A203,vdata_regressors!$A$2:$A$2000,0)+1,MATCH(K$2,vdata_regressors!$A$1:$R$1,0)),"")</f>
        <v/>
      </c>
      <c r="L203" s="23" t="str">
        <f>IFERROR(INDEX(vdata_regressors!$A$1:$L$2000,MATCH($A203,vdata_regressors!$A$2:$A$2000,0)+1,MATCH(L$2,vdata_regressors!$A$1:$R$1,0)),"")</f>
        <v/>
      </c>
      <c r="M203" s="23" t="str">
        <f>IFERROR(VLOOKUP(A203,vdata_hours!$A$2:$B$1000,2,FALSE),"")</f>
        <v/>
      </c>
    </row>
    <row r="204" spans="1:13" x14ac:dyDescent="0.25">
      <c r="A204" s="23" t="str">
        <f>IF(vdata_hours!A203=0,"",vdata_hours!A203)</f>
        <v/>
      </c>
      <c r="B204" s="23" t="str">
        <f>IFERROR(INDEX(vdata_regressors!$A$1:$L$2000,MATCH($A204,vdata_regressors!$A$2:$A$2000,0)+1,MATCH(B$2,vdata_regressors!$A$1:$R$1,0)),"")</f>
        <v/>
      </c>
      <c r="C204" s="23" t="str">
        <f>IFERROR(INDEX(vdata_regressors!$A$1:$L$2000,MATCH($A204,vdata_regressors!$A$2:$A$2000,0)+1,MATCH(C$2,vdata_regressors!$A$1:$R$1,0)),"")</f>
        <v/>
      </c>
      <c r="D204" s="23" t="str">
        <f>IFERROR(INDEX(vdata_regressors!$A$1:$L$2000,MATCH($A204,vdata_regressors!$A$2:$A$2000,0)+1,MATCH(D$2,vdata_regressors!$A$1:$R$1,0)),"")</f>
        <v/>
      </c>
      <c r="E204" s="23" t="str">
        <f>IFERROR(INDEX(vdata_regressors!$A$1:$L$2000,MATCH($A204,vdata_regressors!$A$2:$A$2000,0)+1,MATCH(E$2,vdata_regressors!$A$1:$R$1,0)),"")</f>
        <v/>
      </c>
      <c r="F204" s="23" t="str">
        <f>IFERROR(INDEX(vdata_regressors!$A$1:$L$2000,MATCH($A204,vdata_regressors!$A$2:$A$2000,0)+1,MATCH(F$2,vdata_regressors!$A$1:$R$1,0)),"")</f>
        <v/>
      </c>
      <c r="G204" s="23" t="str">
        <f>IFERROR(INDEX(vdata_regressors!$A$1:$L$2000,MATCH($A204,vdata_regressors!$A$2:$A$2000,0)+1,MATCH(G$2,vdata_regressors!$A$1:$R$1,0)),"")</f>
        <v/>
      </c>
      <c r="H204" s="23" t="str">
        <f>IFERROR(INDEX(vdata_regressors!$A$1:$L$2000,MATCH($A204,vdata_regressors!$A$2:$A$2000,0)+1,MATCH(H$2,vdata_regressors!$A$1:$R$1,0)),"")</f>
        <v/>
      </c>
      <c r="I204" s="23" t="str">
        <f>IFERROR(INDEX(vdata_regressors!$A$1:$L$2000,MATCH($A204,vdata_regressors!$A$2:$A$2000,0)+1,MATCH(I$2,vdata_regressors!$A$1:$R$1,0)),"")</f>
        <v/>
      </c>
      <c r="J204" s="23" t="str">
        <f>IFERROR(INDEX(vdata_regressors!$A$1:$L$2000,MATCH($A204,vdata_regressors!$A$2:$A$2000,0)+1,MATCH(J$2,vdata_regressors!$A$1:$R$1,0)),"")</f>
        <v/>
      </c>
      <c r="K204" s="23" t="str">
        <f>IFERROR(INDEX(vdata_regressors!$A$1:$L$2000,MATCH($A204,vdata_regressors!$A$2:$A$2000,0)+1,MATCH(K$2,vdata_regressors!$A$1:$R$1,0)),"")</f>
        <v/>
      </c>
      <c r="L204" s="23" t="str">
        <f>IFERROR(INDEX(vdata_regressors!$A$1:$L$2000,MATCH($A204,vdata_regressors!$A$2:$A$2000,0)+1,MATCH(L$2,vdata_regressors!$A$1:$R$1,0)),"")</f>
        <v/>
      </c>
      <c r="M204" s="23" t="str">
        <f>IFERROR(VLOOKUP(A204,vdata_hours!$A$2:$B$1000,2,FALSE),"")</f>
        <v/>
      </c>
    </row>
    <row r="205" spans="1:13" x14ac:dyDescent="0.25">
      <c r="A205" s="23" t="str">
        <f>IF(vdata_hours!A204=0,"",vdata_hours!A204)</f>
        <v/>
      </c>
      <c r="B205" s="23" t="str">
        <f>IFERROR(INDEX(vdata_regressors!$A$1:$L$2000,MATCH($A205,vdata_regressors!$A$2:$A$2000,0)+1,MATCH(B$2,vdata_regressors!$A$1:$R$1,0)),"")</f>
        <v/>
      </c>
      <c r="C205" s="23" t="str">
        <f>IFERROR(INDEX(vdata_regressors!$A$1:$L$2000,MATCH($A205,vdata_regressors!$A$2:$A$2000,0)+1,MATCH(C$2,vdata_regressors!$A$1:$R$1,0)),"")</f>
        <v/>
      </c>
      <c r="D205" s="23" t="str">
        <f>IFERROR(INDEX(vdata_regressors!$A$1:$L$2000,MATCH($A205,vdata_regressors!$A$2:$A$2000,0)+1,MATCH(D$2,vdata_regressors!$A$1:$R$1,0)),"")</f>
        <v/>
      </c>
      <c r="E205" s="23" t="str">
        <f>IFERROR(INDEX(vdata_regressors!$A$1:$L$2000,MATCH($A205,vdata_regressors!$A$2:$A$2000,0)+1,MATCH(E$2,vdata_regressors!$A$1:$R$1,0)),"")</f>
        <v/>
      </c>
      <c r="F205" s="23" t="str">
        <f>IFERROR(INDEX(vdata_regressors!$A$1:$L$2000,MATCH($A205,vdata_regressors!$A$2:$A$2000,0)+1,MATCH(F$2,vdata_regressors!$A$1:$R$1,0)),"")</f>
        <v/>
      </c>
      <c r="G205" s="23" t="str">
        <f>IFERROR(INDEX(vdata_regressors!$A$1:$L$2000,MATCH($A205,vdata_regressors!$A$2:$A$2000,0)+1,MATCH(G$2,vdata_regressors!$A$1:$R$1,0)),"")</f>
        <v/>
      </c>
      <c r="H205" s="23" t="str">
        <f>IFERROR(INDEX(vdata_regressors!$A$1:$L$2000,MATCH($A205,vdata_regressors!$A$2:$A$2000,0)+1,MATCH(H$2,vdata_regressors!$A$1:$R$1,0)),"")</f>
        <v/>
      </c>
      <c r="I205" s="23" t="str">
        <f>IFERROR(INDEX(vdata_regressors!$A$1:$L$2000,MATCH($A205,vdata_regressors!$A$2:$A$2000,0)+1,MATCH(I$2,vdata_regressors!$A$1:$R$1,0)),"")</f>
        <v/>
      </c>
      <c r="J205" s="23" t="str">
        <f>IFERROR(INDEX(vdata_regressors!$A$1:$L$2000,MATCH($A205,vdata_regressors!$A$2:$A$2000,0)+1,MATCH(J$2,vdata_regressors!$A$1:$R$1,0)),"")</f>
        <v/>
      </c>
      <c r="K205" s="23" t="str">
        <f>IFERROR(INDEX(vdata_regressors!$A$1:$L$2000,MATCH($A205,vdata_regressors!$A$2:$A$2000,0)+1,MATCH(K$2,vdata_regressors!$A$1:$R$1,0)),"")</f>
        <v/>
      </c>
      <c r="L205" s="23" t="str">
        <f>IFERROR(INDEX(vdata_regressors!$A$1:$L$2000,MATCH($A205,vdata_regressors!$A$2:$A$2000,0)+1,MATCH(L$2,vdata_regressors!$A$1:$R$1,0)),"")</f>
        <v/>
      </c>
      <c r="M205" s="23" t="str">
        <f>IFERROR(VLOOKUP(A205,vdata_hours!$A$2:$B$1000,2,FALSE),"")</f>
        <v/>
      </c>
    </row>
    <row r="206" spans="1:13" x14ac:dyDescent="0.25">
      <c r="A206" s="23" t="str">
        <f>IF(vdata_hours!A205=0,"",vdata_hours!A205)</f>
        <v/>
      </c>
      <c r="B206" s="23" t="str">
        <f>IFERROR(INDEX(vdata_regressors!$A$1:$L$2000,MATCH($A206,vdata_regressors!$A$2:$A$2000,0)+1,MATCH(B$2,vdata_regressors!$A$1:$R$1,0)),"")</f>
        <v/>
      </c>
      <c r="C206" s="23" t="str">
        <f>IFERROR(INDEX(vdata_regressors!$A$1:$L$2000,MATCH($A206,vdata_regressors!$A$2:$A$2000,0)+1,MATCH(C$2,vdata_regressors!$A$1:$R$1,0)),"")</f>
        <v/>
      </c>
      <c r="D206" s="23" t="str">
        <f>IFERROR(INDEX(vdata_regressors!$A$1:$L$2000,MATCH($A206,vdata_regressors!$A$2:$A$2000,0)+1,MATCH(D$2,vdata_regressors!$A$1:$R$1,0)),"")</f>
        <v/>
      </c>
      <c r="E206" s="23" t="str">
        <f>IFERROR(INDEX(vdata_regressors!$A$1:$L$2000,MATCH($A206,vdata_regressors!$A$2:$A$2000,0)+1,MATCH(E$2,vdata_regressors!$A$1:$R$1,0)),"")</f>
        <v/>
      </c>
      <c r="F206" s="23" t="str">
        <f>IFERROR(INDEX(vdata_regressors!$A$1:$L$2000,MATCH($A206,vdata_regressors!$A$2:$A$2000,0)+1,MATCH(F$2,vdata_regressors!$A$1:$R$1,0)),"")</f>
        <v/>
      </c>
      <c r="G206" s="23" t="str">
        <f>IFERROR(INDEX(vdata_regressors!$A$1:$L$2000,MATCH($A206,vdata_regressors!$A$2:$A$2000,0)+1,MATCH(G$2,vdata_regressors!$A$1:$R$1,0)),"")</f>
        <v/>
      </c>
      <c r="H206" s="23" t="str">
        <f>IFERROR(INDEX(vdata_regressors!$A$1:$L$2000,MATCH($A206,vdata_regressors!$A$2:$A$2000,0)+1,MATCH(H$2,vdata_regressors!$A$1:$R$1,0)),"")</f>
        <v/>
      </c>
      <c r="I206" s="23" t="str">
        <f>IFERROR(INDEX(vdata_regressors!$A$1:$L$2000,MATCH($A206,vdata_regressors!$A$2:$A$2000,0)+1,MATCH(I$2,vdata_regressors!$A$1:$R$1,0)),"")</f>
        <v/>
      </c>
      <c r="J206" s="23" t="str">
        <f>IFERROR(INDEX(vdata_regressors!$A$1:$L$2000,MATCH($A206,vdata_regressors!$A$2:$A$2000,0)+1,MATCH(J$2,vdata_regressors!$A$1:$R$1,0)),"")</f>
        <v/>
      </c>
      <c r="K206" s="23" t="str">
        <f>IFERROR(INDEX(vdata_regressors!$A$1:$L$2000,MATCH($A206,vdata_regressors!$A$2:$A$2000,0)+1,MATCH(K$2,vdata_regressors!$A$1:$R$1,0)),"")</f>
        <v/>
      </c>
      <c r="L206" s="23" t="str">
        <f>IFERROR(INDEX(vdata_regressors!$A$1:$L$2000,MATCH($A206,vdata_regressors!$A$2:$A$2000,0)+1,MATCH(L$2,vdata_regressors!$A$1:$R$1,0)),"")</f>
        <v/>
      </c>
      <c r="M206" s="23" t="str">
        <f>IFERROR(VLOOKUP(A206,vdata_hours!$A$2:$B$1000,2,FALSE),"")</f>
        <v/>
      </c>
    </row>
    <row r="207" spans="1:13" x14ac:dyDescent="0.25">
      <c r="A207" s="23" t="str">
        <f>IF(vdata_hours!A206=0,"",vdata_hours!A206)</f>
        <v/>
      </c>
      <c r="B207" s="23" t="str">
        <f>IFERROR(INDEX(vdata_regressors!$A$1:$L$2000,MATCH($A207,vdata_regressors!$A$2:$A$2000,0)+1,MATCH(B$2,vdata_regressors!$A$1:$R$1,0)),"")</f>
        <v/>
      </c>
      <c r="C207" s="23" t="str">
        <f>IFERROR(INDEX(vdata_regressors!$A$1:$L$2000,MATCH($A207,vdata_regressors!$A$2:$A$2000,0)+1,MATCH(C$2,vdata_regressors!$A$1:$R$1,0)),"")</f>
        <v/>
      </c>
      <c r="D207" s="23" t="str">
        <f>IFERROR(INDEX(vdata_regressors!$A$1:$L$2000,MATCH($A207,vdata_regressors!$A$2:$A$2000,0)+1,MATCH(D$2,vdata_regressors!$A$1:$R$1,0)),"")</f>
        <v/>
      </c>
      <c r="E207" s="23" t="str">
        <f>IFERROR(INDEX(vdata_regressors!$A$1:$L$2000,MATCH($A207,vdata_regressors!$A$2:$A$2000,0)+1,MATCH(E$2,vdata_regressors!$A$1:$R$1,0)),"")</f>
        <v/>
      </c>
      <c r="F207" s="23" t="str">
        <f>IFERROR(INDEX(vdata_regressors!$A$1:$L$2000,MATCH($A207,vdata_regressors!$A$2:$A$2000,0)+1,MATCH(F$2,vdata_regressors!$A$1:$R$1,0)),"")</f>
        <v/>
      </c>
      <c r="G207" s="23" t="str">
        <f>IFERROR(INDEX(vdata_regressors!$A$1:$L$2000,MATCH($A207,vdata_regressors!$A$2:$A$2000,0)+1,MATCH(G$2,vdata_regressors!$A$1:$R$1,0)),"")</f>
        <v/>
      </c>
      <c r="H207" s="23" t="str">
        <f>IFERROR(INDEX(vdata_regressors!$A$1:$L$2000,MATCH($A207,vdata_regressors!$A$2:$A$2000,0)+1,MATCH(H$2,vdata_regressors!$A$1:$R$1,0)),"")</f>
        <v/>
      </c>
      <c r="I207" s="23" t="str">
        <f>IFERROR(INDEX(vdata_regressors!$A$1:$L$2000,MATCH($A207,vdata_regressors!$A$2:$A$2000,0)+1,MATCH(I$2,vdata_regressors!$A$1:$R$1,0)),"")</f>
        <v/>
      </c>
      <c r="J207" s="23" t="str">
        <f>IFERROR(INDEX(vdata_regressors!$A$1:$L$2000,MATCH($A207,vdata_regressors!$A$2:$A$2000,0)+1,MATCH(J$2,vdata_regressors!$A$1:$R$1,0)),"")</f>
        <v/>
      </c>
      <c r="K207" s="23" t="str">
        <f>IFERROR(INDEX(vdata_regressors!$A$1:$L$2000,MATCH($A207,vdata_regressors!$A$2:$A$2000,0)+1,MATCH(K$2,vdata_regressors!$A$1:$R$1,0)),"")</f>
        <v/>
      </c>
      <c r="L207" s="23" t="str">
        <f>IFERROR(INDEX(vdata_regressors!$A$1:$L$2000,MATCH($A207,vdata_regressors!$A$2:$A$2000,0)+1,MATCH(L$2,vdata_regressors!$A$1:$R$1,0)),"")</f>
        <v/>
      </c>
      <c r="M207" s="23" t="str">
        <f>IFERROR(VLOOKUP(A207,vdata_hours!$A$2:$B$1000,2,FALSE),"")</f>
        <v/>
      </c>
    </row>
    <row r="208" spans="1:13" x14ac:dyDescent="0.25">
      <c r="A208" s="23" t="str">
        <f>IF(vdata_hours!A207=0,"",vdata_hours!A207)</f>
        <v/>
      </c>
      <c r="B208" s="23" t="str">
        <f>IFERROR(INDEX(vdata_regressors!$A$1:$L$2000,MATCH($A208,vdata_regressors!$A$2:$A$2000,0)+1,MATCH(B$2,vdata_regressors!$A$1:$R$1,0)),"")</f>
        <v/>
      </c>
      <c r="C208" s="23" t="str">
        <f>IFERROR(INDEX(vdata_regressors!$A$1:$L$2000,MATCH($A208,vdata_regressors!$A$2:$A$2000,0)+1,MATCH(C$2,vdata_regressors!$A$1:$R$1,0)),"")</f>
        <v/>
      </c>
      <c r="D208" s="23" t="str">
        <f>IFERROR(INDEX(vdata_regressors!$A$1:$L$2000,MATCH($A208,vdata_regressors!$A$2:$A$2000,0)+1,MATCH(D$2,vdata_regressors!$A$1:$R$1,0)),"")</f>
        <v/>
      </c>
      <c r="E208" s="23" t="str">
        <f>IFERROR(INDEX(vdata_regressors!$A$1:$L$2000,MATCH($A208,vdata_regressors!$A$2:$A$2000,0)+1,MATCH(E$2,vdata_regressors!$A$1:$R$1,0)),"")</f>
        <v/>
      </c>
      <c r="F208" s="23" t="str">
        <f>IFERROR(INDEX(vdata_regressors!$A$1:$L$2000,MATCH($A208,vdata_regressors!$A$2:$A$2000,0)+1,MATCH(F$2,vdata_regressors!$A$1:$R$1,0)),"")</f>
        <v/>
      </c>
      <c r="G208" s="23" t="str">
        <f>IFERROR(INDEX(vdata_regressors!$A$1:$L$2000,MATCH($A208,vdata_regressors!$A$2:$A$2000,0)+1,MATCH(G$2,vdata_regressors!$A$1:$R$1,0)),"")</f>
        <v/>
      </c>
      <c r="H208" s="23" t="str">
        <f>IFERROR(INDEX(vdata_regressors!$A$1:$L$2000,MATCH($A208,vdata_regressors!$A$2:$A$2000,0)+1,MATCH(H$2,vdata_regressors!$A$1:$R$1,0)),"")</f>
        <v/>
      </c>
      <c r="I208" s="23" t="str">
        <f>IFERROR(INDEX(vdata_regressors!$A$1:$L$2000,MATCH($A208,vdata_regressors!$A$2:$A$2000,0)+1,MATCH(I$2,vdata_regressors!$A$1:$R$1,0)),"")</f>
        <v/>
      </c>
      <c r="J208" s="23" t="str">
        <f>IFERROR(INDEX(vdata_regressors!$A$1:$L$2000,MATCH($A208,vdata_regressors!$A$2:$A$2000,0)+1,MATCH(J$2,vdata_regressors!$A$1:$R$1,0)),"")</f>
        <v/>
      </c>
      <c r="K208" s="23" t="str">
        <f>IFERROR(INDEX(vdata_regressors!$A$1:$L$2000,MATCH($A208,vdata_regressors!$A$2:$A$2000,0)+1,MATCH(K$2,vdata_regressors!$A$1:$R$1,0)),"")</f>
        <v/>
      </c>
      <c r="L208" s="23" t="str">
        <f>IFERROR(INDEX(vdata_regressors!$A$1:$L$2000,MATCH($A208,vdata_regressors!$A$2:$A$2000,0)+1,MATCH(L$2,vdata_regressors!$A$1:$R$1,0)),"")</f>
        <v/>
      </c>
      <c r="M208" s="23" t="str">
        <f>IFERROR(VLOOKUP(A208,vdata_hours!$A$2:$B$1000,2,FALSE),"")</f>
        <v/>
      </c>
    </row>
    <row r="209" spans="1:13" x14ac:dyDescent="0.25">
      <c r="A209" s="23" t="str">
        <f>IF(vdata_hours!A208=0,"",vdata_hours!A208)</f>
        <v/>
      </c>
      <c r="B209" s="23" t="str">
        <f>IFERROR(INDEX(vdata_regressors!$A$1:$L$2000,MATCH($A209,vdata_regressors!$A$2:$A$2000,0)+1,MATCH(B$2,vdata_regressors!$A$1:$R$1,0)),"")</f>
        <v/>
      </c>
      <c r="C209" s="23" t="str">
        <f>IFERROR(INDEX(vdata_regressors!$A$1:$L$2000,MATCH($A209,vdata_regressors!$A$2:$A$2000,0)+1,MATCH(C$2,vdata_regressors!$A$1:$R$1,0)),"")</f>
        <v/>
      </c>
      <c r="D209" s="23" t="str">
        <f>IFERROR(INDEX(vdata_regressors!$A$1:$L$2000,MATCH($A209,vdata_regressors!$A$2:$A$2000,0)+1,MATCH(D$2,vdata_regressors!$A$1:$R$1,0)),"")</f>
        <v/>
      </c>
      <c r="E209" s="23" t="str">
        <f>IFERROR(INDEX(vdata_regressors!$A$1:$L$2000,MATCH($A209,vdata_regressors!$A$2:$A$2000,0)+1,MATCH(E$2,vdata_regressors!$A$1:$R$1,0)),"")</f>
        <v/>
      </c>
      <c r="F209" s="23" t="str">
        <f>IFERROR(INDEX(vdata_regressors!$A$1:$L$2000,MATCH($A209,vdata_regressors!$A$2:$A$2000,0)+1,MATCH(F$2,vdata_regressors!$A$1:$R$1,0)),"")</f>
        <v/>
      </c>
      <c r="G209" s="23" t="str">
        <f>IFERROR(INDEX(vdata_regressors!$A$1:$L$2000,MATCH($A209,vdata_regressors!$A$2:$A$2000,0)+1,MATCH(G$2,vdata_regressors!$A$1:$R$1,0)),"")</f>
        <v/>
      </c>
      <c r="H209" s="23" t="str">
        <f>IFERROR(INDEX(vdata_regressors!$A$1:$L$2000,MATCH($A209,vdata_regressors!$A$2:$A$2000,0)+1,MATCH(H$2,vdata_regressors!$A$1:$R$1,0)),"")</f>
        <v/>
      </c>
      <c r="I209" s="23" t="str">
        <f>IFERROR(INDEX(vdata_regressors!$A$1:$L$2000,MATCH($A209,vdata_regressors!$A$2:$A$2000,0)+1,MATCH(I$2,vdata_regressors!$A$1:$R$1,0)),"")</f>
        <v/>
      </c>
      <c r="J209" s="23" t="str">
        <f>IFERROR(INDEX(vdata_regressors!$A$1:$L$2000,MATCH($A209,vdata_regressors!$A$2:$A$2000,0)+1,MATCH(J$2,vdata_regressors!$A$1:$R$1,0)),"")</f>
        <v/>
      </c>
      <c r="K209" s="23" t="str">
        <f>IFERROR(INDEX(vdata_regressors!$A$1:$L$2000,MATCH($A209,vdata_regressors!$A$2:$A$2000,0)+1,MATCH(K$2,vdata_regressors!$A$1:$R$1,0)),"")</f>
        <v/>
      </c>
      <c r="L209" s="23" t="str">
        <f>IFERROR(INDEX(vdata_regressors!$A$1:$L$2000,MATCH($A209,vdata_regressors!$A$2:$A$2000,0)+1,MATCH(L$2,vdata_regressors!$A$1:$R$1,0)),"")</f>
        <v/>
      </c>
      <c r="M209" s="23" t="str">
        <f>IFERROR(VLOOKUP(A209,vdata_hours!$A$2:$B$1000,2,FALSE),"")</f>
        <v/>
      </c>
    </row>
    <row r="210" spans="1:13" x14ac:dyDescent="0.25">
      <c r="A210" s="23" t="str">
        <f>IF(vdata_hours!A209=0,"",vdata_hours!A209)</f>
        <v/>
      </c>
      <c r="B210" s="23" t="str">
        <f>IFERROR(INDEX(vdata_regressors!$A$1:$L$2000,MATCH($A210,vdata_regressors!$A$2:$A$2000,0)+1,MATCH(B$2,vdata_regressors!$A$1:$R$1,0)),"")</f>
        <v/>
      </c>
      <c r="C210" s="23" t="str">
        <f>IFERROR(INDEX(vdata_regressors!$A$1:$L$2000,MATCH($A210,vdata_regressors!$A$2:$A$2000,0)+1,MATCH(C$2,vdata_regressors!$A$1:$R$1,0)),"")</f>
        <v/>
      </c>
      <c r="D210" s="23" t="str">
        <f>IFERROR(INDEX(vdata_regressors!$A$1:$L$2000,MATCH($A210,vdata_regressors!$A$2:$A$2000,0)+1,MATCH(D$2,vdata_regressors!$A$1:$R$1,0)),"")</f>
        <v/>
      </c>
      <c r="E210" s="23" t="str">
        <f>IFERROR(INDEX(vdata_regressors!$A$1:$L$2000,MATCH($A210,vdata_regressors!$A$2:$A$2000,0)+1,MATCH(E$2,vdata_regressors!$A$1:$R$1,0)),"")</f>
        <v/>
      </c>
      <c r="F210" s="23" t="str">
        <f>IFERROR(INDEX(vdata_regressors!$A$1:$L$2000,MATCH($A210,vdata_regressors!$A$2:$A$2000,0)+1,MATCH(F$2,vdata_regressors!$A$1:$R$1,0)),"")</f>
        <v/>
      </c>
      <c r="G210" s="23" t="str">
        <f>IFERROR(INDEX(vdata_regressors!$A$1:$L$2000,MATCH($A210,vdata_regressors!$A$2:$A$2000,0)+1,MATCH(G$2,vdata_regressors!$A$1:$R$1,0)),"")</f>
        <v/>
      </c>
      <c r="H210" s="23" t="str">
        <f>IFERROR(INDEX(vdata_regressors!$A$1:$L$2000,MATCH($A210,vdata_regressors!$A$2:$A$2000,0)+1,MATCH(H$2,vdata_regressors!$A$1:$R$1,0)),"")</f>
        <v/>
      </c>
      <c r="I210" s="23" t="str">
        <f>IFERROR(INDEX(vdata_regressors!$A$1:$L$2000,MATCH($A210,vdata_regressors!$A$2:$A$2000,0)+1,MATCH(I$2,vdata_regressors!$A$1:$R$1,0)),"")</f>
        <v/>
      </c>
      <c r="J210" s="23" t="str">
        <f>IFERROR(INDEX(vdata_regressors!$A$1:$L$2000,MATCH($A210,vdata_regressors!$A$2:$A$2000,0)+1,MATCH(J$2,vdata_regressors!$A$1:$R$1,0)),"")</f>
        <v/>
      </c>
      <c r="K210" s="23" t="str">
        <f>IFERROR(INDEX(vdata_regressors!$A$1:$L$2000,MATCH($A210,vdata_regressors!$A$2:$A$2000,0)+1,MATCH(K$2,vdata_regressors!$A$1:$R$1,0)),"")</f>
        <v/>
      </c>
      <c r="L210" s="23" t="str">
        <f>IFERROR(INDEX(vdata_regressors!$A$1:$L$2000,MATCH($A210,vdata_regressors!$A$2:$A$2000,0)+1,MATCH(L$2,vdata_regressors!$A$1:$R$1,0)),"")</f>
        <v/>
      </c>
      <c r="M210" s="23" t="str">
        <f>IFERROR(VLOOKUP(A210,vdata_hours!$A$2:$B$1000,2,FALSE),"")</f>
        <v/>
      </c>
    </row>
    <row r="211" spans="1:13" x14ac:dyDescent="0.25">
      <c r="A211" s="23" t="str">
        <f>IF(vdata_hours!A210=0,"",vdata_hours!A210)</f>
        <v/>
      </c>
      <c r="B211" s="23" t="str">
        <f>IFERROR(INDEX(vdata_regressors!$A$1:$L$2000,MATCH($A211,vdata_regressors!$A$2:$A$2000,0)+1,MATCH(B$2,vdata_regressors!$A$1:$R$1,0)),"")</f>
        <v/>
      </c>
      <c r="C211" s="23" t="str">
        <f>IFERROR(INDEX(vdata_regressors!$A$1:$L$2000,MATCH($A211,vdata_regressors!$A$2:$A$2000,0)+1,MATCH(C$2,vdata_regressors!$A$1:$R$1,0)),"")</f>
        <v/>
      </c>
      <c r="D211" s="23" t="str">
        <f>IFERROR(INDEX(vdata_regressors!$A$1:$L$2000,MATCH($A211,vdata_regressors!$A$2:$A$2000,0)+1,MATCH(D$2,vdata_regressors!$A$1:$R$1,0)),"")</f>
        <v/>
      </c>
      <c r="E211" s="23" t="str">
        <f>IFERROR(INDEX(vdata_regressors!$A$1:$L$2000,MATCH($A211,vdata_regressors!$A$2:$A$2000,0)+1,MATCH(E$2,vdata_regressors!$A$1:$R$1,0)),"")</f>
        <v/>
      </c>
      <c r="F211" s="23" t="str">
        <f>IFERROR(INDEX(vdata_regressors!$A$1:$L$2000,MATCH($A211,vdata_regressors!$A$2:$A$2000,0)+1,MATCH(F$2,vdata_regressors!$A$1:$R$1,0)),"")</f>
        <v/>
      </c>
      <c r="G211" s="23" t="str">
        <f>IFERROR(INDEX(vdata_regressors!$A$1:$L$2000,MATCH($A211,vdata_regressors!$A$2:$A$2000,0)+1,MATCH(G$2,vdata_regressors!$A$1:$R$1,0)),"")</f>
        <v/>
      </c>
      <c r="H211" s="23" t="str">
        <f>IFERROR(INDEX(vdata_regressors!$A$1:$L$2000,MATCH($A211,vdata_regressors!$A$2:$A$2000,0)+1,MATCH(H$2,vdata_regressors!$A$1:$R$1,0)),"")</f>
        <v/>
      </c>
      <c r="I211" s="23" t="str">
        <f>IFERROR(INDEX(vdata_regressors!$A$1:$L$2000,MATCH($A211,vdata_regressors!$A$2:$A$2000,0)+1,MATCH(I$2,vdata_regressors!$A$1:$R$1,0)),"")</f>
        <v/>
      </c>
      <c r="J211" s="23" t="str">
        <f>IFERROR(INDEX(vdata_regressors!$A$1:$L$2000,MATCH($A211,vdata_regressors!$A$2:$A$2000,0)+1,MATCH(J$2,vdata_regressors!$A$1:$R$1,0)),"")</f>
        <v/>
      </c>
      <c r="K211" s="23" t="str">
        <f>IFERROR(INDEX(vdata_regressors!$A$1:$L$2000,MATCH($A211,vdata_regressors!$A$2:$A$2000,0)+1,MATCH(K$2,vdata_regressors!$A$1:$R$1,0)),"")</f>
        <v/>
      </c>
      <c r="L211" s="23" t="str">
        <f>IFERROR(INDEX(vdata_regressors!$A$1:$L$2000,MATCH($A211,vdata_regressors!$A$2:$A$2000,0)+1,MATCH(L$2,vdata_regressors!$A$1:$R$1,0)),"")</f>
        <v/>
      </c>
      <c r="M211" s="23" t="str">
        <f>IFERROR(VLOOKUP(A211,vdata_hours!$A$2:$B$1000,2,FALSE),"")</f>
        <v/>
      </c>
    </row>
    <row r="212" spans="1:13" x14ac:dyDescent="0.25">
      <c r="A212" s="23" t="str">
        <f>IF(vdata_hours!A211=0,"",vdata_hours!A211)</f>
        <v/>
      </c>
      <c r="B212" s="23" t="str">
        <f>IFERROR(INDEX(vdata_regressors!$A$1:$L$2000,MATCH($A212,vdata_regressors!$A$2:$A$2000,0)+1,MATCH(B$2,vdata_regressors!$A$1:$R$1,0)),"")</f>
        <v/>
      </c>
      <c r="C212" s="23" t="str">
        <f>IFERROR(INDEX(vdata_regressors!$A$1:$L$2000,MATCH($A212,vdata_regressors!$A$2:$A$2000,0)+1,MATCH(C$2,vdata_regressors!$A$1:$R$1,0)),"")</f>
        <v/>
      </c>
      <c r="D212" s="23" t="str">
        <f>IFERROR(INDEX(vdata_regressors!$A$1:$L$2000,MATCH($A212,vdata_regressors!$A$2:$A$2000,0)+1,MATCH(D$2,vdata_regressors!$A$1:$R$1,0)),"")</f>
        <v/>
      </c>
      <c r="E212" s="23" t="str">
        <f>IFERROR(INDEX(vdata_regressors!$A$1:$L$2000,MATCH($A212,vdata_regressors!$A$2:$A$2000,0)+1,MATCH(E$2,vdata_regressors!$A$1:$R$1,0)),"")</f>
        <v/>
      </c>
      <c r="F212" s="23" t="str">
        <f>IFERROR(INDEX(vdata_regressors!$A$1:$L$2000,MATCH($A212,vdata_regressors!$A$2:$A$2000,0)+1,MATCH(F$2,vdata_regressors!$A$1:$R$1,0)),"")</f>
        <v/>
      </c>
      <c r="G212" s="23" t="str">
        <f>IFERROR(INDEX(vdata_regressors!$A$1:$L$2000,MATCH($A212,vdata_regressors!$A$2:$A$2000,0)+1,MATCH(G$2,vdata_regressors!$A$1:$R$1,0)),"")</f>
        <v/>
      </c>
      <c r="H212" s="23" t="str">
        <f>IFERROR(INDEX(vdata_regressors!$A$1:$L$2000,MATCH($A212,vdata_regressors!$A$2:$A$2000,0)+1,MATCH(H$2,vdata_regressors!$A$1:$R$1,0)),"")</f>
        <v/>
      </c>
      <c r="I212" s="23" t="str">
        <f>IFERROR(INDEX(vdata_regressors!$A$1:$L$2000,MATCH($A212,vdata_regressors!$A$2:$A$2000,0)+1,MATCH(I$2,vdata_regressors!$A$1:$R$1,0)),"")</f>
        <v/>
      </c>
      <c r="J212" s="23" t="str">
        <f>IFERROR(INDEX(vdata_regressors!$A$1:$L$2000,MATCH($A212,vdata_regressors!$A$2:$A$2000,0)+1,MATCH(J$2,vdata_regressors!$A$1:$R$1,0)),"")</f>
        <v/>
      </c>
      <c r="K212" s="23" t="str">
        <f>IFERROR(INDEX(vdata_regressors!$A$1:$L$2000,MATCH($A212,vdata_regressors!$A$2:$A$2000,0)+1,MATCH(K$2,vdata_regressors!$A$1:$R$1,0)),"")</f>
        <v/>
      </c>
      <c r="L212" s="23" t="str">
        <f>IFERROR(INDEX(vdata_regressors!$A$1:$L$2000,MATCH($A212,vdata_regressors!$A$2:$A$2000,0)+1,MATCH(L$2,vdata_regressors!$A$1:$R$1,0)),"")</f>
        <v/>
      </c>
      <c r="M212" s="23" t="str">
        <f>IFERROR(VLOOKUP(A212,vdata_hours!$A$2:$B$1000,2,FALSE),"")</f>
        <v/>
      </c>
    </row>
    <row r="213" spans="1:13" x14ac:dyDescent="0.25">
      <c r="A213" s="23" t="str">
        <f>IF(vdata_hours!A212=0,"",vdata_hours!A212)</f>
        <v/>
      </c>
      <c r="B213" s="23" t="str">
        <f>IFERROR(INDEX(vdata_regressors!$A$1:$L$2000,MATCH($A213,vdata_regressors!$A$2:$A$2000,0)+1,MATCH(B$2,vdata_regressors!$A$1:$R$1,0)),"")</f>
        <v/>
      </c>
      <c r="C213" s="23" t="str">
        <f>IFERROR(INDEX(vdata_regressors!$A$1:$L$2000,MATCH($A213,vdata_regressors!$A$2:$A$2000,0)+1,MATCH(C$2,vdata_regressors!$A$1:$R$1,0)),"")</f>
        <v/>
      </c>
      <c r="D213" s="23" t="str">
        <f>IFERROR(INDEX(vdata_regressors!$A$1:$L$2000,MATCH($A213,vdata_regressors!$A$2:$A$2000,0)+1,MATCH(D$2,vdata_regressors!$A$1:$R$1,0)),"")</f>
        <v/>
      </c>
      <c r="E213" s="23" t="str">
        <f>IFERROR(INDEX(vdata_regressors!$A$1:$L$2000,MATCH($A213,vdata_regressors!$A$2:$A$2000,0)+1,MATCH(E$2,vdata_regressors!$A$1:$R$1,0)),"")</f>
        <v/>
      </c>
      <c r="F213" s="23" t="str">
        <f>IFERROR(INDEX(vdata_regressors!$A$1:$L$2000,MATCH($A213,vdata_regressors!$A$2:$A$2000,0)+1,MATCH(F$2,vdata_regressors!$A$1:$R$1,0)),"")</f>
        <v/>
      </c>
      <c r="G213" s="23" t="str">
        <f>IFERROR(INDEX(vdata_regressors!$A$1:$L$2000,MATCH($A213,vdata_regressors!$A$2:$A$2000,0)+1,MATCH(G$2,vdata_regressors!$A$1:$R$1,0)),"")</f>
        <v/>
      </c>
      <c r="H213" s="23" t="str">
        <f>IFERROR(INDEX(vdata_regressors!$A$1:$L$2000,MATCH($A213,vdata_regressors!$A$2:$A$2000,0)+1,MATCH(H$2,vdata_regressors!$A$1:$R$1,0)),"")</f>
        <v/>
      </c>
      <c r="I213" s="23" t="str">
        <f>IFERROR(INDEX(vdata_regressors!$A$1:$L$2000,MATCH($A213,vdata_regressors!$A$2:$A$2000,0)+1,MATCH(I$2,vdata_regressors!$A$1:$R$1,0)),"")</f>
        <v/>
      </c>
      <c r="J213" s="23" t="str">
        <f>IFERROR(INDEX(vdata_regressors!$A$1:$L$2000,MATCH($A213,vdata_regressors!$A$2:$A$2000,0)+1,MATCH(J$2,vdata_regressors!$A$1:$R$1,0)),"")</f>
        <v/>
      </c>
      <c r="K213" s="23" t="str">
        <f>IFERROR(INDEX(vdata_regressors!$A$1:$L$2000,MATCH($A213,vdata_regressors!$A$2:$A$2000,0)+1,MATCH(K$2,vdata_regressors!$A$1:$R$1,0)),"")</f>
        <v/>
      </c>
      <c r="L213" s="23" t="str">
        <f>IFERROR(INDEX(vdata_regressors!$A$1:$L$2000,MATCH($A213,vdata_regressors!$A$2:$A$2000,0)+1,MATCH(L$2,vdata_regressors!$A$1:$R$1,0)),"")</f>
        <v/>
      </c>
      <c r="M213" s="23" t="str">
        <f>IFERROR(VLOOKUP(A213,vdata_hours!$A$2:$B$1000,2,FALSE),"")</f>
        <v/>
      </c>
    </row>
    <row r="214" spans="1:13" x14ac:dyDescent="0.25">
      <c r="A214" s="23" t="str">
        <f>IF(vdata_hours!A213=0,"",vdata_hours!A213)</f>
        <v/>
      </c>
      <c r="B214" s="23" t="str">
        <f>IFERROR(INDEX(vdata_regressors!$A$1:$L$2000,MATCH($A214,vdata_regressors!$A$2:$A$2000,0)+1,MATCH(B$2,vdata_regressors!$A$1:$R$1,0)),"")</f>
        <v/>
      </c>
      <c r="C214" s="23" t="str">
        <f>IFERROR(INDEX(vdata_regressors!$A$1:$L$2000,MATCH($A214,vdata_regressors!$A$2:$A$2000,0)+1,MATCH(C$2,vdata_regressors!$A$1:$R$1,0)),"")</f>
        <v/>
      </c>
      <c r="D214" s="23" t="str">
        <f>IFERROR(INDEX(vdata_regressors!$A$1:$L$2000,MATCH($A214,vdata_regressors!$A$2:$A$2000,0)+1,MATCH(D$2,vdata_regressors!$A$1:$R$1,0)),"")</f>
        <v/>
      </c>
      <c r="E214" s="23" t="str">
        <f>IFERROR(INDEX(vdata_regressors!$A$1:$L$2000,MATCH($A214,vdata_regressors!$A$2:$A$2000,0)+1,MATCH(E$2,vdata_regressors!$A$1:$R$1,0)),"")</f>
        <v/>
      </c>
      <c r="F214" s="23" t="str">
        <f>IFERROR(INDEX(vdata_regressors!$A$1:$L$2000,MATCH($A214,vdata_regressors!$A$2:$A$2000,0)+1,MATCH(F$2,vdata_regressors!$A$1:$R$1,0)),"")</f>
        <v/>
      </c>
      <c r="G214" s="23" t="str">
        <f>IFERROR(INDEX(vdata_regressors!$A$1:$L$2000,MATCH($A214,vdata_regressors!$A$2:$A$2000,0)+1,MATCH(G$2,vdata_regressors!$A$1:$R$1,0)),"")</f>
        <v/>
      </c>
      <c r="H214" s="23" t="str">
        <f>IFERROR(INDEX(vdata_regressors!$A$1:$L$2000,MATCH($A214,vdata_regressors!$A$2:$A$2000,0)+1,MATCH(H$2,vdata_regressors!$A$1:$R$1,0)),"")</f>
        <v/>
      </c>
      <c r="I214" s="23" t="str">
        <f>IFERROR(INDEX(vdata_regressors!$A$1:$L$2000,MATCH($A214,vdata_regressors!$A$2:$A$2000,0)+1,MATCH(I$2,vdata_regressors!$A$1:$R$1,0)),"")</f>
        <v/>
      </c>
      <c r="J214" s="23" t="str">
        <f>IFERROR(INDEX(vdata_regressors!$A$1:$L$2000,MATCH($A214,vdata_regressors!$A$2:$A$2000,0)+1,MATCH(J$2,vdata_regressors!$A$1:$R$1,0)),"")</f>
        <v/>
      </c>
      <c r="K214" s="23" t="str">
        <f>IFERROR(INDEX(vdata_regressors!$A$1:$L$2000,MATCH($A214,vdata_regressors!$A$2:$A$2000,0)+1,MATCH(K$2,vdata_regressors!$A$1:$R$1,0)),"")</f>
        <v/>
      </c>
      <c r="L214" s="23" t="str">
        <f>IFERROR(INDEX(vdata_regressors!$A$1:$L$2000,MATCH($A214,vdata_regressors!$A$2:$A$2000,0)+1,MATCH(L$2,vdata_regressors!$A$1:$R$1,0)),"")</f>
        <v/>
      </c>
      <c r="M214" s="23" t="str">
        <f>IFERROR(VLOOKUP(A214,vdata_hours!$A$2:$B$1000,2,FALSE),"")</f>
        <v/>
      </c>
    </row>
    <row r="215" spans="1:13" x14ac:dyDescent="0.25">
      <c r="A215" s="23" t="str">
        <f>IF(vdata_hours!A214=0,"",vdata_hours!A214)</f>
        <v/>
      </c>
      <c r="B215" s="23" t="str">
        <f>IFERROR(INDEX(vdata_regressors!$A$1:$L$2000,MATCH($A215,vdata_regressors!$A$2:$A$2000,0)+1,MATCH(B$2,vdata_regressors!$A$1:$R$1,0)),"")</f>
        <v/>
      </c>
      <c r="C215" s="23" t="str">
        <f>IFERROR(INDEX(vdata_regressors!$A$1:$L$2000,MATCH($A215,vdata_regressors!$A$2:$A$2000,0)+1,MATCH(C$2,vdata_regressors!$A$1:$R$1,0)),"")</f>
        <v/>
      </c>
      <c r="D215" s="23" t="str">
        <f>IFERROR(INDEX(vdata_regressors!$A$1:$L$2000,MATCH($A215,vdata_regressors!$A$2:$A$2000,0)+1,MATCH(D$2,vdata_regressors!$A$1:$R$1,0)),"")</f>
        <v/>
      </c>
      <c r="E215" s="23" t="str">
        <f>IFERROR(INDEX(vdata_regressors!$A$1:$L$2000,MATCH($A215,vdata_regressors!$A$2:$A$2000,0)+1,MATCH(E$2,vdata_regressors!$A$1:$R$1,0)),"")</f>
        <v/>
      </c>
      <c r="F215" s="23" t="str">
        <f>IFERROR(INDEX(vdata_regressors!$A$1:$L$2000,MATCH($A215,vdata_regressors!$A$2:$A$2000,0)+1,MATCH(F$2,vdata_regressors!$A$1:$R$1,0)),"")</f>
        <v/>
      </c>
      <c r="G215" s="23" t="str">
        <f>IFERROR(INDEX(vdata_regressors!$A$1:$L$2000,MATCH($A215,vdata_regressors!$A$2:$A$2000,0)+1,MATCH(G$2,vdata_regressors!$A$1:$R$1,0)),"")</f>
        <v/>
      </c>
      <c r="H215" s="23" t="str">
        <f>IFERROR(INDEX(vdata_regressors!$A$1:$L$2000,MATCH($A215,vdata_regressors!$A$2:$A$2000,0)+1,MATCH(H$2,vdata_regressors!$A$1:$R$1,0)),"")</f>
        <v/>
      </c>
      <c r="I215" s="23" t="str">
        <f>IFERROR(INDEX(vdata_regressors!$A$1:$L$2000,MATCH($A215,vdata_regressors!$A$2:$A$2000,0)+1,MATCH(I$2,vdata_regressors!$A$1:$R$1,0)),"")</f>
        <v/>
      </c>
      <c r="J215" s="23" t="str">
        <f>IFERROR(INDEX(vdata_regressors!$A$1:$L$2000,MATCH($A215,vdata_regressors!$A$2:$A$2000,0)+1,MATCH(J$2,vdata_regressors!$A$1:$R$1,0)),"")</f>
        <v/>
      </c>
      <c r="K215" s="23" t="str">
        <f>IFERROR(INDEX(vdata_regressors!$A$1:$L$2000,MATCH($A215,vdata_regressors!$A$2:$A$2000,0)+1,MATCH(K$2,vdata_regressors!$A$1:$R$1,0)),"")</f>
        <v/>
      </c>
      <c r="L215" s="23" t="str">
        <f>IFERROR(INDEX(vdata_regressors!$A$1:$L$2000,MATCH($A215,vdata_regressors!$A$2:$A$2000,0)+1,MATCH(L$2,vdata_regressors!$A$1:$R$1,0)),"")</f>
        <v/>
      </c>
      <c r="M215" s="23" t="str">
        <f>IFERROR(VLOOKUP(A215,vdata_hours!$A$2:$B$1000,2,FALSE),"")</f>
        <v/>
      </c>
    </row>
    <row r="216" spans="1:13" x14ac:dyDescent="0.25">
      <c r="A216" s="23" t="str">
        <f>IF(vdata_hours!A215=0,"",vdata_hours!A215)</f>
        <v/>
      </c>
      <c r="B216" s="23" t="str">
        <f>IFERROR(INDEX(vdata_regressors!$A$1:$L$2000,MATCH($A216,vdata_regressors!$A$2:$A$2000,0)+1,MATCH(B$2,vdata_regressors!$A$1:$R$1,0)),"")</f>
        <v/>
      </c>
      <c r="C216" s="23" t="str">
        <f>IFERROR(INDEX(vdata_regressors!$A$1:$L$2000,MATCH($A216,vdata_regressors!$A$2:$A$2000,0)+1,MATCH(C$2,vdata_regressors!$A$1:$R$1,0)),"")</f>
        <v/>
      </c>
      <c r="D216" s="23" t="str">
        <f>IFERROR(INDEX(vdata_regressors!$A$1:$L$2000,MATCH($A216,vdata_regressors!$A$2:$A$2000,0)+1,MATCH(D$2,vdata_regressors!$A$1:$R$1,0)),"")</f>
        <v/>
      </c>
      <c r="E216" s="23" t="str">
        <f>IFERROR(INDEX(vdata_regressors!$A$1:$L$2000,MATCH($A216,vdata_regressors!$A$2:$A$2000,0)+1,MATCH(E$2,vdata_regressors!$A$1:$R$1,0)),"")</f>
        <v/>
      </c>
      <c r="F216" s="23" t="str">
        <f>IFERROR(INDEX(vdata_regressors!$A$1:$L$2000,MATCH($A216,vdata_regressors!$A$2:$A$2000,0)+1,MATCH(F$2,vdata_regressors!$A$1:$R$1,0)),"")</f>
        <v/>
      </c>
      <c r="G216" s="23" t="str">
        <f>IFERROR(INDEX(vdata_regressors!$A$1:$L$2000,MATCH($A216,vdata_regressors!$A$2:$A$2000,0)+1,MATCH(G$2,vdata_regressors!$A$1:$R$1,0)),"")</f>
        <v/>
      </c>
      <c r="H216" s="23" t="str">
        <f>IFERROR(INDEX(vdata_regressors!$A$1:$L$2000,MATCH($A216,vdata_regressors!$A$2:$A$2000,0)+1,MATCH(H$2,vdata_regressors!$A$1:$R$1,0)),"")</f>
        <v/>
      </c>
      <c r="I216" s="23" t="str">
        <f>IFERROR(INDEX(vdata_regressors!$A$1:$L$2000,MATCH($A216,vdata_regressors!$A$2:$A$2000,0)+1,MATCH(I$2,vdata_regressors!$A$1:$R$1,0)),"")</f>
        <v/>
      </c>
      <c r="J216" s="23" t="str">
        <f>IFERROR(INDEX(vdata_regressors!$A$1:$L$2000,MATCH($A216,vdata_regressors!$A$2:$A$2000,0)+1,MATCH(J$2,vdata_regressors!$A$1:$R$1,0)),"")</f>
        <v/>
      </c>
      <c r="K216" s="23" t="str">
        <f>IFERROR(INDEX(vdata_regressors!$A$1:$L$2000,MATCH($A216,vdata_regressors!$A$2:$A$2000,0)+1,MATCH(K$2,vdata_regressors!$A$1:$R$1,0)),"")</f>
        <v/>
      </c>
      <c r="L216" s="23" t="str">
        <f>IFERROR(INDEX(vdata_regressors!$A$1:$L$2000,MATCH($A216,vdata_regressors!$A$2:$A$2000,0)+1,MATCH(L$2,vdata_regressors!$A$1:$R$1,0)),"")</f>
        <v/>
      </c>
      <c r="M216" s="23" t="str">
        <f>IFERROR(VLOOKUP(A216,vdata_hours!$A$2:$B$1000,2,FALSE),"")</f>
        <v/>
      </c>
    </row>
    <row r="217" spans="1:13" x14ac:dyDescent="0.25">
      <c r="A217" s="23" t="str">
        <f>IF(vdata_hours!A216=0,"",vdata_hours!A216)</f>
        <v/>
      </c>
      <c r="B217" s="23" t="str">
        <f>IFERROR(INDEX(vdata_regressors!$A$1:$L$2000,MATCH($A217,vdata_regressors!$A$2:$A$2000,0)+1,MATCH(B$2,vdata_regressors!$A$1:$R$1,0)),"")</f>
        <v/>
      </c>
      <c r="C217" s="23" t="str">
        <f>IFERROR(INDEX(vdata_regressors!$A$1:$L$2000,MATCH($A217,vdata_regressors!$A$2:$A$2000,0)+1,MATCH(C$2,vdata_regressors!$A$1:$R$1,0)),"")</f>
        <v/>
      </c>
      <c r="D217" s="23" t="str">
        <f>IFERROR(INDEX(vdata_regressors!$A$1:$L$2000,MATCH($A217,vdata_regressors!$A$2:$A$2000,0)+1,MATCH(D$2,vdata_regressors!$A$1:$R$1,0)),"")</f>
        <v/>
      </c>
      <c r="E217" s="23" t="str">
        <f>IFERROR(INDEX(vdata_regressors!$A$1:$L$2000,MATCH($A217,vdata_regressors!$A$2:$A$2000,0)+1,MATCH(E$2,vdata_regressors!$A$1:$R$1,0)),"")</f>
        <v/>
      </c>
      <c r="F217" s="23" t="str">
        <f>IFERROR(INDEX(vdata_regressors!$A$1:$L$2000,MATCH($A217,vdata_regressors!$A$2:$A$2000,0)+1,MATCH(F$2,vdata_regressors!$A$1:$R$1,0)),"")</f>
        <v/>
      </c>
      <c r="G217" s="23" t="str">
        <f>IFERROR(INDEX(vdata_regressors!$A$1:$L$2000,MATCH($A217,vdata_regressors!$A$2:$A$2000,0)+1,MATCH(G$2,vdata_regressors!$A$1:$R$1,0)),"")</f>
        <v/>
      </c>
      <c r="H217" s="23" t="str">
        <f>IFERROR(INDEX(vdata_regressors!$A$1:$L$2000,MATCH($A217,vdata_regressors!$A$2:$A$2000,0)+1,MATCH(H$2,vdata_regressors!$A$1:$R$1,0)),"")</f>
        <v/>
      </c>
      <c r="I217" s="23" t="str">
        <f>IFERROR(INDEX(vdata_regressors!$A$1:$L$2000,MATCH($A217,vdata_regressors!$A$2:$A$2000,0)+1,MATCH(I$2,vdata_regressors!$A$1:$R$1,0)),"")</f>
        <v/>
      </c>
      <c r="J217" s="23" t="str">
        <f>IFERROR(INDEX(vdata_regressors!$A$1:$L$2000,MATCH($A217,vdata_regressors!$A$2:$A$2000,0)+1,MATCH(J$2,vdata_regressors!$A$1:$R$1,0)),"")</f>
        <v/>
      </c>
      <c r="K217" s="23" t="str">
        <f>IFERROR(INDEX(vdata_regressors!$A$1:$L$2000,MATCH($A217,vdata_regressors!$A$2:$A$2000,0)+1,MATCH(K$2,vdata_regressors!$A$1:$R$1,0)),"")</f>
        <v/>
      </c>
      <c r="L217" s="23" t="str">
        <f>IFERROR(INDEX(vdata_regressors!$A$1:$L$2000,MATCH($A217,vdata_regressors!$A$2:$A$2000,0)+1,MATCH(L$2,vdata_regressors!$A$1:$R$1,0)),"")</f>
        <v/>
      </c>
      <c r="M217" s="23" t="str">
        <f>IFERROR(VLOOKUP(A217,vdata_hours!$A$2:$B$1000,2,FALSE),"")</f>
        <v/>
      </c>
    </row>
    <row r="218" spans="1:13" x14ac:dyDescent="0.25">
      <c r="A218" s="23" t="str">
        <f>IF(vdata_hours!A217=0,"",vdata_hours!A217)</f>
        <v/>
      </c>
      <c r="B218" s="23" t="str">
        <f>IFERROR(INDEX(vdata_regressors!$A$1:$L$2000,MATCH($A218,vdata_regressors!$A$2:$A$2000,0)+1,MATCH(B$2,vdata_regressors!$A$1:$R$1,0)),"")</f>
        <v/>
      </c>
      <c r="C218" s="23" t="str">
        <f>IFERROR(INDEX(vdata_regressors!$A$1:$L$2000,MATCH($A218,vdata_regressors!$A$2:$A$2000,0)+1,MATCH(C$2,vdata_regressors!$A$1:$R$1,0)),"")</f>
        <v/>
      </c>
      <c r="D218" s="23" t="str">
        <f>IFERROR(INDEX(vdata_regressors!$A$1:$L$2000,MATCH($A218,vdata_regressors!$A$2:$A$2000,0)+1,MATCH(D$2,vdata_regressors!$A$1:$R$1,0)),"")</f>
        <v/>
      </c>
      <c r="E218" s="23" t="str">
        <f>IFERROR(INDEX(vdata_regressors!$A$1:$L$2000,MATCH($A218,vdata_regressors!$A$2:$A$2000,0)+1,MATCH(E$2,vdata_regressors!$A$1:$R$1,0)),"")</f>
        <v/>
      </c>
      <c r="F218" s="23" t="str">
        <f>IFERROR(INDEX(vdata_regressors!$A$1:$L$2000,MATCH($A218,vdata_regressors!$A$2:$A$2000,0)+1,MATCH(F$2,vdata_regressors!$A$1:$R$1,0)),"")</f>
        <v/>
      </c>
      <c r="G218" s="23" t="str">
        <f>IFERROR(INDEX(vdata_regressors!$A$1:$L$2000,MATCH($A218,vdata_regressors!$A$2:$A$2000,0)+1,MATCH(G$2,vdata_regressors!$A$1:$R$1,0)),"")</f>
        <v/>
      </c>
      <c r="H218" s="23" t="str">
        <f>IFERROR(INDEX(vdata_regressors!$A$1:$L$2000,MATCH($A218,vdata_regressors!$A$2:$A$2000,0)+1,MATCH(H$2,vdata_regressors!$A$1:$R$1,0)),"")</f>
        <v/>
      </c>
      <c r="I218" s="23" t="str">
        <f>IFERROR(INDEX(vdata_regressors!$A$1:$L$2000,MATCH($A218,vdata_regressors!$A$2:$A$2000,0)+1,MATCH(I$2,vdata_regressors!$A$1:$R$1,0)),"")</f>
        <v/>
      </c>
      <c r="J218" s="23" t="str">
        <f>IFERROR(INDEX(vdata_regressors!$A$1:$L$2000,MATCH($A218,vdata_regressors!$A$2:$A$2000,0)+1,MATCH(J$2,vdata_regressors!$A$1:$R$1,0)),"")</f>
        <v/>
      </c>
      <c r="K218" s="23" t="str">
        <f>IFERROR(INDEX(vdata_regressors!$A$1:$L$2000,MATCH($A218,vdata_regressors!$A$2:$A$2000,0)+1,MATCH(K$2,vdata_regressors!$A$1:$R$1,0)),"")</f>
        <v/>
      </c>
      <c r="L218" s="23" t="str">
        <f>IFERROR(INDEX(vdata_regressors!$A$1:$L$2000,MATCH($A218,vdata_regressors!$A$2:$A$2000,0)+1,MATCH(L$2,vdata_regressors!$A$1:$R$1,0)),"")</f>
        <v/>
      </c>
      <c r="M218" s="23" t="str">
        <f>IFERROR(VLOOKUP(A218,vdata_hours!$A$2:$B$1000,2,FALSE),"")</f>
        <v/>
      </c>
    </row>
    <row r="219" spans="1:13" x14ac:dyDescent="0.25">
      <c r="A219" s="23" t="str">
        <f>IF(vdata_hours!A218=0,"",vdata_hours!A218)</f>
        <v/>
      </c>
      <c r="B219" s="23" t="str">
        <f>IFERROR(INDEX(vdata_regressors!$A$1:$L$2000,MATCH($A219,vdata_regressors!$A$2:$A$2000,0)+1,MATCH(B$2,vdata_regressors!$A$1:$R$1,0)),"")</f>
        <v/>
      </c>
      <c r="C219" s="23" t="str">
        <f>IFERROR(INDEX(vdata_regressors!$A$1:$L$2000,MATCH($A219,vdata_regressors!$A$2:$A$2000,0)+1,MATCH(C$2,vdata_regressors!$A$1:$R$1,0)),"")</f>
        <v/>
      </c>
      <c r="D219" s="23" t="str">
        <f>IFERROR(INDEX(vdata_regressors!$A$1:$L$2000,MATCH($A219,vdata_regressors!$A$2:$A$2000,0)+1,MATCH(D$2,vdata_regressors!$A$1:$R$1,0)),"")</f>
        <v/>
      </c>
      <c r="E219" s="23" t="str">
        <f>IFERROR(INDEX(vdata_regressors!$A$1:$L$2000,MATCH($A219,vdata_regressors!$A$2:$A$2000,0)+1,MATCH(E$2,vdata_regressors!$A$1:$R$1,0)),"")</f>
        <v/>
      </c>
      <c r="F219" s="23" t="str">
        <f>IFERROR(INDEX(vdata_regressors!$A$1:$L$2000,MATCH($A219,vdata_regressors!$A$2:$A$2000,0)+1,MATCH(F$2,vdata_regressors!$A$1:$R$1,0)),"")</f>
        <v/>
      </c>
      <c r="G219" s="23" t="str">
        <f>IFERROR(INDEX(vdata_regressors!$A$1:$L$2000,MATCH($A219,vdata_regressors!$A$2:$A$2000,0)+1,MATCH(G$2,vdata_regressors!$A$1:$R$1,0)),"")</f>
        <v/>
      </c>
      <c r="H219" s="23" t="str">
        <f>IFERROR(INDEX(vdata_regressors!$A$1:$L$2000,MATCH($A219,vdata_regressors!$A$2:$A$2000,0)+1,MATCH(H$2,vdata_regressors!$A$1:$R$1,0)),"")</f>
        <v/>
      </c>
      <c r="I219" s="23" t="str">
        <f>IFERROR(INDEX(vdata_regressors!$A$1:$L$2000,MATCH($A219,vdata_regressors!$A$2:$A$2000,0)+1,MATCH(I$2,vdata_regressors!$A$1:$R$1,0)),"")</f>
        <v/>
      </c>
      <c r="J219" s="23" t="str">
        <f>IFERROR(INDEX(vdata_regressors!$A$1:$L$2000,MATCH($A219,vdata_regressors!$A$2:$A$2000,0)+1,MATCH(J$2,vdata_regressors!$A$1:$R$1,0)),"")</f>
        <v/>
      </c>
      <c r="K219" s="23" t="str">
        <f>IFERROR(INDEX(vdata_regressors!$A$1:$L$2000,MATCH($A219,vdata_regressors!$A$2:$A$2000,0)+1,MATCH(K$2,vdata_regressors!$A$1:$R$1,0)),"")</f>
        <v/>
      </c>
      <c r="L219" s="23" t="str">
        <f>IFERROR(INDEX(vdata_regressors!$A$1:$L$2000,MATCH($A219,vdata_regressors!$A$2:$A$2000,0)+1,MATCH(L$2,vdata_regressors!$A$1:$R$1,0)),"")</f>
        <v/>
      </c>
      <c r="M219" s="23" t="str">
        <f>IFERROR(VLOOKUP(A219,vdata_hours!$A$2:$B$1000,2,FALSE),"")</f>
        <v/>
      </c>
    </row>
    <row r="220" spans="1:13" x14ac:dyDescent="0.25">
      <c r="A220" s="23" t="str">
        <f>IF(vdata_hours!A219=0,"",vdata_hours!A219)</f>
        <v/>
      </c>
      <c r="B220" s="23" t="str">
        <f>IFERROR(INDEX(vdata_regressors!$A$1:$L$2000,MATCH($A220,vdata_regressors!$A$2:$A$2000,0)+1,MATCH(B$2,vdata_regressors!$A$1:$R$1,0)),"")</f>
        <v/>
      </c>
      <c r="C220" s="23" t="str">
        <f>IFERROR(INDEX(vdata_regressors!$A$1:$L$2000,MATCH($A220,vdata_regressors!$A$2:$A$2000,0)+1,MATCH(C$2,vdata_regressors!$A$1:$R$1,0)),"")</f>
        <v/>
      </c>
      <c r="D220" s="23" t="str">
        <f>IFERROR(INDEX(vdata_regressors!$A$1:$L$2000,MATCH($A220,vdata_regressors!$A$2:$A$2000,0)+1,MATCH(D$2,vdata_regressors!$A$1:$R$1,0)),"")</f>
        <v/>
      </c>
      <c r="E220" s="23" t="str">
        <f>IFERROR(INDEX(vdata_regressors!$A$1:$L$2000,MATCH($A220,vdata_regressors!$A$2:$A$2000,0)+1,MATCH(E$2,vdata_regressors!$A$1:$R$1,0)),"")</f>
        <v/>
      </c>
      <c r="F220" s="23" t="str">
        <f>IFERROR(INDEX(vdata_regressors!$A$1:$L$2000,MATCH($A220,vdata_regressors!$A$2:$A$2000,0)+1,MATCH(F$2,vdata_regressors!$A$1:$R$1,0)),"")</f>
        <v/>
      </c>
      <c r="G220" s="23" t="str">
        <f>IFERROR(INDEX(vdata_regressors!$A$1:$L$2000,MATCH($A220,vdata_regressors!$A$2:$A$2000,0)+1,MATCH(G$2,vdata_regressors!$A$1:$R$1,0)),"")</f>
        <v/>
      </c>
      <c r="H220" s="23" t="str">
        <f>IFERROR(INDEX(vdata_regressors!$A$1:$L$2000,MATCH($A220,vdata_regressors!$A$2:$A$2000,0)+1,MATCH(H$2,vdata_regressors!$A$1:$R$1,0)),"")</f>
        <v/>
      </c>
      <c r="I220" s="23" t="str">
        <f>IFERROR(INDEX(vdata_regressors!$A$1:$L$2000,MATCH($A220,vdata_regressors!$A$2:$A$2000,0)+1,MATCH(I$2,vdata_regressors!$A$1:$R$1,0)),"")</f>
        <v/>
      </c>
      <c r="J220" s="23" t="str">
        <f>IFERROR(INDEX(vdata_regressors!$A$1:$L$2000,MATCH($A220,vdata_regressors!$A$2:$A$2000,0)+1,MATCH(J$2,vdata_regressors!$A$1:$R$1,0)),"")</f>
        <v/>
      </c>
      <c r="K220" s="23" t="str">
        <f>IFERROR(INDEX(vdata_regressors!$A$1:$L$2000,MATCH($A220,vdata_regressors!$A$2:$A$2000,0)+1,MATCH(K$2,vdata_regressors!$A$1:$R$1,0)),"")</f>
        <v/>
      </c>
      <c r="L220" s="23" t="str">
        <f>IFERROR(INDEX(vdata_regressors!$A$1:$L$2000,MATCH($A220,vdata_regressors!$A$2:$A$2000,0)+1,MATCH(L$2,vdata_regressors!$A$1:$R$1,0)),"")</f>
        <v/>
      </c>
      <c r="M220" s="23" t="str">
        <f>IFERROR(VLOOKUP(A220,vdata_hours!$A$2:$B$1000,2,FALSE),"")</f>
        <v/>
      </c>
    </row>
    <row r="221" spans="1:13" x14ac:dyDescent="0.25">
      <c r="A221" s="23" t="str">
        <f>IF(vdata_hours!A220=0,"",vdata_hours!A220)</f>
        <v/>
      </c>
      <c r="B221" s="23" t="str">
        <f>IFERROR(INDEX(vdata_regressors!$A$1:$L$2000,MATCH($A221,vdata_regressors!$A$2:$A$2000,0)+1,MATCH(B$2,vdata_regressors!$A$1:$R$1,0)),"")</f>
        <v/>
      </c>
      <c r="C221" s="23" t="str">
        <f>IFERROR(INDEX(vdata_regressors!$A$1:$L$2000,MATCH($A221,vdata_regressors!$A$2:$A$2000,0)+1,MATCH(C$2,vdata_regressors!$A$1:$R$1,0)),"")</f>
        <v/>
      </c>
      <c r="D221" s="23" t="str">
        <f>IFERROR(INDEX(vdata_regressors!$A$1:$L$2000,MATCH($A221,vdata_regressors!$A$2:$A$2000,0)+1,MATCH(D$2,vdata_regressors!$A$1:$R$1,0)),"")</f>
        <v/>
      </c>
      <c r="E221" s="23" t="str">
        <f>IFERROR(INDEX(vdata_regressors!$A$1:$L$2000,MATCH($A221,vdata_regressors!$A$2:$A$2000,0)+1,MATCH(E$2,vdata_regressors!$A$1:$R$1,0)),"")</f>
        <v/>
      </c>
      <c r="F221" s="23" t="str">
        <f>IFERROR(INDEX(vdata_regressors!$A$1:$L$2000,MATCH($A221,vdata_regressors!$A$2:$A$2000,0)+1,MATCH(F$2,vdata_regressors!$A$1:$R$1,0)),"")</f>
        <v/>
      </c>
      <c r="G221" s="23" t="str">
        <f>IFERROR(INDEX(vdata_regressors!$A$1:$L$2000,MATCH($A221,vdata_regressors!$A$2:$A$2000,0)+1,MATCH(G$2,vdata_regressors!$A$1:$R$1,0)),"")</f>
        <v/>
      </c>
      <c r="H221" s="23" t="str">
        <f>IFERROR(INDEX(vdata_regressors!$A$1:$L$2000,MATCH($A221,vdata_regressors!$A$2:$A$2000,0)+1,MATCH(H$2,vdata_regressors!$A$1:$R$1,0)),"")</f>
        <v/>
      </c>
      <c r="I221" s="23" t="str">
        <f>IFERROR(INDEX(vdata_regressors!$A$1:$L$2000,MATCH($A221,vdata_regressors!$A$2:$A$2000,0)+1,MATCH(I$2,vdata_regressors!$A$1:$R$1,0)),"")</f>
        <v/>
      </c>
      <c r="J221" s="23" t="str">
        <f>IFERROR(INDEX(vdata_regressors!$A$1:$L$2000,MATCH($A221,vdata_regressors!$A$2:$A$2000,0)+1,MATCH(J$2,vdata_regressors!$A$1:$R$1,0)),"")</f>
        <v/>
      </c>
      <c r="K221" s="23" t="str">
        <f>IFERROR(INDEX(vdata_regressors!$A$1:$L$2000,MATCH($A221,vdata_regressors!$A$2:$A$2000,0)+1,MATCH(K$2,vdata_regressors!$A$1:$R$1,0)),"")</f>
        <v/>
      </c>
      <c r="L221" s="23" t="str">
        <f>IFERROR(INDEX(vdata_regressors!$A$1:$L$2000,MATCH($A221,vdata_regressors!$A$2:$A$2000,0)+1,MATCH(L$2,vdata_regressors!$A$1:$R$1,0)),"")</f>
        <v/>
      </c>
      <c r="M221" s="23" t="str">
        <f>IFERROR(VLOOKUP(A221,vdata_hours!$A$2:$B$1000,2,FALSE),"")</f>
        <v/>
      </c>
    </row>
    <row r="222" spans="1:13" x14ac:dyDescent="0.25">
      <c r="A222" s="23" t="str">
        <f>IF(vdata_hours!A221=0,"",vdata_hours!A221)</f>
        <v/>
      </c>
      <c r="B222" s="23" t="str">
        <f>IFERROR(INDEX(vdata_regressors!$A$1:$L$2000,MATCH($A222,vdata_regressors!$A$2:$A$2000,0)+1,MATCH(B$2,vdata_regressors!$A$1:$R$1,0)),"")</f>
        <v/>
      </c>
      <c r="C222" s="23" t="str">
        <f>IFERROR(INDEX(vdata_regressors!$A$1:$L$2000,MATCH($A222,vdata_regressors!$A$2:$A$2000,0)+1,MATCH(C$2,vdata_regressors!$A$1:$R$1,0)),"")</f>
        <v/>
      </c>
      <c r="D222" s="23" t="str">
        <f>IFERROR(INDEX(vdata_regressors!$A$1:$L$2000,MATCH($A222,vdata_regressors!$A$2:$A$2000,0)+1,MATCH(D$2,vdata_regressors!$A$1:$R$1,0)),"")</f>
        <v/>
      </c>
      <c r="E222" s="23" t="str">
        <f>IFERROR(INDEX(vdata_regressors!$A$1:$L$2000,MATCH($A222,vdata_regressors!$A$2:$A$2000,0)+1,MATCH(E$2,vdata_regressors!$A$1:$R$1,0)),"")</f>
        <v/>
      </c>
      <c r="F222" s="23" t="str">
        <f>IFERROR(INDEX(vdata_regressors!$A$1:$L$2000,MATCH($A222,vdata_regressors!$A$2:$A$2000,0)+1,MATCH(F$2,vdata_regressors!$A$1:$R$1,0)),"")</f>
        <v/>
      </c>
      <c r="G222" s="23" t="str">
        <f>IFERROR(INDEX(vdata_regressors!$A$1:$L$2000,MATCH($A222,vdata_regressors!$A$2:$A$2000,0)+1,MATCH(G$2,vdata_regressors!$A$1:$R$1,0)),"")</f>
        <v/>
      </c>
      <c r="H222" s="23" t="str">
        <f>IFERROR(INDEX(vdata_regressors!$A$1:$L$2000,MATCH($A222,vdata_regressors!$A$2:$A$2000,0)+1,MATCH(H$2,vdata_regressors!$A$1:$R$1,0)),"")</f>
        <v/>
      </c>
      <c r="I222" s="23" t="str">
        <f>IFERROR(INDEX(vdata_regressors!$A$1:$L$2000,MATCH($A222,vdata_regressors!$A$2:$A$2000,0)+1,MATCH(I$2,vdata_regressors!$A$1:$R$1,0)),"")</f>
        <v/>
      </c>
      <c r="J222" s="23" t="str">
        <f>IFERROR(INDEX(vdata_regressors!$A$1:$L$2000,MATCH($A222,vdata_regressors!$A$2:$A$2000,0)+1,MATCH(J$2,vdata_regressors!$A$1:$R$1,0)),"")</f>
        <v/>
      </c>
      <c r="K222" s="23" t="str">
        <f>IFERROR(INDEX(vdata_regressors!$A$1:$L$2000,MATCH($A222,vdata_regressors!$A$2:$A$2000,0)+1,MATCH(K$2,vdata_regressors!$A$1:$R$1,0)),"")</f>
        <v/>
      </c>
      <c r="L222" s="23" t="str">
        <f>IFERROR(INDEX(vdata_regressors!$A$1:$L$2000,MATCH($A222,vdata_regressors!$A$2:$A$2000,0)+1,MATCH(L$2,vdata_regressors!$A$1:$R$1,0)),"")</f>
        <v/>
      </c>
      <c r="M222" s="23" t="str">
        <f>IFERROR(VLOOKUP(A222,vdata_hours!$A$2:$B$1000,2,FALSE),"")</f>
        <v/>
      </c>
    </row>
    <row r="223" spans="1:13" x14ac:dyDescent="0.25">
      <c r="A223" s="23" t="str">
        <f>IF(vdata_hours!A222=0,"",vdata_hours!A222)</f>
        <v/>
      </c>
      <c r="B223" s="23" t="str">
        <f>IFERROR(INDEX(vdata_regressors!$A$1:$L$2000,MATCH($A223,vdata_regressors!$A$2:$A$2000,0)+1,MATCH(B$2,vdata_regressors!$A$1:$R$1,0)),"")</f>
        <v/>
      </c>
      <c r="C223" s="23" t="str">
        <f>IFERROR(INDEX(vdata_regressors!$A$1:$L$2000,MATCH($A223,vdata_regressors!$A$2:$A$2000,0)+1,MATCH(C$2,vdata_regressors!$A$1:$R$1,0)),"")</f>
        <v/>
      </c>
      <c r="D223" s="23" t="str">
        <f>IFERROR(INDEX(vdata_regressors!$A$1:$L$2000,MATCH($A223,vdata_regressors!$A$2:$A$2000,0)+1,MATCH(D$2,vdata_regressors!$A$1:$R$1,0)),"")</f>
        <v/>
      </c>
      <c r="E223" s="23" t="str">
        <f>IFERROR(INDEX(vdata_regressors!$A$1:$L$2000,MATCH($A223,vdata_regressors!$A$2:$A$2000,0)+1,MATCH(E$2,vdata_regressors!$A$1:$R$1,0)),"")</f>
        <v/>
      </c>
      <c r="F223" s="23" t="str">
        <f>IFERROR(INDEX(vdata_regressors!$A$1:$L$2000,MATCH($A223,vdata_regressors!$A$2:$A$2000,0)+1,MATCH(F$2,vdata_regressors!$A$1:$R$1,0)),"")</f>
        <v/>
      </c>
      <c r="G223" s="23" t="str">
        <f>IFERROR(INDEX(vdata_regressors!$A$1:$L$2000,MATCH($A223,vdata_regressors!$A$2:$A$2000,0)+1,MATCH(G$2,vdata_regressors!$A$1:$R$1,0)),"")</f>
        <v/>
      </c>
      <c r="H223" s="23" t="str">
        <f>IFERROR(INDEX(vdata_regressors!$A$1:$L$2000,MATCH($A223,vdata_regressors!$A$2:$A$2000,0)+1,MATCH(H$2,vdata_regressors!$A$1:$R$1,0)),"")</f>
        <v/>
      </c>
      <c r="I223" s="23" t="str">
        <f>IFERROR(INDEX(vdata_regressors!$A$1:$L$2000,MATCH($A223,vdata_regressors!$A$2:$A$2000,0)+1,MATCH(I$2,vdata_regressors!$A$1:$R$1,0)),"")</f>
        <v/>
      </c>
      <c r="J223" s="23" t="str">
        <f>IFERROR(INDEX(vdata_regressors!$A$1:$L$2000,MATCH($A223,vdata_regressors!$A$2:$A$2000,0)+1,MATCH(J$2,vdata_regressors!$A$1:$R$1,0)),"")</f>
        <v/>
      </c>
      <c r="K223" s="23" t="str">
        <f>IFERROR(INDEX(vdata_regressors!$A$1:$L$2000,MATCH($A223,vdata_regressors!$A$2:$A$2000,0)+1,MATCH(K$2,vdata_regressors!$A$1:$R$1,0)),"")</f>
        <v/>
      </c>
      <c r="L223" s="23" t="str">
        <f>IFERROR(INDEX(vdata_regressors!$A$1:$L$2000,MATCH($A223,vdata_regressors!$A$2:$A$2000,0)+1,MATCH(L$2,vdata_regressors!$A$1:$R$1,0)),"")</f>
        <v/>
      </c>
      <c r="M223" s="23" t="str">
        <f>IFERROR(VLOOKUP(A223,vdata_hours!$A$2:$B$1000,2,FALSE),"")</f>
        <v/>
      </c>
    </row>
    <row r="224" spans="1:13" x14ac:dyDescent="0.25">
      <c r="A224" s="23" t="str">
        <f>IF(vdata_hours!A223=0,"",vdata_hours!A223)</f>
        <v/>
      </c>
      <c r="B224" s="23" t="str">
        <f>IFERROR(INDEX(vdata_regressors!$A$1:$L$2000,MATCH($A224,vdata_regressors!$A$2:$A$2000,0)+1,MATCH(B$2,vdata_regressors!$A$1:$R$1,0)),"")</f>
        <v/>
      </c>
      <c r="C224" s="23" t="str">
        <f>IFERROR(INDEX(vdata_regressors!$A$1:$L$2000,MATCH($A224,vdata_regressors!$A$2:$A$2000,0)+1,MATCH(C$2,vdata_regressors!$A$1:$R$1,0)),"")</f>
        <v/>
      </c>
      <c r="D224" s="23" t="str">
        <f>IFERROR(INDEX(vdata_regressors!$A$1:$L$2000,MATCH($A224,vdata_regressors!$A$2:$A$2000,0)+1,MATCH(D$2,vdata_regressors!$A$1:$R$1,0)),"")</f>
        <v/>
      </c>
      <c r="E224" s="23" t="str">
        <f>IFERROR(INDEX(vdata_regressors!$A$1:$L$2000,MATCH($A224,vdata_regressors!$A$2:$A$2000,0)+1,MATCH(E$2,vdata_regressors!$A$1:$R$1,0)),"")</f>
        <v/>
      </c>
      <c r="F224" s="23" t="str">
        <f>IFERROR(INDEX(vdata_regressors!$A$1:$L$2000,MATCH($A224,vdata_regressors!$A$2:$A$2000,0)+1,MATCH(F$2,vdata_regressors!$A$1:$R$1,0)),"")</f>
        <v/>
      </c>
      <c r="G224" s="23" t="str">
        <f>IFERROR(INDEX(vdata_regressors!$A$1:$L$2000,MATCH($A224,vdata_regressors!$A$2:$A$2000,0)+1,MATCH(G$2,vdata_regressors!$A$1:$R$1,0)),"")</f>
        <v/>
      </c>
      <c r="H224" s="23" t="str">
        <f>IFERROR(INDEX(vdata_regressors!$A$1:$L$2000,MATCH($A224,vdata_regressors!$A$2:$A$2000,0)+1,MATCH(H$2,vdata_regressors!$A$1:$R$1,0)),"")</f>
        <v/>
      </c>
      <c r="I224" s="23" t="str">
        <f>IFERROR(INDEX(vdata_regressors!$A$1:$L$2000,MATCH($A224,vdata_regressors!$A$2:$A$2000,0)+1,MATCH(I$2,vdata_regressors!$A$1:$R$1,0)),"")</f>
        <v/>
      </c>
      <c r="J224" s="23" t="str">
        <f>IFERROR(INDEX(vdata_regressors!$A$1:$L$2000,MATCH($A224,vdata_regressors!$A$2:$A$2000,0)+1,MATCH(J$2,vdata_regressors!$A$1:$R$1,0)),"")</f>
        <v/>
      </c>
      <c r="K224" s="23" t="str">
        <f>IFERROR(INDEX(vdata_regressors!$A$1:$L$2000,MATCH($A224,vdata_regressors!$A$2:$A$2000,0)+1,MATCH(K$2,vdata_regressors!$A$1:$R$1,0)),"")</f>
        <v/>
      </c>
      <c r="L224" s="23" t="str">
        <f>IFERROR(INDEX(vdata_regressors!$A$1:$L$2000,MATCH($A224,vdata_regressors!$A$2:$A$2000,0)+1,MATCH(L$2,vdata_regressors!$A$1:$R$1,0)),"")</f>
        <v/>
      </c>
      <c r="M224" s="23" t="str">
        <f>IFERROR(VLOOKUP(A224,vdata_hours!$A$2:$B$1000,2,FALSE),"")</f>
        <v/>
      </c>
    </row>
    <row r="225" spans="1:13" x14ac:dyDescent="0.25">
      <c r="A225" s="23" t="str">
        <f>IF(vdata_hours!A224=0,"",vdata_hours!A224)</f>
        <v/>
      </c>
      <c r="B225" s="23" t="str">
        <f>IFERROR(INDEX(vdata_regressors!$A$1:$L$2000,MATCH($A225,vdata_regressors!$A$2:$A$2000,0)+1,MATCH(B$2,vdata_regressors!$A$1:$R$1,0)),"")</f>
        <v/>
      </c>
      <c r="C225" s="23" t="str">
        <f>IFERROR(INDEX(vdata_regressors!$A$1:$L$2000,MATCH($A225,vdata_regressors!$A$2:$A$2000,0)+1,MATCH(C$2,vdata_regressors!$A$1:$R$1,0)),"")</f>
        <v/>
      </c>
      <c r="D225" s="23" t="str">
        <f>IFERROR(INDEX(vdata_regressors!$A$1:$L$2000,MATCH($A225,vdata_regressors!$A$2:$A$2000,0)+1,MATCH(D$2,vdata_regressors!$A$1:$R$1,0)),"")</f>
        <v/>
      </c>
      <c r="E225" s="23" t="str">
        <f>IFERROR(INDEX(vdata_regressors!$A$1:$L$2000,MATCH($A225,vdata_regressors!$A$2:$A$2000,0)+1,MATCH(E$2,vdata_regressors!$A$1:$R$1,0)),"")</f>
        <v/>
      </c>
      <c r="F225" s="23" t="str">
        <f>IFERROR(INDEX(vdata_regressors!$A$1:$L$2000,MATCH($A225,vdata_regressors!$A$2:$A$2000,0)+1,MATCH(F$2,vdata_regressors!$A$1:$R$1,0)),"")</f>
        <v/>
      </c>
      <c r="G225" s="23" t="str">
        <f>IFERROR(INDEX(vdata_regressors!$A$1:$L$2000,MATCH($A225,vdata_regressors!$A$2:$A$2000,0)+1,MATCH(G$2,vdata_regressors!$A$1:$R$1,0)),"")</f>
        <v/>
      </c>
      <c r="H225" s="23" t="str">
        <f>IFERROR(INDEX(vdata_regressors!$A$1:$L$2000,MATCH($A225,vdata_regressors!$A$2:$A$2000,0)+1,MATCH(H$2,vdata_regressors!$A$1:$R$1,0)),"")</f>
        <v/>
      </c>
      <c r="I225" s="23" t="str">
        <f>IFERROR(INDEX(vdata_regressors!$A$1:$L$2000,MATCH($A225,vdata_regressors!$A$2:$A$2000,0)+1,MATCH(I$2,vdata_regressors!$A$1:$R$1,0)),"")</f>
        <v/>
      </c>
      <c r="J225" s="23" t="str">
        <f>IFERROR(INDEX(vdata_regressors!$A$1:$L$2000,MATCH($A225,vdata_regressors!$A$2:$A$2000,0)+1,MATCH(J$2,vdata_regressors!$A$1:$R$1,0)),"")</f>
        <v/>
      </c>
      <c r="K225" s="23" t="str">
        <f>IFERROR(INDEX(vdata_regressors!$A$1:$L$2000,MATCH($A225,vdata_regressors!$A$2:$A$2000,0)+1,MATCH(K$2,vdata_regressors!$A$1:$R$1,0)),"")</f>
        <v/>
      </c>
      <c r="L225" s="23" t="str">
        <f>IFERROR(INDEX(vdata_regressors!$A$1:$L$2000,MATCH($A225,vdata_regressors!$A$2:$A$2000,0)+1,MATCH(L$2,vdata_regressors!$A$1:$R$1,0)),"")</f>
        <v/>
      </c>
      <c r="M225" s="23" t="str">
        <f>IFERROR(VLOOKUP(A225,vdata_hours!$A$2:$B$1000,2,FALSE),"")</f>
        <v/>
      </c>
    </row>
    <row r="226" spans="1:13" x14ac:dyDescent="0.25">
      <c r="A226" s="23" t="str">
        <f>IF(vdata_hours!A225=0,"",vdata_hours!A225)</f>
        <v/>
      </c>
      <c r="B226" s="23" t="str">
        <f>IFERROR(INDEX(vdata_regressors!$A$1:$L$2000,MATCH($A226,vdata_regressors!$A$2:$A$2000,0)+1,MATCH(B$2,vdata_regressors!$A$1:$R$1,0)),"")</f>
        <v/>
      </c>
      <c r="C226" s="23" t="str">
        <f>IFERROR(INDEX(vdata_regressors!$A$1:$L$2000,MATCH($A226,vdata_regressors!$A$2:$A$2000,0)+1,MATCH(C$2,vdata_regressors!$A$1:$R$1,0)),"")</f>
        <v/>
      </c>
      <c r="D226" s="23" t="str">
        <f>IFERROR(INDEX(vdata_regressors!$A$1:$L$2000,MATCH($A226,vdata_regressors!$A$2:$A$2000,0)+1,MATCH(D$2,vdata_regressors!$A$1:$R$1,0)),"")</f>
        <v/>
      </c>
      <c r="E226" s="23" t="str">
        <f>IFERROR(INDEX(vdata_regressors!$A$1:$L$2000,MATCH($A226,vdata_regressors!$A$2:$A$2000,0)+1,MATCH(E$2,vdata_regressors!$A$1:$R$1,0)),"")</f>
        <v/>
      </c>
      <c r="F226" s="23" t="str">
        <f>IFERROR(INDEX(vdata_regressors!$A$1:$L$2000,MATCH($A226,vdata_regressors!$A$2:$A$2000,0)+1,MATCH(F$2,vdata_regressors!$A$1:$R$1,0)),"")</f>
        <v/>
      </c>
      <c r="G226" s="23" t="str">
        <f>IFERROR(INDEX(vdata_regressors!$A$1:$L$2000,MATCH($A226,vdata_regressors!$A$2:$A$2000,0)+1,MATCH(G$2,vdata_regressors!$A$1:$R$1,0)),"")</f>
        <v/>
      </c>
      <c r="H226" s="23" t="str">
        <f>IFERROR(INDEX(vdata_regressors!$A$1:$L$2000,MATCH($A226,vdata_regressors!$A$2:$A$2000,0)+1,MATCH(H$2,vdata_regressors!$A$1:$R$1,0)),"")</f>
        <v/>
      </c>
      <c r="I226" s="23" t="str">
        <f>IFERROR(INDEX(vdata_regressors!$A$1:$L$2000,MATCH($A226,vdata_regressors!$A$2:$A$2000,0)+1,MATCH(I$2,vdata_regressors!$A$1:$R$1,0)),"")</f>
        <v/>
      </c>
      <c r="J226" s="23" t="str">
        <f>IFERROR(INDEX(vdata_regressors!$A$1:$L$2000,MATCH($A226,vdata_regressors!$A$2:$A$2000,0)+1,MATCH(J$2,vdata_regressors!$A$1:$R$1,0)),"")</f>
        <v/>
      </c>
      <c r="K226" s="23" t="str">
        <f>IFERROR(INDEX(vdata_regressors!$A$1:$L$2000,MATCH($A226,vdata_regressors!$A$2:$A$2000,0)+1,MATCH(K$2,vdata_regressors!$A$1:$R$1,0)),"")</f>
        <v/>
      </c>
      <c r="L226" s="23" t="str">
        <f>IFERROR(INDEX(vdata_regressors!$A$1:$L$2000,MATCH($A226,vdata_regressors!$A$2:$A$2000,0)+1,MATCH(L$2,vdata_regressors!$A$1:$R$1,0)),"")</f>
        <v/>
      </c>
      <c r="M226" s="23" t="str">
        <f>IFERROR(VLOOKUP(A226,vdata_hours!$A$2:$B$1000,2,FALSE),"")</f>
        <v/>
      </c>
    </row>
    <row r="227" spans="1:13" x14ac:dyDescent="0.25">
      <c r="A227" s="23" t="str">
        <f>IF(vdata_hours!A226=0,"",vdata_hours!A226)</f>
        <v/>
      </c>
      <c r="B227" s="23" t="str">
        <f>IFERROR(INDEX(vdata_regressors!$A$1:$L$2000,MATCH($A227,vdata_regressors!$A$2:$A$2000,0)+1,MATCH(B$2,vdata_regressors!$A$1:$R$1,0)),"")</f>
        <v/>
      </c>
      <c r="C227" s="23" t="str">
        <f>IFERROR(INDEX(vdata_regressors!$A$1:$L$2000,MATCH($A227,vdata_regressors!$A$2:$A$2000,0)+1,MATCH(C$2,vdata_regressors!$A$1:$R$1,0)),"")</f>
        <v/>
      </c>
      <c r="D227" s="23" t="str">
        <f>IFERROR(INDEX(vdata_regressors!$A$1:$L$2000,MATCH($A227,vdata_regressors!$A$2:$A$2000,0)+1,MATCH(D$2,vdata_regressors!$A$1:$R$1,0)),"")</f>
        <v/>
      </c>
      <c r="E227" s="23" t="str">
        <f>IFERROR(INDEX(vdata_regressors!$A$1:$L$2000,MATCH($A227,vdata_regressors!$A$2:$A$2000,0)+1,MATCH(E$2,vdata_regressors!$A$1:$R$1,0)),"")</f>
        <v/>
      </c>
      <c r="F227" s="23" t="str">
        <f>IFERROR(INDEX(vdata_regressors!$A$1:$L$2000,MATCH($A227,vdata_regressors!$A$2:$A$2000,0)+1,MATCH(F$2,vdata_regressors!$A$1:$R$1,0)),"")</f>
        <v/>
      </c>
      <c r="G227" s="23" t="str">
        <f>IFERROR(INDEX(vdata_regressors!$A$1:$L$2000,MATCH($A227,vdata_regressors!$A$2:$A$2000,0)+1,MATCH(G$2,vdata_regressors!$A$1:$R$1,0)),"")</f>
        <v/>
      </c>
      <c r="H227" s="23" t="str">
        <f>IFERROR(INDEX(vdata_regressors!$A$1:$L$2000,MATCH($A227,vdata_regressors!$A$2:$A$2000,0)+1,MATCH(H$2,vdata_regressors!$A$1:$R$1,0)),"")</f>
        <v/>
      </c>
      <c r="I227" s="23" t="str">
        <f>IFERROR(INDEX(vdata_regressors!$A$1:$L$2000,MATCH($A227,vdata_regressors!$A$2:$A$2000,0)+1,MATCH(I$2,vdata_regressors!$A$1:$R$1,0)),"")</f>
        <v/>
      </c>
      <c r="J227" s="23" t="str">
        <f>IFERROR(INDEX(vdata_regressors!$A$1:$L$2000,MATCH($A227,vdata_regressors!$A$2:$A$2000,0)+1,MATCH(J$2,vdata_regressors!$A$1:$R$1,0)),"")</f>
        <v/>
      </c>
      <c r="K227" s="23" t="str">
        <f>IFERROR(INDEX(vdata_regressors!$A$1:$L$2000,MATCH($A227,vdata_regressors!$A$2:$A$2000,0)+1,MATCH(K$2,vdata_regressors!$A$1:$R$1,0)),"")</f>
        <v/>
      </c>
      <c r="L227" s="23" t="str">
        <f>IFERROR(INDEX(vdata_regressors!$A$1:$L$2000,MATCH($A227,vdata_regressors!$A$2:$A$2000,0)+1,MATCH(L$2,vdata_regressors!$A$1:$R$1,0)),"")</f>
        <v/>
      </c>
      <c r="M227" s="23" t="str">
        <f>IFERROR(VLOOKUP(A227,vdata_hours!$A$2:$B$1000,2,FALSE),"")</f>
        <v/>
      </c>
    </row>
    <row r="228" spans="1:13" x14ac:dyDescent="0.25">
      <c r="A228" s="23" t="str">
        <f>IF(vdata_hours!A227=0,"",vdata_hours!A227)</f>
        <v/>
      </c>
      <c r="B228" s="23" t="str">
        <f>IFERROR(INDEX(vdata_regressors!$A$1:$L$2000,MATCH($A228,vdata_regressors!$A$2:$A$2000,0)+1,MATCH(B$2,vdata_regressors!$A$1:$R$1,0)),"")</f>
        <v/>
      </c>
      <c r="C228" s="23" t="str">
        <f>IFERROR(INDEX(vdata_regressors!$A$1:$L$2000,MATCH($A228,vdata_regressors!$A$2:$A$2000,0)+1,MATCH(C$2,vdata_regressors!$A$1:$R$1,0)),"")</f>
        <v/>
      </c>
      <c r="D228" s="23" t="str">
        <f>IFERROR(INDEX(vdata_regressors!$A$1:$L$2000,MATCH($A228,vdata_regressors!$A$2:$A$2000,0)+1,MATCH(D$2,vdata_regressors!$A$1:$R$1,0)),"")</f>
        <v/>
      </c>
      <c r="E228" s="23" t="str">
        <f>IFERROR(INDEX(vdata_regressors!$A$1:$L$2000,MATCH($A228,vdata_regressors!$A$2:$A$2000,0)+1,MATCH(E$2,vdata_regressors!$A$1:$R$1,0)),"")</f>
        <v/>
      </c>
      <c r="F228" s="23" t="str">
        <f>IFERROR(INDEX(vdata_regressors!$A$1:$L$2000,MATCH($A228,vdata_regressors!$A$2:$A$2000,0)+1,MATCH(F$2,vdata_regressors!$A$1:$R$1,0)),"")</f>
        <v/>
      </c>
      <c r="G228" s="23" t="str">
        <f>IFERROR(INDEX(vdata_regressors!$A$1:$L$2000,MATCH($A228,vdata_regressors!$A$2:$A$2000,0)+1,MATCH(G$2,vdata_regressors!$A$1:$R$1,0)),"")</f>
        <v/>
      </c>
      <c r="H228" s="23" t="str">
        <f>IFERROR(INDEX(vdata_regressors!$A$1:$L$2000,MATCH($A228,vdata_regressors!$A$2:$A$2000,0)+1,MATCH(H$2,vdata_regressors!$A$1:$R$1,0)),"")</f>
        <v/>
      </c>
      <c r="I228" s="23" t="str">
        <f>IFERROR(INDEX(vdata_regressors!$A$1:$L$2000,MATCH($A228,vdata_regressors!$A$2:$A$2000,0)+1,MATCH(I$2,vdata_regressors!$A$1:$R$1,0)),"")</f>
        <v/>
      </c>
      <c r="J228" s="23" t="str">
        <f>IFERROR(INDEX(vdata_regressors!$A$1:$L$2000,MATCH($A228,vdata_regressors!$A$2:$A$2000,0)+1,MATCH(J$2,vdata_regressors!$A$1:$R$1,0)),"")</f>
        <v/>
      </c>
      <c r="K228" s="23" t="str">
        <f>IFERROR(INDEX(vdata_regressors!$A$1:$L$2000,MATCH($A228,vdata_regressors!$A$2:$A$2000,0)+1,MATCH(K$2,vdata_regressors!$A$1:$R$1,0)),"")</f>
        <v/>
      </c>
      <c r="L228" s="23" t="str">
        <f>IFERROR(INDEX(vdata_regressors!$A$1:$L$2000,MATCH($A228,vdata_regressors!$A$2:$A$2000,0)+1,MATCH(L$2,vdata_regressors!$A$1:$R$1,0)),"")</f>
        <v/>
      </c>
      <c r="M228" s="23" t="str">
        <f>IFERROR(VLOOKUP(A228,vdata_hours!$A$2:$B$1000,2,FALSE),"")</f>
        <v/>
      </c>
    </row>
    <row r="229" spans="1:13" x14ac:dyDescent="0.25">
      <c r="A229" s="23" t="str">
        <f>IF(vdata_hours!A228=0,"",vdata_hours!A228)</f>
        <v/>
      </c>
      <c r="B229" s="23" t="str">
        <f>IFERROR(INDEX(vdata_regressors!$A$1:$L$2000,MATCH($A229,vdata_regressors!$A$2:$A$2000,0)+1,MATCH(B$2,vdata_regressors!$A$1:$R$1,0)),"")</f>
        <v/>
      </c>
      <c r="C229" s="23" t="str">
        <f>IFERROR(INDEX(vdata_regressors!$A$1:$L$2000,MATCH($A229,vdata_regressors!$A$2:$A$2000,0)+1,MATCH(C$2,vdata_regressors!$A$1:$R$1,0)),"")</f>
        <v/>
      </c>
      <c r="D229" s="23" t="str">
        <f>IFERROR(INDEX(vdata_regressors!$A$1:$L$2000,MATCH($A229,vdata_regressors!$A$2:$A$2000,0)+1,MATCH(D$2,vdata_regressors!$A$1:$R$1,0)),"")</f>
        <v/>
      </c>
      <c r="E229" s="23" t="str">
        <f>IFERROR(INDEX(vdata_regressors!$A$1:$L$2000,MATCH($A229,vdata_regressors!$A$2:$A$2000,0)+1,MATCH(E$2,vdata_regressors!$A$1:$R$1,0)),"")</f>
        <v/>
      </c>
      <c r="F229" s="23" t="str">
        <f>IFERROR(INDEX(vdata_regressors!$A$1:$L$2000,MATCH($A229,vdata_regressors!$A$2:$A$2000,0)+1,MATCH(F$2,vdata_regressors!$A$1:$R$1,0)),"")</f>
        <v/>
      </c>
      <c r="G229" s="23" t="str">
        <f>IFERROR(INDEX(vdata_regressors!$A$1:$L$2000,MATCH($A229,vdata_regressors!$A$2:$A$2000,0)+1,MATCH(G$2,vdata_regressors!$A$1:$R$1,0)),"")</f>
        <v/>
      </c>
      <c r="H229" s="23" t="str">
        <f>IFERROR(INDEX(vdata_regressors!$A$1:$L$2000,MATCH($A229,vdata_regressors!$A$2:$A$2000,0)+1,MATCH(H$2,vdata_regressors!$A$1:$R$1,0)),"")</f>
        <v/>
      </c>
      <c r="I229" s="23" t="str">
        <f>IFERROR(INDEX(vdata_regressors!$A$1:$L$2000,MATCH($A229,vdata_regressors!$A$2:$A$2000,0)+1,MATCH(I$2,vdata_regressors!$A$1:$R$1,0)),"")</f>
        <v/>
      </c>
      <c r="J229" s="23" t="str">
        <f>IFERROR(INDEX(vdata_regressors!$A$1:$L$2000,MATCH($A229,vdata_regressors!$A$2:$A$2000,0)+1,MATCH(J$2,vdata_regressors!$A$1:$R$1,0)),"")</f>
        <v/>
      </c>
      <c r="K229" s="23" t="str">
        <f>IFERROR(INDEX(vdata_regressors!$A$1:$L$2000,MATCH($A229,vdata_regressors!$A$2:$A$2000,0)+1,MATCH(K$2,vdata_regressors!$A$1:$R$1,0)),"")</f>
        <v/>
      </c>
      <c r="L229" s="23" t="str">
        <f>IFERROR(INDEX(vdata_regressors!$A$1:$L$2000,MATCH($A229,vdata_regressors!$A$2:$A$2000,0)+1,MATCH(L$2,vdata_regressors!$A$1:$R$1,0)),"")</f>
        <v/>
      </c>
      <c r="M229" s="23" t="str">
        <f>IFERROR(VLOOKUP(A229,vdata_hours!$A$2:$B$1000,2,FALSE),"")</f>
        <v/>
      </c>
    </row>
    <row r="230" spans="1:13" x14ac:dyDescent="0.25">
      <c r="A230" s="23" t="str">
        <f>IF(vdata_hours!A229=0,"",vdata_hours!A229)</f>
        <v/>
      </c>
      <c r="B230" s="23" t="str">
        <f>IFERROR(INDEX(vdata_regressors!$A$1:$L$2000,MATCH($A230,vdata_regressors!$A$2:$A$2000,0)+1,MATCH(B$2,vdata_regressors!$A$1:$R$1,0)),"")</f>
        <v/>
      </c>
      <c r="C230" s="23" t="str">
        <f>IFERROR(INDEX(vdata_regressors!$A$1:$L$2000,MATCH($A230,vdata_regressors!$A$2:$A$2000,0)+1,MATCH(C$2,vdata_regressors!$A$1:$R$1,0)),"")</f>
        <v/>
      </c>
      <c r="D230" s="23" t="str">
        <f>IFERROR(INDEX(vdata_regressors!$A$1:$L$2000,MATCH($A230,vdata_regressors!$A$2:$A$2000,0)+1,MATCH(D$2,vdata_regressors!$A$1:$R$1,0)),"")</f>
        <v/>
      </c>
      <c r="E230" s="23" t="str">
        <f>IFERROR(INDEX(vdata_regressors!$A$1:$L$2000,MATCH($A230,vdata_regressors!$A$2:$A$2000,0)+1,MATCH(E$2,vdata_regressors!$A$1:$R$1,0)),"")</f>
        <v/>
      </c>
      <c r="F230" s="23" t="str">
        <f>IFERROR(INDEX(vdata_regressors!$A$1:$L$2000,MATCH($A230,vdata_regressors!$A$2:$A$2000,0)+1,MATCH(F$2,vdata_regressors!$A$1:$R$1,0)),"")</f>
        <v/>
      </c>
      <c r="G230" s="23" t="str">
        <f>IFERROR(INDEX(vdata_regressors!$A$1:$L$2000,MATCH($A230,vdata_regressors!$A$2:$A$2000,0)+1,MATCH(G$2,vdata_regressors!$A$1:$R$1,0)),"")</f>
        <v/>
      </c>
      <c r="H230" s="23" t="str">
        <f>IFERROR(INDEX(vdata_regressors!$A$1:$L$2000,MATCH($A230,vdata_regressors!$A$2:$A$2000,0)+1,MATCH(H$2,vdata_regressors!$A$1:$R$1,0)),"")</f>
        <v/>
      </c>
      <c r="I230" s="23" t="str">
        <f>IFERROR(INDEX(vdata_regressors!$A$1:$L$2000,MATCH($A230,vdata_regressors!$A$2:$A$2000,0)+1,MATCH(I$2,vdata_regressors!$A$1:$R$1,0)),"")</f>
        <v/>
      </c>
      <c r="J230" s="23" t="str">
        <f>IFERROR(INDEX(vdata_regressors!$A$1:$L$2000,MATCH($A230,vdata_regressors!$A$2:$A$2000,0)+1,MATCH(J$2,vdata_regressors!$A$1:$R$1,0)),"")</f>
        <v/>
      </c>
      <c r="K230" s="23" t="str">
        <f>IFERROR(INDEX(vdata_regressors!$A$1:$L$2000,MATCH($A230,vdata_regressors!$A$2:$A$2000,0)+1,MATCH(K$2,vdata_regressors!$A$1:$R$1,0)),"")</f>
        <v/>
      </c>
      <c r="L230" s="23" t="str">
        <f>IFERROR(INDEX(vdata_regressors!$A$1:$L$2000,MATCH($A230,vdata_regressors!$A$2:$A$2000,0)+1,MATCH(L$2,vdata_regressors!$A$1:$R$1,0)),"")</f>
        <v/>
      </c>
      <c r="M230" s="23" t="str">
        <f>IFERROR(VLOOKUP(A230,vdata_hours!$A$2:$B$1000,2,FALSE),"")</f>
        <v/>
      </c>
    </row>
    <row r="231" spans="1:13" x14ac:dyDescent="0.25">
      <c r="A231" s="23" t="str">
        <f>IF(vdata_hours!A230=0,"",vdata_hours!A230)</f>
        <v/>
      </c>
      <c r="B231" s="23" t="str">
        <f>IFERROR(INDEX(vdata_regressors!$A$1:$L$2000,MATCH($A231,vdata_regressors!$A$2:$A$2000,0)+1,MATCH(B$2,vdata_regressors!$A$1:$R$1,0)),"")</f>
        <v/>
      </c>
      <c r="C231" s="23" t="str">
        <f>IFERROR(INDEX(vdata_regressors!$A$1:$L$2000,MATCH($A231,vdata_regressors!$A$2:$A$2000,0)+1,MATCH(C$2,vdata_regressors!$A$1:$R$1,0)),"")</f>
        <v/>
      </c>
      <c r="D231" s="23" t="str">
        <f>IFERROR(INDEX(vdata_regressors!$A$1:$L$2000,MATCH($A231,vdata_regressors!$A$2:$A$2000,0)+1,MATCH(D$2,vdata_regressors!$A$1:$R$1,0)),"")</f>
        <v/>
      </c>
      <c r="E231" s="23" t="str">
        <f>IFERROR(INDEX(vdata_regressors!$A$1:$L$2000,MATCH($A231,vdata_regressors!$A$2:$A$2000,0)+1,MATCH(E$2,vdata_regressors!$A$1:$R$1,0)),"")</f>
        <v/>
      </c>
      <c r="F231" s="23" t="str">
        <f>IFERROR(INDEX(vdata_regressors!$A$1:$L$2000,MATCH($A231,vdata_regressors!$A$2:$A$2000,0)+1,MATCH(F$2,vdata_regressors!$A$1:$R$1,0)),"")</f>
        <v/>
      </c>
      <c r="G231" s="23" t="str">
        <f>IFERROR(INDEX(vdata_regressors!$A$1:$L$2000,MATCH($A231,vdata_regressors!$A$2:$A$2000,0)+1,MATCH(G$2,vdata_regressors!$A$1:$R$1,0)),"")</f>
        <v/>
      </c>
      <c r="H231" s="23" t="str">
        <f>IFERROR(INDEX(vdata_regressors!$A$1:$L$2000,MATCH($A231,vdata_regressors!$A$2:$A$2000,0)+1,MATCH(H$2,vdata_regressors!$A$1:$R$1,0)),"")</f>
        <v/>
      </c>
      <c r="I231" s="23" t="str">
        <f>IFERROR(INDEX(vdata_regressors!$A$1:$L$2000,MATCH($A231,vdata_regressors!$A$2:$A$2000,0)+1,MATCH(I$2,vdata_regressors!$A$1:$R$1,0)),"")</f>
        <v/>
      </c>
      <c r="J231" s="23" t="str">
        <f>IFERROR(INDEX(vdata_regressors!$A$1:$L$2000,MATCH($A231,vdata_regressors!$A$2:$A$2000,0)+1,MATCH(J$2,vdata_regressors!$A$1:$R$1,0)),"")</f>
        <v/>
      </c>
      <c r="K231" s="23" t="str">
        <f>IFERROR(INDEX(vdata_regressors!$A$1:$L$2000,MATCH($A231,vdata_regressors!$A$2:$A$2000,0)+1,MATCH(K$2,vdata_regressors!$A$1:$R$1,0)),"")</f>
        <v/>
      </c>
      <c r="L231" s="23" t="str">
        <f>IFERROR(INDEX(vdata_regressors!$A$1:$L$2000,MATCH($A231,vdata_regressors!$A$2:$A$2000,0)+1,MATCH(L$2,vdata_regressors!$A$1:$R$1,0)),"")</f>
        <v/>
      </c>
      <c r="M231" s="23" t="str">
        <f>IFERROR(VLOOKUP(A231,vdata_hours!$A$2:$B$1000,2,FALSE),"")</f>
        <v/>
      </c>
    </row>
    <row r="232" spans="1:13" x14ac:dyDescent="0.25">
      <c r="A232" s="23" t="str">
        <f>IF(vdata_hours!A231=0,"",vdata_hours!A231)</f>
        <v/>
      </c>
      <c r="B232" s="23" t="str">
        <f>IFERROR(INDEX(vdata_regressors!$A$1:$L$2000,MATCH($A232,vdata_regressors!$A$2:$A$2000,0)+1,MATCH(B$2,vdata_regressors!$A$1:$R$1,0)),"")</f>
        <v/>
      </c>
      <c r="C232" s="23" t="str">
        <f>IFERROR(INDEX(vdata_regressors!$A$1:$L$2000,MATCH($A232,vdata_regressors!$A$2:$A$2000,0)+1,MATCH(C$2,vdata_regressors!$A$1:$R$1,0)),"")</f>
        <v/>
      </c>
      <c r="D232" s="23" t="str">
        <f>IFERROR(INDEX(vdata_regressors!$A$1:$L$2000,MATCH($A232,vdata_regressors!$A$2:$A$2000,0)+1,MATCH(D$2,vdata_regressors!$A$1:$R$1,0)),"")</f>
        <v/>
      </c>
      <c r="E232" s="23" t="str">
        <f>IFERROR(INDEX(vdata_regressors!$A$1:$L$2000,MATCH($A232,vdata_regressors!$A$2:$A$2000,0)+1,MATCH(E$2,vdata_regressors!$A$1:$R$1,0)),"")</f>
        <v/>
      </c>
      <c r="F232" s="23" t="str">
        <f>IFERROR(INDEX(vdata_regressors!$A$1:$L$2000,MATCH($A232,vdata_regressors!$A$2:$A$2000,0)+1,MATCH(F$2,vdata_regressors!$A$1:$R$1,0)),"")</f>
        <v/>
      </c>
      <c r="G232" s="23" t="str">
        <f>IFERROR(INDEX(vdata_regressors!$A$1:$L$2000,MATCH($A232,vdata_regressors!$A$2:$A$2000,0)+1,MATCH(G$2,vdata_regressors!$A$1:$R$1,0)),"")</f>
        <v/>
      </c>
      <c r="H232" s="23" t="str">
        <f>IFERROR(INDEX(vdata_regressors!$A$1:$L$2000,MATCH($A232,vdata_regressors!$A$2:$A$2000,0)+1,MATCH(H$2,vdata_regressors!$A$1:$R$1,0)),"")</f>
        <v/>
      </c>
      <c r="I232" s="23" t="str">
        <f>IFERROR(INDEX(vdata_regressors!$A$1:$L$2000,MATCH($A232,vdata_regressors!$A$2:$A$2000,0)+1,MATCH(I$2,vdata_regressors!$A$1:$R$1,0)),"")</f>
        <v/>
      </c>
      <c r="J232" s="23" t="str">
        <f>IFERROR(INDEX(vdata_regressors!$A$1:$L$2000,MATCH($A232,vdata_regressors!$A$2:$A$2000,0)+1,MATCH(J$2,vdata_regressors!$A$1:$R$1,0)),"")</f>
        <v/>
      </c>
      <c r="K232" s="23" t="str">
        <f>IFERROR(INDEX(vdata_regressors!$A$1:$L$2000,MATCH($A232,vdata_regressors!$A$2:$A$2000,0)+1,MATCH(K$2,vdata_regressors!$A$1:$R$1,0)),"")</f>
        <v/>
      </c>
      <c r="L232" s="23" t="str">
        <f>IFERROR(INDEX(vdata_regressors!$A$1:$L$2000,MATCH($A232,vdata_regressors!$A$2:$A$2000,0)+1,MATCH(L$2,vdata_regressors!$A$1:$R$1,0)),"")</f>
        <v/>
      </c>
      <c r="M232" s="23" t="str">
        <f>IFERROR(VLOOKUP(A232,vdata_hours!$A$2:$B$1000,2,FALSE),"")</f>
        <v/>
      </c>
    </row>
    <row r="233" spans="1:13" x14ac:dyDescent="0.25">
      <c r="A233" s="23" t="str">
        <f>IF(vdata_hours!A232=0,"",vdata_hours!A232)</f>
        <v/>
      </c>
      <c r="B233" s="23" t="str">
        <f>IFERROR(INDEX(vdata_regressors!$A$1:$L$2000,MATCH($A233,vdata_regressors!$A$2:$A$2000,0)+1,MATCH(B$2,vdata_regressors!$A$1:$R$1,0)),"")</f>
        <v/>
      </c>
      <c r="C233" s="23" t="str">
        <f>IFERROR(INDEX(vdata_regressors!$A$1:$L$2000,MATCH($A233,vdata_regressors!$A$2:$A$2000,0)+1,MATCH(C$2,vdata_regressors!$A$1:$R$1,0)),"")</f>
        <v/>
      </c>
      <c r="D233" s="23" t="str">
        <f>IFERROR(INDEX(vdata_regressors!$A$1:$L$2000,MATCH($A233,vdata_regressors!$A$2:$A$2000,0)+1,MATCH(D$2,vdata_regressors!$A$1:$R$1,0)),"")</f>
        <v/>
      </c>
      <c r="E233" s="23" t="str">
        <f>IFERROR(INDEX(vdata_regressors!$A$1:$L$2000,MATCH($A233,vdata_regressors!$A$2:$A$2000,0)+1,MATCH(E$2,vdata_regressors!$A$1:$R$1,0)),"")</f>
        <v/>
      </c>
      <c r="F233" s="23" t="str">
        <f>IFERROR(INDEX(vdata_regressors!$A$1:$L$2000,MATCH($A233,vdata_regressors!$A$2:$A$2000,0)+1,MATCH(F$2,vdata_regressors!$A$1:$R$1,0)),"")</f>
        <v/>
      </c>
      <c r="G233" s="23" t="str">
        <f>IFERROR(INDEX(vdata_regressors!$A$1:$L$2000,MATCH($A233,vdata_regressors!$A$2:$A$2000,0)+1,MATCH(G$2,vdata_regressors!$A$1:$R$1,0)),"")</f>
        <v/>
      </c>
      <c r="H233" s="23" t="str">
        <f>IFERROR(INDEX(vdata_regressors!$A$1:$L$2000,MATCH($A233,vdata_regressors!$A$2:$A$2000,0)+1,MATCH(H$2,vdata_regressors!$A$1:$R$1,0)),"")</f>
        <v/>
      </c>
      <c r="I233" s="23" t="str">
        <f>IFERROR(INDEX(vdata_regressors!$A$1:$L$2000,MATCH($A233,vdata_regressors!$A$2:$A$2000,0)+1,MATCH(I$2,vdata_regressors!$A$1:$R$1,0)),"")</f>
        <v/>
      </c>
      <c r="J233" s="23" t="str">
        <f>IFERROR(INDEX(vdata_regressors!$A$1:$L$2000,MATCH($A233,vdata_regressors!$A$2:$A$2000,0)+1,MATCH(J$2,vdata_regressors!$A$1:$R$1,0)),"")</f>
        <v/>
      </c>
      <c r="K233" s="23" t="str">
        <f>IFERROR(INDEX(vdata_regressors!$A$1:$L$2000,MATCH($A233,vdata_regressors!$A$2:$A$2000,0)+1,MATCH(K$2,vdata_regressors!$A$1:$R$1,0)),"")</f>
        <v/>
      </c>
      <c r="L233" s="23" t="str">
        <f>IFERROR(INDEX(vdata_regressors!$A$1:$L$2000,MATCH($A233,vdata_regressors!$A$2:$A$2000,0)+1,MATCH(L$2,vdata_regressors!$A$1:$R$1,0)),"")</f>
        <v/>
      </c>
      <c r="M233" s="23" t="str">
        <f>IFERROR(VLOOKUP(A233,vdata_hours!$A$2:$B$1000,2,FALSE),"")</f>
        <v/>
      </c>
    </row>
    <row r="234" spans="1:13" x14ac:dyDescent="0.25">
      <c r="A234" s="23" t="str">
        <f>IF(vdata_hours!A233=0,"",vdata_hours!A233)</f>
        <v/>
      </c>
      <c r="B234" s="23" t="str">
        <f>IFERROR(INDEX(vdata_regressors!$A$1:$L$2000,MATCH($A234,vdata_regressors!$A$2:$A$2000,0)+1,MATCH(B$2,vdata_regressors!$A$1:$R$1,0)),"")</f>
        <v/>
      </c>
      <c r="C234" s="23" t="str">
        <f>IFERROR(INDEX(vdata_regressors!$A$1:$L$2000,MATCH($A234,vdata_regressors!$A$2:$A$2000,0)+1,MATCH(C$2,vdata_regressors!$A$1:$R$1,0)),"")</f>
        <v/>
      </c>
      <c r="D234" s="23" t="str">
        <f>IFERROR(INDEX(vdata_regressors!$A$1:$L$2000,MATCH($A234,vdata_regressors!$A$2:$A$2000,0)+1,MATCH(D$2,vdata_regressors!$A$1:$R$1,0)),"")</f>
        <v/>
      </c>
      <c r="E234" s="23" t="str">
        <f>IFERROR(INDEX(vdata_regressors!$A$1:$L$2000,MATCH($A234,vdata_regressors!$A$2:$A$2000,0)+1,MATCH(E$2,vdata_regressors!$A$1:$R$1,0)),"")</f>
        <v/>
      </c>
      <c r="F234" s="23" t="str">
        <f>IFERROR(INDEX(vdata_regressors!$A$1:$L$2000,MATCH($A234,vdata_regressors!$A$2:$A$2000,0)+1,MATCH(F$2,vdata_regressors!$A$1:$R$1,0)),"")</f>
        <v/>
      </c>
      <c r="G234" s="23" t="str">
        <f>IFERROR(INDEX(vdata_regressors!$A$1:$L$2000,MATCH($A234,vdata_regressors!$A$2:$A$2000,0)+1,MATCH(G$2,vdata_regressors!$A$1:$R$1,0)),"")</f>
        <v/>
      </c>
      <c r="H234" s="23" t="str">
        <f>IFERROR(INDEX(vdata_regressors!$A$1:$L$2000,MATCH($A234,vdata_regressors!$A$2:$A$2000,0)+1,MATCH(H$2,vdata_regressors!$A$1:$R$1,0)),"")</f>
        <v/>
      </c>
      <c r="I234" s="23" t="str">
        <f>IFERROR(INDEX(vdata_regressors!$A$1:$L$2000,MATCH($A234,vdata_regressors!$A$2:$A$2000,0)+1,MATCH(I$2,vdata_regressors!$A$1:$R$1,0)),"")</f>
        <v/>
      </c>
      <c r="J234" s="23" t="str">
        <f>IFERROR(INDEX(vdata_regressors!$A$1:$L$2000,MATCH($A234,vdata_regressors!$A$2:$A$2000,0)+1,MATCH(J$2,vdata_regressors!$A$1:$R$1,0)),"")</f>
        <v/>
      </c>
      <c r="K234" s="23" t="str">
        <f>IFERROR(INDEX(vdata_regressors!$A$1:$L$2000,MATCH($A234,vdata_regressors!$A$2:$A$2000,0)+1,MATCH(K$2,vdata_regressors!$A$1:$R$1,0)),"")</f>
        <v/>
      </c>
      <c r="L234" s="23" t="str">
        <f>IFERROR(INDEX(vdata_regressors!$A$1:$L$2000,MATCH($A234,vdata_regressors!$A$2:$A$2000,0)+1,MATCH(L$2,vdata_regressors!$A$1:$R$1,0)),"")</f>
        <v/>
      </c>
      <c r="M234" s="23" t="str">
        <f>IFERROR(VLOOKUP(A234,vdata_hours!$A$2:$B$1000,2,FALSE),"")</f>
        <v/>
      </c>
    </row>
    <row r="235" spans="1:13" x14ac:dyDescent="0.25">
      <c r="A235" s="23" t="str">
        <f>IF(vdata_hours!A234=0,"",vdata_hours!A234)</f>
        <v/>
      </c>
      <c r="B235" s="23" t="str">
        <f>IFERROR(INDEX(vdata_regressors!$A$1:$L$2000,MATCH($A235,vdata_regressors!$A$2:$A$2000,0)+1,MATCH(B$2,vdata_regressors!$A$1:$R$1,0)),"")</f>
        <v/>
      </c>
      <c r="C235" s="23" t="str">
        <f>IFERROR(INDEX(vdata_regressors!$A$1:$L$2000,MATCH($A235,vdata_regressors!$A$2:$A$2000,0)+1,MATCH(C$2,vdata_regressors!$A$1:$R$1,0)),"")</f>
        <v/>
      </c>
      <c r="D235" s="23" t="str">
        <f>IFERROR(INDEX(vdata_regressors!$A$1:$L$2000,MATCH($A235,vdata_regressors!$A$2:$A$2000,0)+1,MATCH(D$2,vdata_regressors!$A$1:$R$1,0)),"")</f>
        <v/>
      </c>
      <c r="E235" s="23" t="str">
        <f>IFERROR(INDEX(vdata_regressors!$A$1:$L$2000,MATCH($A235,vdata_regressors!$A$2:$A$2000,0)+1,MATCH(E$2,vdata_regressors!$A$1:$R$1,0)),"")</f>
        <v/>
      </c>
      <c r="F235" s="23" t="str">
        <f>IFERROR(INDEX(vdata_regressors!$A$1:$L$2000,MATCH($A235,vdata_regressors!$A$2:$A$2000,0)+1,MATCH(F$2,vdata_regressors!$A$1:$R$1,0)),"")</f>
        <v/>
      </c>
      <c r="G235" s="23" t="str">
        <f>IFERROR(INDEX(vdata_regressors!$A$1:$L$2000,MATCH($A235,vdata_regressors!$A$2:$A$2000,0)+1,MATCH(G$2,vdata_regressors!$A$1:$R$1,0)),"")</f>
        <v/>
      </c>
      <c r="H235" s="23" t="str">
        <f>IFERROR(INDEX(vdata_regressors!$A$1:$L$2000,MATCH($A235,vdata_regressors!$A$2:$A$2000,0)+1,MATCH(H$2,vdata_regressors!$A$1:$R$1,0)),"")</f>
        <v/>
      </c>
      <c r="I235" s="23" t="str">
        <f>IFERROR(INDEX(vdata_regressors!$A$1:$L$2000,MATCH($A235,vdata_regressors!$A$2:$A$2000,0)+1,MATCH(I$2,vdata_regressors!$A$1:$R$1,0)),"")</f>
        <v/>
      </c>
      <c r="J235" s="23" t="str">
        <f>IFERROR(INDEX(vdata_regressors!$A$1:$L$2000,MATCH($A235,vdata_regressors!$A$2:$A$2000,0)+1,MATCH(J$2,vdata_regressors!$A$1:$R$1,0)),"")</f>
        <v/>
      </c>
      <c r="K235" s="23" t="str">
        <f>IFERROR(INDEX(vdata_regressors!$A$1:$L$2000,MATCH($A235,vdata_regressors!$A$2:$A$2000,0)+1,MATCH(K$2,vdata_regressors!$A$1:$R$1,0)),"")</f>
        <v/>
      </c>
      <c r="L235" s="23" t="str">
        <f>IFERROR(INDEX(vdata_regressors!$A$1:$L$2000,MATCH($A235,vdata_regressors!$A$2:$A$2000,0)+1,MATCH(L$2,vdata_regressors!$A$1:$R$1,0)),"")</f>
        <v/>
      </c>
      <c r="M235" s="23" t="str">
        <f>IFERROR(VLOOKUP(A235,vdata_hours!$A$2:$B$1000,2,FALSE),"")</f>
        <v/>
      </c>
    </row>
    <row r="236" spans="1:13" x14ac:dyDescent="0.25">
      <c r="A236" s="23" t="str">
        <f>IF(vdata_hours!A235=0,"",vdata_hours!A235)</f>
        <v/>
      </c>
      <c r="B236" s="23" t="str">
        <f>IFERROR(INDEX(vdata_regressors!$A$1:$L$2000,MATCH($A236,vdata_regressors!$A$2:$A$2000,0)+1,MATCH(B$2,vdata_regressors!$A$1:$R$1,0)),"")</f>
        <v/>
      </c>
      <c r="C236" s="23" t="str">
        <f>IFERROR(INDEX(vdata_regressors!$A$1:$L$2000,MATCH($A236,vdata_regressors!$A$2:$A$2000,0)+1,MATCH(C$2,vdata_regressors!$A$1:$R$1,0)),"")</f>
        <v/>
      </c>
      <c r="D236" s="23" t="str">
        <f>IFERROR(INDEX(vdata_regressors!$A$1:$L$2000,MATCH($A236,vdata_regressors!$A$2:$A$2000,0)+1,MATCH(D$2,vdata_regressors!$A$1:$R$1,0)),"")</f>
        <v/>
      </c>
      <c r="E236" s="23" t="str">
        <f>IFERROR(INDEX(vdata_regressors!$A$1:$L$2000,MATCH($A236,vdata_regressors!$A$2:$A$2000,0)+1,MATCH(E$2,vdata_regressors!$A$1:$R$1,0)),"")</f>
        <v/>
      </c>
      <c r="F236" s="23" t="str">
        <f>IFERROR(INDEX(vdata_regressors!$A$1:$L$2000,MATCH($A236,vdata_regressors!$A$2:$A$2000,0)+1,MATCH(F$2,vdata_regressors!$A$1:$R$1,0)),"")</f>
        <v/>
      </c>
      <c r="G236" s="23" t="str">
        <f>IFERROR(INDEX(vdata_regressors!$A$1:$L$2000,MATCH($A236,vdata_regressors!$A$2:$A$2000,0)+1,MATCH(G$2,vdata_regressors!$A$1:$R$1,0)),"")</f>
        <v/>
      </c>
      <c r="H236" s="23" t="str">
        <f>IFERROR(INDEX(vdata_regressors!$A$1:$L$2000,MATCH($A236,vdata_regressors!$A$2:$A$2000,0)+1,MATCH(H$2,vdata_regressors!$A$1:$R$1,0)),"")</f>
        <v/>
      </c>
      <c r="I236" s="23" t="str">
        <f>IFERROR(INDEX(vdata_regressors!$A$1:$L$2000,MATCH($A236,vdata_regressors!$A$2:$A$2000,0)+1,MATCH(I$2,vdata_regressors!$A$1:$R$1,0)),"")</f>
        <v/>
      </c>
      <c r="J236" s="23" t="str">
        <f>IFERROR(INDEX(vdata_regressors!$A$1:$L$2000,MATCH($A236,vdata_regressors!$A$2:$A$2000,0)+1,MATCH(J$2,vdata_regressors!$A$1:$R$1,0)),"")</f>
        <v/>
      </c>
      <c r="K236" s="23" t="str">
        <f>IFERROR(INDEX(vdata_regressors!$A$1:$L$2000,MATCH($A236,vdata_regressors!$A$2:$A$2000,0)+1,MATCH(K$2,vdata_regressors!$A$1:$R$1,0)),"")</f>
        <v/>
      </c>
      <c r="L236" s="23" t="str">
        <f>IFERROR(INDEX(vdata_regressors!$A$1:$L$2000,MATCH($A236,vdata_regressors!$A$2:$A$2000,0)+1,MATCH(L$2,vdata_regressors!$A$1:$R$1,0)),"")</f>
        <v/>
      </c>
      <c r="M236" s="23" t="str">
        <f>IFERROR(VLOOKUP(A236,vdata_hours!$A$2:$B$1000,2,FALSE),"")</f>
        <v/>
      </c>
    </row>
    <row r="237" spans="1:13" x14ac:dyDescent="0.25">
      <c r="A237" s="23" t="str">
        <f>IF(vdata_hours!A236=0,"",vdata_hours!A236)</f>
        <v/>
      </c>
      <c r="B237" s="23" t="str">
        <f>IFERROR(INDEX(vdata_regressors!$A$1:$L$2000,MATCH($A237,vdata_regressors!$A$2:$A$2000,0)+1,MATCH(B$2,vdata_regressors!$A$1:$R$1,0)),"")</f>
        <v/>
      </c>
      <c r="C237" s="23" t="str">
        <f>IFERROR(INDEX(vdata_regressors!$A$1:$L$2000,MATCH($A237,vdata_regressors!$A$2:$A$2000,0)+1,MATCH(C$2,vdata_regressors!$A$1:$R$1,0)),"")</f>
        <v/>
      </c>
      <c r="D237" s="23" t="str">
        <f>IFERROR(INDEX(vdata_regressors!$A$1:$L$2000,MATCH($A237,vdata_regressors!$A$2:$A$2000,0)+1,MATCH(D$2,vdata_regressors!$A$1:$R$1,0)),"")</f>
        <v/>
      </c>
      <c r="E237" s="23" t="str">
        <f>IFERROR(INDEX(vdata_regressors!$A$1:$L$2000,MATCH($A237,vdata_regressors!$A$2:$A$2000,0)+1,MATCH(E$2,vdata_regressors!$A$1:$R$1,0)),"")</f>
        <v/>
      </c>
      <c r="F237" s="23" t="str">
        <f>IFERROR(INDEX(vdata_regressors!$A$1:$L$2000,MATCH($A237,vdata_regressors!$A$2:$A$2000,0)+1,MATCH(F$2,vdata_regressors!$A$1:$R$1,0)),"")</f>
        <v/>
      </c>
      <c r="G237" s="23" t="str">
        <f>IFERROR(INDEX(vdata_regressors!$A$1:$L$2000,MATCH($A237,vdata_regressors!$A$2:$A$2000,0)+1,MATCH(G$2,vdata_regressors!$A$1:$R$1,0)),"")</f>
        <v/>
      </c>
      <c r="H237" s="23" t="str">
        <f>IFERROR(INDEX(vdata_regressors!$A$1:$L$2000,MATCH($A237,vdata_regressors!$A$2:$A$2000,0)+1,MATCH(H$2,vdata_regressors!$A$1:$R$1,0)),"")</f>
        <v/>
      </c>
      <c r="I237" s="23" t="str">
        <f>IFERROR(INDEX(vdata_regressors!$A$1:$L$2000,MATCH($A237,vdata_regressors!$A$2:$A$2000,0)+1,MATCH(I$2,vdata_regressors!$A$1:$R$1,0)),"")</f>
        <v/>
      </c>
      <c r="J237" s="23" t="str">
        <f>IFERROR(INDEX(vdata_regressors!$A$1:$L$2000,MATCH($A237,vdata_regressors!$A$2:$A$2000,0)+1,MATCH(J$2,vdata_regressors!$A$1:$R$1,0)),"")</f>
        <v/>
      </c>
      <c r="K237" s="23" t="str">
        <f>IFERROR(INDEX(vdata_regressors!$A$1:$L$2000,MATCH($A237,vdata_regressors!$A$2:$A$2000,0)+1,MATCH(K$2,vdata_regressors!$A$1:$R$1,0)),"")</f>
        <v/>
      </c>
      <c r="L237" s="23" t="str">
        <f>IFERROR(INDEX(vdata_regressors!$A$1:$L$2000,MATCH($A237,vdata_regressors!$A$2:$A$2000,0)+1,MATCH(L$2,vdata_regressors!$A$1:$R$1,0)),"")</f>
        <v/>
      </c>
      <c r="M237" s="23" t="str">
        <f>IFERROR(VLOOKUP(A237,vdata_hours!$A$2:$B$1000,2,FALSE),"")</f>
        <v/>
      </c>
    </row>
    <row r="238" spans="1:13" x14ac:dyDescent="0.25">
      <c r="A238" s="23" t="str">
        <f>IF(vdata_hours!A237=0,"",vdata_hours!A237)</f>
        <v/>
      </c>
      <c r="B238" s="23" t="str">
        <f>IFERROR(INDEX(vdata_regressors!$A$1:$L$2000,MATCH($A238,vdata_regressors!$A$2:$A$2000,0)+1,MATCH(B$2,vdata_regressors!$A$1:$R$1,0)),"")</f>
        <v/>
      </c>
      <c r="C238" s="23" t="str">
        <f>IFERROR(INDEX(vdata_regressors!$A$1:$L$2000,MATCH($A238,vdata_regressors!$A$2:$A$2000,0)+1,MATCH(C$2,vdata_regressors!$A$1:$R$1,0)),"")</f>
        <v/>
      </c>
      <c r="D238" s="23" t="str">
        <f>IFERROR(INDEX(vdata_regressors!$A$1:$L$2000,MATCH($A238,vdata_regressors!$A$2:$A$2000,0)+1,MATCH(D$2,vdata_regressors!$A$1:$R$1,0)),"")</f>
        <v/>
      </c>
      <c r="E238" s="23" t="str">
        <f>IFERROR(INDEX(vdata_regressors!$A$1:$L$2000,MATCH($A238,vdata_regressors!$A$2:$A$2000,0)+1,MATCH(E$2,vdata_regressors!$A$1:$R$1,0)),"")</f>
        <v/>
      </c>
      <c r="F238" s="23" t="str">
        <f>IFERROR(INDEX(vdata_regressors!$A$1:$L$2000,MATCH($A238,vdata_regressors!$A$2:$A$2000,0)+1,MATCH(F$2,vdata_regressors!$A$1:$R$1,0)),"")</f>
        <v/>
      </c>
      <c r="G238" s="23" t="str">
        <f>IFERROR(INDEX(vdata_regressors!$A$1:$L$2000,MATCH($A238,vdata_regressors!$A$2:$A$2000,0)+1,MATCH(G$2,vdata_regressors!$A$1:$R$1,0)),"")</f>
        <v/>
      </c>
      <c r="H238" s="23" t="str">
        <f>IFERROR(INDEX(vdata_regressors!$A$1:$L$2000,MATCH($A238,vdata_regressors!$A$2:$A$2000,0)+1,MATCH(H$2,vdata_regressors!$A$1:$R$1,0)),"")</f>
        <v/>
      </c>
      <c r="I238" s="23" t="str">
        <f>IFERROR(INDEX(vdata_regressors!$A$1:$L$2000,MATCH($A238,vdata_regressors!$A$2:$A$2000,0)+1,MATCH(I$2,vdata_regressors!$A$1:$R$1,0)),"")</f>
        <v/>
      </c>
      <c r="J238" s="23" t="str">
        <f>IFERROR(INDEX(vdata_regressors!$A$1:$L$2000,MATCH($A238,vdata_regressors!$A$2:$A$2000,0)+1,MATCH(J$2,vdata_regressors!$A$1:$R$1,0)),"")</f>
        <v/>
      </c>
      <c r="K238" s="23" t="str">
        <f>IFERROR(INDEX(vdata_regressors!$A$1:$L$2000,MATCH($A238,vdata_regressors!$A$2:$A$2000,0)+1,MATCH(K$2,vdata_regressors!$A$1:$R$1,0)),"")</f>
        <v/>
      </c>
      <c r="L238" s="23" t="str">
        <f>IFERROR(INDEX(vdata_regressors!$A$1:$L$2000,MATCH($A238,vdata_regressors!$A$2:$A$2000,0)+1,MATCH(L$2,vdata_regressors!$A$1:$R$1,0)),"")</f>
        <v/>
      </c>
      <c r="M238" s="23" t="str">
        <f>IFERROR(VLOOKUP(A238,vdata_hours!$A$2:$B$1000,2,FALSE),"")</f>
        <v/>
      </c>
    </row>
    <row r="239" spans="1:13" x14ac:dyDescent="0.25">
      <c r="A239" s="23" t="str">
        <f>IF(vdata_hours!A238=0,"",vdata_hours!A238)</f>
        <v/>
      </c>
      <c r="B239" s="23" t="str">
        <f>IFERROR(INDEX(vdata_regressors!$A$1:$L$2000,MATCH($A239,vdata_regressors!$A$2:$A$2000,0)+1,MATCH(B$2,vdata_regressors!$A$1:$R$1,0)),"")</f>
        <v/>
      </c>
      <c r="C239" s="23" t="str">
        <f>IFERROR(INDEX(vdata_regressors!$A$1:$L$2000,MATCH($A239,vdata_regressors!$A$2:$A$2000,0)+1,MATCH(C$2,vdata_regressors!$A$1:$R$1,0)),"")</f>
        <v/>
      </c>
      <c r="D239" s="23" t="str">
        <f>IFERROR(INDEX(vdata_regressors!$A$1:$L$2000,MATCH($A239,vdata_regressors!$A$2:$A$2000,0)+1,MATCH(D$2,vdata_regressors!$A$1:$R$1,0)),"")</f>
        <v/>
      </c>
      <c r="E239" s="23" t="str">
        <f>IFERROR(INDEX(vdata_regressors!$A$1:$L$2000,MATCH($A239,vdata_regressors!$A$2:$A$2000,0)+1,MATCH(E$2,vdata_regressors!$A$1:$R$1,0)),"")</f>
        <v/>
      </c>
      <c r="F239" s="23" t="str">
        <f>IFERROR(INDEX(vdata_regressors!$A$1:$L$2000,MATCH($A239,vdata_regressors!$A$2:$A$2000,0)+1,MATCH(F$2,vdata_regressors!$A$1:$R$1,0)),"")</f>
        <v/>
      </c>
      <c r="G239" s="23" t="str">
        <f>IFERROR(INDEX(vdata_regressors!$A$1:$L$2000,MATCH($A239,vdata_regressors!$A$2:$A$2000,0)+1,MATCH(G$2,vdata_regressors!$A$1:$R$1,0)),"")</f>
        <v/>
      </c>
      <c r="H239" s="23" t="str">
        <f>IFERROR(INDEX(vdata_regressors!$A$1:$L$2000,MATCH($A239,vdata_regressors!$A$2:$A$2000,0)+1,MATCH(H$2,vdata_regressors!$A$1:$R$1,0)),"")</f>
        <v/>
      </c>
      <c r="I239" s="23" t="str">
        <f>IFERROR(INDEX(vdata_regressors!$A$1:$L$2000,MATCH($A239,vdata_regressors!$A$2:$A$2000,0)+1,MATCH(I$2,vdata_regressors!$A$1:$R$1,0)),"")</f>
        <v/>
      </c>
      <c r="J239" s="23" t="str">
        <f>IFERROR(INDEX(vdata_regressors!$A$1:$L$2000,MATCH($A239,vdata_regressors!$A$2:$A$2000,0)+1,MATCH(J$2,vdata_regressors!$A$1:$R$1,0)),"")</f>
        <v/>
      </c>
      <c r="K239" s="23" t="str">
        <f>IFERROR(INDEX(vdata_regressors!$A$1:$L$2000,MATCH($A239,vdata_regressors!$A$2:$A$2000,0)+1,MATCH(K$2,vdata_regressors!$A$1:$R$1,0)),"")</f>
        <v/>
      </c>
      <c r="L239" s="23" t="str">
        <f>IFERROR(INDEX(vdata_regressors!$A$1:$L$2000,MATCH($A239,vdata_regressors!$A$2:$A$2000,0)+1,MATCH(L$2,vdata_regressors!$A$1:$R$1,0)),"")</f>
        <v/>
      </c>
      <c r="M239" s="23" t="str">
        <f>IFERROR(VLOOKUP(A239,vdata_hours!$A$2:$B$1000,2,FALSE),"")</f>
        <v/>
      </c>
    </row>
    <row r="240" spans="1:13" x14ac:dyDescent="0.25">
      <c r="A240" s="23" t="str">
        <f>IF(vdata_hours!A239=0,"",vdata_hours!A239)</f>
        <v/>
      </c>
      <c r="B240" s="23" t="str">
        <f>IFERROR(INDEX(vdata_regressors!$A$1:$L$2000,MATCH($A240,vdata_regressors!$A$2:$A$2000,0)+1,MATCH(B$2,vdata_regressors!$A$1:$R$1,0)),"")</f>
        <v/>
      </c>
      <c r="C240" s="23" t="str">
        <f>IFERROR(INDEX(vdata_regressors!$A$1:$L$2000,MATCH($A240,vdata_regressors!$A$2:$A$2000,0)+1,MATCH(C$2,vdata_regressors!$A$1:$R$1,0)),"")</f>
        <v/>
      </c>
      <c r="D240" s="23" t="str">
        <f>IFERROR(INDEX(vdata_regressors!$A$1:$L$2000,MATCH($A240,vdata_regressors!$A$2:$A$2000,0)+1,MATCH(D$2,vdata_regressors!$A$1:$R$1,0)),"")</f>
        <v/>
      </c>
      <c r="E240" s="23" t="str">
        <f>IFERROR(INDEX(vdata_regressors!$A$1:$L$2000,MATCH($A240,vdata_regressors!$A$2:$A$2000,0)+1,MATCH(E$2,vdata_regressors!$A$1:$R$1,0)),"")</f>
        <v/>
      </c>
      <c r="F240" s="23" t="str">
        <f>IFERROR(INDEX(vdata_regressors!$A$1:$L$2000,MATCH($A240,vdata_regressors!$A$2:$A$2000,0)+1,MATCH(F$2,vdata_regressors!$A$1:$R$1,0)),"")</f>
        <v/>
      </c>
      <c r="G240" s="23" t="str">
        <f>IFERROR(INDEX(vdata_regressors!$A$1:$L$2000,MATCH($A240,vdata_regressors!$A$2:$A$2000,0)+1,MATCH(G$2,vdata_regressors!$A$1:$R$1,0)),"")</f>
        <v/>
      </c>
      <c r="H240" s="23" t="str">
        <f>IFERROR(INDEX(vdata_regressors!$A$1:$L$2000,MATCH($A240,vdata_regressors!$A$2:$A$2000,0)+1,MATCH(H$2,vdata_regressors!$A$1:$R$1,0)),"")</f>
        <v/>
      </c>
      <c r="I240" s="23" t="str">
        <f>IFERROR(INDEX(vdata_regressors!$A$1:$L$2000,MATCH($A240,vdata_regressors!$A$2:$A$2000,0)+1,MATCH(I$2,vdata_regressors!$A$1:$R$1,0)),"")</f>
        <v/>
      </c>
      <c r="J240" s="23" t="str">
        <f>IFERROR(INDEX(vdata_regressors!$A$1:$L$2000,MATCH($A240,vdata_regressors!$A$2:$A$2000,0)+1,MATCH(J$2,vdata_regressors!$A$1:$R$1,0)),"")</f>
        <v/>
      </c>
      <c r="K240" s="23" t="str">
        <f>IFERROR(INDEX(vdata_regressors!$A$1:$L$2000,MATCH($A240,vdata_regressors!$A$2:$A$2000,0)+1,MATCH(K$2,vdata_regressors!$A$1:$R$1,0)),"")</f>
        <v/>
      </c>
      <c r="L240" s="23" t="str">
        <f>IFERROR(INDEX(vdata_regressors!$A$1:$L$2000,MATCH($A240,vdata_regressors!$A$2:$A$2000,0)+1,MATCH(L$2,vdata_regressors!$A$1:$R$1,0)),"")</f>
        <v/>
      </c>
      <c r="M240" s="23" t="str">
        <f>IFERROR(VLOOKUP(A240,vdata_hours!$A$2:$B$1000,2,FALSE),"")</f>
        <v/>
      </c>
    </row>
    <row r="241" spans="1:13" x14ac:dyDescent="0.25">
      <c r="A241" s="23" t="str">
        <f>IF(vdata_hours!A240=0,"",vdata_hours!A240)</f>
        <v/>
      </c>
      <c r="B241" s="23" t="str">
        <f>IFERROR(INDEX(vdata_regressors!$A$1:$L$2000,MATCH($A241,vdata_regressors!$A$2:$A$2000,0)+1,MATCH(B$2,vdata_regressors!$A$1:$R$1,0)),"")</f>
        <v/>
      </c>
      <c r="C241" s="23" t="str">
        <f>IFERROR(INDEX(vdata_regressors!$A$1:$L$2000,MATCH($A241,vdata_regressors!$A$2:$A$2000,0)+1,MATCH(C$2,vdata_regressors!$A$1:$R$1,0)),"")</f>
        <v/>
      </c>
      <c r="D241" s="23" t="str">
        <f>IFERROR(INDEX(vdata_regressors!$A$1:$L$2000,MATCH($A241,vdata_regressors!$A$2:$A$2000,0)+1,MATCH(D$2,vdata_regressors!$A$1:$R$1,0)),"")</f>
        <v/>
      </c>
      <c r="E241" s="23" t="str">
        <f>IFERROR(INDEX(vdata_regressors!$A$1:$L$2000,MATCH($A241,vdata_regressors!$A$2:$A$2000,0)+1,MATCH(E$2,vdata_regressors!$A$1:$R$1,0)),"")</f>
        <v/>
      </c>
      <c r="F241" s="23" t="str">
        <f>IFERROR(INDEX(vdata_regressors!$A$1:$L$2000,MATCH($A241,vdata_regressors!$A$2:$A$2000,0)+1,MATCH(F$2,vdata_regressors!$A$1:$R$1,0)),"")</f>
        <v/>
      </c>
      <c r="G241" s="23" t="str">
        <f>IFERROR(INDEX(vdata_regressors!$A$1:$L$2000,MATCH($A241,vdata_regressors!$A$2:$A$2000,0)+1,MATCH(G$2,vdata_regressors!$A$1:$R$1,0)),"")</f>
        <v/>
      </c>
      <c r="H241" s="23" t="str">
        <f>IFERROR(INDEX(vdata_regressors!$A$1:$L$2000,MATCH($A241,vdata_regressors!$A$2:$A$2000,0)+1,MATCH(H$2,vdata_regressors!$A$1:$R$1,0)),"")</f>
        <v/>
      </c>
      <c r="I241" s="23" t="str">
        <f>IFERROR(INDEX(vdata_regressors!$A$1:$L$2000,MATCH($A241,vdata_regressors!$A$2:$A$2000,0)+1,MATCH(I$2,vdata_regressors!$A$1:$R$1,0)),"")</f>
        <v/>
      </c>
      <c r="J241" s="23" t="str">
        <f>IFERROR(INDEX(vdata_regressors!$A$1:$L$2000,MATCH($A241,vdata_regressors!$A$2:$A$2000,0)+1,MATCH(J$2,vdata_regressors!$A$1:$R$1,0)),"")</f>
        <v/>
      </c>
      <c r="K241" s="23" t="str">
        <f>IFERROR(INDEX(vdata_regressors!$A$1:$L$2000,MATCH($A241,vdata_regressors!$A$2:$A$2000,0)+1,MATCH(K$2,vdata_regressors!$A$1:$R$1,0)),"")</f>
        <v/>
      </c>
      <c r="L241" s="23" t="str">
        <f>IFERROR(INDEX(vdata_regressors!$A$1:$L$2000,MATCH($A241,vdata_regressors!$A$2:$A$2000,0)+1,MATCH(L$2,vdata_regressors!$A$1:$R$1,0)),"")</f>
        <v/>
      </c>
      <c r="M241" s="23" t="str">
        <f>IFERROR(VLOOKUP(A241,vdata_hours!$A$2:$B$1000,2,FALSE),"")</f>
        <v/>
      </c>
    </row>
    <row r="242" spans="1:13" x14ac:dyDescent="0.25">
      <c r="A242" s="23" t="str">
        <f>IF(vdata_hours!A241=0,"",vdata_hours!A241)</f>
        <v/>
      </c>
      <c r="B242" s="23" t="str">
        <f>IFERROR(INDEX(vdata_regressors!$A$1:$L$2000,MATCH($A242,vdata_regressors!$A$2:$A$2000,0)+1,MATCH(B$2,vdata_regressors!$A$1:$R$1,0)),"")</f>
        <v/>
      </c>
      <c r="C242" s="23" t="str">
        <f>IFERROR(INDEX(vdata_regressors!$A$1:$L$2000,MATCH($A242,vdata_regressors!$A$2:$A$2000,0)+1,MATCH(C$2,vdata_regressors!$A$1:$R$1,0)),"")</f>
        <v/>
      </c>
      <c r="D242" s="23" t="str">
        <f>IFERROR(INDEX(vdata_regressors!$A$1:$L$2000,MATCH($A242,vdata_regressors!$A$2:$A$2000,0)+1,MATCH(D$2,vdata_regressors!$A$1:$R$1,0)),"")</f>
        <v/>
      </c>
      <c r="E242" s="23" t="str">
        <f>IFERROR(INDEX(vdata_regressors!$A$1:$L$2000,MATCH($A242,vdata_regressors!$A$2:$A$2000,0)+1,MATCH(E$2,vdata_regressors!$A$1:$R$1,0)),"")</f>
        <v/>
      </c>
      <c r="F242" s="23" t="str">
        <f>IFERROR(INDEX(vdata_regressors!$A$1:$L$2000,MATCH($A242,vdata_regressors!$A$2:$A$2000,0)+1,MATCH(F$2,vdata_regressors!$A$1:$R$1,0)),"")</f>
        <v/>
      </c>
      <c r="G242" s="23" t="str">
        <f>IFERROR(INDEX(vdata_regressors!$A$1:$L$2000,MATCH($A242,vdata_regressors!$A$2:$A$2000,0)+1,MATCH(G$2,vdata_regressors!$A$1:$R$1,0)),"")</f>
        <v/>
      </c>
      <c r="H242" s="23" t="str">
        <f>IFERROR(INDEX(vdata_regressors!$A$1:$L$2000,MATCH($A242,vdata_regressors!$A$2:$A$2000,0)+1,MATCH(H$2,vdata_regressors!$A$1:$R$1,0)),"")</f>
        <v/>
      </c>
      <c r="I242" s="23" t="str">
        <f>IFERROR(INDEX(vdata_regressors!$A$1:$L$2000,MATCH($A242,vdata_regressors!$A$2:$A$2000,0)+1,MATCH(I$2,vdata_regressors!$A$1:$R$1,0)),"")</f>
        <v/>
      </c>
      <c r="J242" s="23" t="str">
        <f>IFERROR(INDEX(vdata_regressors!$A$1:$L$2000,MATCH($A242,vdata_regressors!$A$2:$A$2000,0)+1,MATCH(J$2,vdata_regressors!$A$1:$R$1,0)),"")</f>
        <v/>
      </c>
      <c r="K242" s="23" t="str">
        <f>IFERROR(INDEX(vdata_regressors!$A$1:$L$2000,MATCH($A242,vdata_regressors!$A$2:$A$2000,0)+1,MATCH(K$2,vdata_regressors!$A$1:$R$1,0)),"")</f>
        <v/>
      </c>
      <c r="L242" s="23" t="str">
        <f>IFERROR(INDEX(vdata_regressors!$A$1:$L$2000,MATCH($A242,vdata_regressors!$A$2:$A$2000,0)+1,MATCH(L$2,vdata_regressors!$A$1:$R$1,0)),"")</f>
        <v/>
      </c>
      <c r="M242" s="23" t="str">
        <f>IFERROR(VLOOKUP(A242,vdata_hours!$A$2:$B$1000,2,FALSE),"")</f>
        <v/>
      </c>
    </row>
    <row r="243" spans="1:13" x14ac:dyDescent="0.25">
      <c r="A243" s="23" t="str">
        <f>IF(vdata_hours!A242=0,"",vdata_hours!A242)</f>
        <v/>
      </c>
      <c r="B243" s="23" t="str">
        <f>IFERROR(INDEX(vdata_regressors!$A$1:$L$2000,MATCH($A243,vdata_regressors!$A$2:$A$2000,0)+1,MATCH(B$2,vdata_regressors!$A$1:$R$1,0)),"")</f>
        <v/>
      </c>
      <c r="C243" s="23" t="str">
        <f>IFERROR(INDEX(vdata_regressors!$A$1:$L$2000,MATCH($A243,vdata_regressors!$A$2:$A$2000,0)+1,MATCH(C$2,vdata_regressors!$A$1:$R$1,0)),"")</f>
        <v/>
      </c>
      <c r="D243" s="23" t="str">
        <f>IFERROR(INDEX(vdata_regressors!$A$1:$L$2000,MATCH($A243,vdata_regressors!$A$2:$A$2000,0)+1,MATCH(D$2,vdata_regressors!$A$1:$R$1,0)),"")</f>
        <v/>
      </c>
      <c r="E243" s="23" t="str">
        <f>IFERROR(INDEX(vdata_regressors!$A$1:$L$2000,MATCH($A243,vdata_regressors!$A$2:$A$2000,0)+1,MATCH(E$2,vdata_regressors!$A$1:$R$1,0)),"")</f>
        <v/>
      </c>
      <c r="F243" s="23" t="str">
        <f>IFERROR(INDEX(vdata_regressors!$A$1:$L$2000,MATCH($A243,vdata_regressors!$A$2:$A$2000,0)+1,MATCH(F$2,vdata_regressors!$A$1:$R$1,0)),"")</f>
        <v/>
      </c>
      <c r="G243" s="23" t="str">
        <f>IFERROR(INDEX(vdata_regressors!$A$1:$L$2000,MATCH($A243,vdata_regressors!$A$2:$A$2000,0)+1,MATCH(G$2,vdata_regressors!$A$1:$R$1,0)),"")</f>
        <v/>
      </c>
      <c r="H243" s="23" t="str">
        <f>IFERROR(INDEX(vdata_regressors!$A$1:$L$2000,MATCH($A243,vdata_regressors!$A$2:$A$2000,0)+1,MATCH(H$2,vdata_regressors!$A$1:$R$1,0)),"")</f>
        <v/>
      </c>
      <c r="I243" s="23" t="str">
        <f>IFERROR(INDEX(vdata_regressors!$A$1:$L$2000,MATCH($A243,vdata_regressors!$A$2:$A$2000,0)+1,MATCH(I$2,vdata_regressors!$A$1:$R$1,0)),"")</f>
        <v/>
      </c>
      <c r="J243" s="23" t="str">
        <f>IFERROR(INDEX(vdata_regressors!$A$1:$L$2000,MATCH($A243,vdata_regressors!$A$2:$A$2000,0)+1,MATCH(J$2,vdata_regressors!$A$1:$R$1,0)),"")</f>
        <v/>
      </c>
      <c r="K243" s="23" t="str">
        <f>IFERROR(INDEX(vdata_regressors!$A$1:$L$2000,MATCH($A243,vdata_regressors!$A$2:$A$2000,0)+1,MATCH(K$2,vdata_regressors!$A$1:$R$1,0)),"")</f>
        <v/>
      </c>
      <c r="L243" s="23" t="str">
        <f>IFERROR(INDEX(vdata_regressors!$A$1:$L$2000,MATCH($A243,vdata_regressors!$A$2:$A$2000,0)+1,MATCH(L$2,vdata_regressors!$A$1:$R$1,0)),"")</f>
        <v/>
      </c>
      <c r="M243" s="23" t="str">
        <f>IFERROR(VLOOKUP(A243,vdata_hours!$A$2:$B$1000,2,FALSE),"")</f>
        <v/>
      </c>
    </row>
    <row r="244" spans="1:13" x14ac:dyDescent="0.25">
      <c r="A244" s="23" t="str">
        <f>IF(vdata_hours!A243=0,"",vdata_hours!A243)</f>
        <v/>
      </c>
      <c r="B244" s="23" t="str">
        <f>IFERROR(INDEX(vdata_regressors!$A$1:$L$2000,MATCH($A244,vdata_regressors!$A$2:$A$2000,0)+1,MATCH(B$2,vdata_regressors!$A$1:$R$1,0)),"")</f>
        <v/>
      </c>
      <c r="C244" s="23" t="str">
        <f>IFERROR(INDEX(vdata_regressors!$A$1:$L$2000,MATCH($A244,vdata_regressors!$A$2:$A$2000,0)+1,MATCH(C$2,vdata_regressors!$A$1:$R$1,0)),"")</f>
        <v/>
      </c>
      <c r="D244" s="23" t="str">
        <f>IFERROR(INDEX(vdata_regressors!$A$1:$L$2000,MATCH($A244,vdata_regressors!$A$2:$A$2000,0)+1,MATCH(D$2,vdata_regressors!$A$1:$R$1,0)),"")</f>
        <v/>
      </c>
      <c r="E244" s="23" t="str">
        <f>IFERROR(INDEX(vdata_regressors!$A$1:$L$2000,MATCH($A244,vdata_regressors!$A$2:$A$2000,0)+1,MATCH(E$2,vdata_regressors!$A$1:$R$1,0)),"")</f>
        <v/>
      </c>
      <c r="F244" s="23" t="str">
        <f>IFERROR(INDEX(vdata_regressors!$A$1:$L$2000,MATCH($A244,vdata_regressors!$A$2:$A$2000,0)+1,MATCH(F$2,vdata_regressors!$A$1:$R$1,0)),"")</f>
        <v/>
      </c>
      <c r="G244" s="23" t="str">
        <f>IFERROR(INDEX(vdata_regressors!$A$1:$L$2000,MATCH($A244,vdata_regressors!$A$2:$A$2000,0)+1,MATCH(G$2,vdata_regressors!$A$1:$R$1,0)),"")</f>
        <v/>
      </c>
      <c r="H244" s="23" t="str">
        <f>IFERROR(INDEX(vdata_regressors!$A$1:$L$2000,MATCH($A244,vdata_regressors!$A$2:$A$2000,0)+1,MATCH(H$2,vdata_regressors!$A$1:$R$1,0)),"")</f>
        <v/>
      </c>
      <c r="I244" s="23" t="str">
        <f>IFERROR(INDEX(vdata_regressors!$A$1:$L$2000,MATCH($A244,vdata_regressors!$A$2:$A$2000,0)+1,MATCH(I$2,vdata_regressors!$A$1:$R$1,0)),"")</f>
        <v/>
      </c>
      <c r="J244" s="23" t="str">
        <f>IFERROR(INDEX(vdata_regressors!$A$1:$L$2000,MATCH($A244,vdata_regressors!$A$2:$A$2000,0)+1,MATCH(J$2,vdata_regressors!$A$1:$R$1,0)),"")</f>
        <v/>
      </c>
      <c r="K244" s="23" t="str">
        <f>IFERROR(INDEX(vdata_regressors!$A$1:$L$2000,MATCH($A244,vdata_regressors!$A$2:$A$2000,0)+1,MATCH(K$2,vdata_regressors!$A$1:$R$1,0)),"")</f>
        <v/>
      </c>
      <c r="L244" s="23" t="str">
        <f>IFERROR(INDEX(vdata_regressors!$A$1:$L$2000,MATCH($A244,vdata_regressors!$A$2:$A$2000,0)+1,MATCH(L$2,vdata_regressors!$A$1:$R$1,0)),"")</f>
        <v/>
      </c>
      <c r="M244" s="23" t="str">
        <f>IFERROR(VLOOKUP(A244,vdata_hours!$A$2:$B$1000,2,FALSE),"")</f>
        <v/>
      </c>
    </row>
    <row r="245" spans="1:13" x14ac:dyDescent="0.25">
      <c r="A245" s="23" t="str">
        <f>IF(vdata_hours!A244=0,"",vdata_hours!A244)</f>
        <v/>
      </c>
      <c r="B245" s="23" t="str">
        <f>IFERROR(INDEX(vdata_regressors!$A$1:$L$2000,MATCH($A245,vdata_regressors!$A$2:$A$2000,0)+1,MATCH(B$2,vdata_regressors!$A$1:$R$1,0)),"")</f>
        <v/>
      </c>
      <c r="C245" s="23" t="str">
        <f>IFERROR(INDEX(vdata_regressors!$A$1:$L$2000,MATCH($A245,vdata_regressors!$A$2:$A$2000,0)+1,MATCH(C$2,vdata_regressors!$A$1:$R$1,0)),"")</f>
        <v/>
      </c>
      <c r="D245" s="23" t="str">
        <f>IFERROR(INDEX(vdata_regressors!$A$1:$L$2000,MATCH($A245,vdata_regressors!$A$2:$A$2000,0)+1,MATCH(D$2,vdata_regressors!$A$1:$R$1,0)),"")</f>
        <v/>
      </c>
      <c r="E245" s="23" t="str">
        <f>IFERROR(INDEX(vdata_regressors!$A$1:$L$2000,MATCH($A245,vdata_regressors!$A$2:$A$2000,0)+1,MATCH(E$2,vdata_regressors!$A$1:$R$1,0)),"")</f>
        <v/>
      </c>
      <c r="F245" s="23" t="str">
        <f>IFERROR(INDEX(vdata_regressors!$A$1:$L$2000,MATCH($A245,vdata_regressors!$A$2:$A$2000,0)+1,MATCH(F$2,vdata_regressors!$A$1:$R$1,0)),"")</f>
        <v/>
      </c>
      <c r="G245" s="23" t="str">
        <f>IFERROR(INDEX(vdata_regressors!$A$1:$L$2000,MATCH($A245,vdata_regressors!$A$2:$A$2000,0)+1,MATCH(G$2,vdata_regressors!$A$1:$R$1,0)),"")</f>
        <v/>
      </c>
      <c r="H245" s="23" t="str">
        <f>IFERROR(INDEX(vdata_regressors!$A$1:$L$2000,MATCH($A245,vdata_regressors!$A$2:$A$2000,0)+1,MATCH(H$2,vdata_regressors!$A$1:$R$1,0)),"")</f>
        <v/>
      </c>
      <c r="I245" s="23" t="str">
        <f>IFERROR(INDEX(vdata_regressors!$A$1:$L$2000,MATCH($A245,vdata_regressors!$A$2:$A$2000,0)+1,MATCH(I$2,vdata_regressors!$A$1:$R$1,0)),"")</f>
        <v/>
      </c>
      <c r="J245" s="23" t="str">
        <f>IFERROR(INDEX(vdata_regressors!$A$1:$L$2000,MATCH($A245,vdata_regressors!$A$2:$A$2000,0)+1,MATCH(J$2,vdata_regressors!$A$1:$R$1,0)),"")</f>
        <v/>
      </c>
      <c r="K245" s="23" t="str">
        <f>IFERROR(INDEX(vdata_regressors!$A$1:$L$2000,MATCH($A245,vdata_regressors!$A$2:$A$2000,0)+1,MATCH(K$2,vdata_regressors!$A$1:$R$1,0)),"")</f>
        <v/>
      </c>
      <c r="L245" s="23" t="str">
        <f>IFERROR(INDEX(vdata_regressors!$A$1:$L$2000,MATCH($A245,vdata_regressors!$A$2:$A$2000,0)+1,MATCH(L$2,vdata_regressors!$A$1:$R$1,0)),"")</f>
        <v/>
      </c>
      <c r="M245" s="23" t="str">
        <f>IFERROR(VLOOKUP(A245,vdata_hours!$A$2:$B$1000,2,FALSE),"")</f>
        <v/>
      </c>
    </row>
    <row r="246" spans="1:13" x14ac:dyDescent="0.25">
      <c r="A246" s="23" t="str">
        <f>IF(vdata_hours!A245=0,"",vdata_hours!A245)</f>
        <v/>
      </c>
      <c r="B246" s="23" t="str">
        <f>IFERROR(INDEX(vdata_regressors!$A$1:$L$2000,MATCH($A246,vdata_regressors!$A$2:$A$2000,0)+1,MATCH(B$2,vdata_regressors!$A$1:$R$1,0)),"")</f>
        <v/>
      </c>
      <c r="C246" s="23" t="str">
        <f>IFERROR(INDEX(vdata_regressors!$A$1:$L$2000,MATCH($A246,vdata_regressors!$A$2:$A$2000,0)+1,MATCH(C$2,vdata_regressors!$A$1:$R$1,0)),"")</f>
        <v/>
      </c>
      <c r="D246" s="23" t="str">
        <f>IFERROR(INDEX(vdata_regressors!$A$1:$L$2000,MATCH($A246,vdata_regressors!$A$2:$A$2000,0)+1,MATCH(D$2,vdata_regressors!$A$1:$R$1,0)),"")</f>
        <v/>
      </c>
      <c r="E246" s="23" t="str">
        <f>IFERROR(INDEX(vdata_regressors!$A$1:$L$2000,MATCH($A246,vdata_regressors!$A$2:$A$2000,0)+1,MATCH(E$2,vdata_regressors!$A$1:$R$1,0)),"")</f>
        <v/>
      </c>
      <c r="F246" s="23" t="str">
        <f>IFERROR(INDEX(vdata_regressors!$A$1:$L$2000,MATCH($A246,vdata_regressors!$A$2:$A$2000,0)+1,MATCH(F$2,vdata_regressors!$A$1:$R$1,0)),"")</f>
        <v/>
      </c>
      <c r="G246" s="23" t="str">
        <f>IFERROR(INDEX(vdata_regressors!$A$1:$L$2000,MATCH($A246,vdata_regressors!$A$2:$A$2000,0)+1,MATCH(G$2,vdata_regressors!$A$1:$R$1,0)),"")</f>
        <v/>
      </c>
      <c r="H246" s="23" t="str">
        <f>IFERROR(INDEX(vdata_regressors!$A$1:$L$2000,MATCH($A246,vdata_regressors!$A$2:$A$2000,0)+1,MATCH(H$2,vdata_regressors!$A$1:$R$1,0)),"")</f>
        <v/>
      </c>
      <c r="I246" s="23" t="str">
        <f>IFERROR(INDEX(vdata_regressors!$A$1:$L$2000,MATCH($A246,vdata_regressors!$A$2:$A$2000,0)+1,MATCH(I$2,vdata_regressors!$A$1:$R$1,0)),"")</f>
        <v/>
      </c>
      <c r="J246" s="23" t="str">
        <f>IFERROR(INDEX(vdata_regressors!$A$1:$L$2000,MATCH($A246,vdata_regressors!$A$2:$A$2000,0)+1,MATCH(J$2,vdata_regressors!$A$1:$R$1,0)),"")</f>
        <v/>
      </c>
      <c r="K246" s="23" t="str">
        <f>IFERROR(INDEX(vdata_regressors!$A$1:$L$2000,MATCH($A246,vdata_regressors!$A$2:$A$2000,0)+1,MATCH(K$2,vdata_regressors!$A$1:$R$1,0)),"")</f>
        <v/>
      </c>
      <c r="L246" s="23" t="str">
        <f>IFERROR(INDEX(vdata_regressors!$A$1:$L$2000,MATCH($A246,vdata_regressors!$A$2:$A$2000,0)+1,MATCH(L$2,vdata_regressors!$A$1:$R$1,0)),"")</f>
        <v/>
      </c>
      <c r="M246" s="23" t="str">
        <f>IFERROR(VLOOKUP(A246,vdata_hours!$A$2:$B$1000,2,FALSE),"")</f>
        <v/>
      </c>
    </row>
    <row r="247" spans="1:13" x14ac:dyDescent="0.25">
      <c r="A247" s="23" t="str">
        <f>IF(vdata_hours!A246=0,"",vdata_hours!A246)</f>
        <v/>
      </c>
      <c r="B247" s="23" t="str">
        <f>IFERROR(INDEX(vdata_regressors!$A$1:$L$2000,MATCH($A247,vdata_regressors!$A$2:$A$2000,0)+1,MATCH(B$2,vdata_regressors!$A$1:$R$1,0)),"")</f>
        <v/>
      </c>
      <c r="C247" s="23" t="str">
        <f>IFERROR(INDEX(vdata_regressors!$A$1:$L$2000,MATCH($A247,vdata_regressors!$A$2:$A$2000,0)+1,MATCH(C$2,vdata_regressors!$A$1:$R$1,0)),"")</f>
        <v/>
      </c>
      <c r="D247" s="23" t="str">
        <f>IFERROR(INDEX(vdata_regressors!$A$1:$L$2000,MATCH($A247,vdata_regressors!$A$2:$A$2000,0)+1,MATCH(D$2,vdata_regressors!$A$1:$R$1,0)),"")</f>
        <v/>
      </c>
      <c r="E247" s="23" t="str">
        <f>IFERROR(INDEX(vdata_regressors!$A$1:$L$2000,MATCH($A247,vdata_regressors!$A$2:$A$2000,0)+1,MATCH(E$2,vdata_regressors!$A$1:$R$1,0)),"")</f>
        <v/>
      </c>
      <c r="F247" s="23" t="str">
        <f>IFERROR(INDEX(vdata_regressors!$A$1:$L$2000,MATCH($A247,vdata_regressors!$A$2:$A$2000,0)+1,MATCH(F$2,vdata_regressors!$A$1:$R$1,0)),"")</f>
        <v/>
      </c>
      <c r="G247" s="23" t="str">
        <f>IFERROR(INDEX(vdata_regressors!$A$1:$L$2000,MATCH($A247,vdata_regressors!$A$2:$A$2000,0)+1,MATCH(G$2,vdata_regressors!$A$1:$R$1,0)),"")</f>
        <v/>
      </c>
      <c r="H247" s="23" t="str">
        <f>IFERROR(INDEX(vdata_regressors!$A$1:$L$2000,MATCH($A247,vdata_regressors!$A$2:$A$2000,0)+1,MATCH(H$2,vdata_regressors!$A$1:$R$1,0)),"")</f>
        <v/>
      </c>
      <c r="I247" s="23" t="str">
        <f>IFERROR(INDEX(vdata_regressors!$A$1:$L$2000,MATCH($A247,vdata_regressors!$A$2:$A$2000,0)+1,MATCH(I$2,vdata_regressors!$A$1:$R$1,0)),"")</f>
        <v/>
      </c>
      <c r="J247" s="23" t="str">
        <f>IFERROR(INDEX(vdata_regressors!$A$1:$L$2000,MATCH($A247,vdata_regressors!$A$2:$A$2000,0)+1,MATCH(J$2,vdata_regressors!$A$1:$R$1,0)),"")</f>
        <v/>
      </c>
      <c r="K247" s="23" t="str">
        <f>IFERROR(INDEX(vdata_regressors!$A$1:$L$2000,MATCH($A247,vdata_regressors!$A$2:$A$2000,0)+1,MATCH(K$2,vdata_regressors!$A$1:$R$1,0)),"")</f>
        <v/>
      </c>
      <c r="L247" s="23" t="str">
        <f>IFERROR(INDEX(vdata_regressors!$A$1:$L$2000,MATCH($A247,vdata_regressors!$A$2:$A$2000,0)+1,MATCH(L$2,vdata_regressors!$A$1:$R$1,0)),"")</f>
        <v/>
      </c>
      <c r="M247" s="23" t="str">
        <f>IFERROR(VLOOKUP(A247,vdata_hours!$A$2:$B$1000,2,FALSE),"")</f>
        <v/>
      </c>
    </row>
    <row r="248" spans="1:13" x14ac:dyDescent="0.25">
      <c r="A248" s="23" t="str">
        <f>IF(vdata_hours!A247=0,"",vdata_hours!A247)</f>
        <v/>
      </c>
      <c r="B248" s="23" t="str">
        <f>IFERROR(INDEX(vdata_regressors!$A$1:$L$2000,MATCH($A248,vdata_regressors!$A$2:$A$2000,0)+1,MATCH(B$2,vdata_regressors!$A$1:$R$1,0)),"")</f>
        <v/>
      </c>
      <c r="C248" s="23" t="str">
        <f>IFERROR(INDEX(vdata_regressors!$A$1:$L$2000,MATCH($A248,vdata_regressors!$A$2:$A$2000,0)+1,MATCH(C$2,vdata_regressors!$A$1:$R$1,0)),"")</f>
        <v/>
      </c>
      <c r="D248" s="23" t="str">
        <f>IFERROR(INDEX(vdata_regressors!$A$1:$L$2000,MATCH($A248,vdata_regressors!$A$2:$A$2000,0)+1,MATCH(D$2,vdata_regressors!$A$1:$R$1,0)),"")</f>
        <v/>
      </c>
      <c r="E248" s="23" t="str">
        <f>IFERROR(INDEX(vdata_regressors!$A$1:$L$2000,MATCH($A248,vdata_regressors!$A$2:$A$2000,0)+1,MATCH(E$2,vdata_regressors!$A$1:$R$1,0)),"")</f>
        <v/>
      </c>
      <c r="F248" s="23" t="str">
        <f>IFERROR(INDEX(vdata_regressors!$A$1:$L$2000,MATCH($A248,vdata_regressors!$A$2:$A$2000,0)+1,MATCH(F$2,vdata_regressors!$A$1:$R$1,0)),"")</f>
        <v/>
      </c>
      <c r="G248" s="23" t="str">
        <f>IFERROR(INDEX(vdata_regressors!$A$1:$L$2000,MATCH($A248,vdata_regressors!$A$2:$A$2000,0)+1,MATCH(G$2,vdata_regressors!$A$1:$R$1,0)),"")</f>
        <v/>
      </c>
      <c r="H248" s="23" t="str">
        <f>IFERROR(INDEX(vdata_regressors!$A$1:$L$2000,MATCH($A248,vdata_regressors!$A$2:$A$2000,0)+1,MATCH(H$2,vdata_regressors!$A$1:$R$1,0)),"")</f>
        <v/>
      </c>
      <c r="I248" s="23" t="str">
        <f>IFERROR(INDEX(vdata_regressors!$A$1:$L$2000,MATCH($A248,vdata_regressors!$A$2:$A$2000,0)+1,MATCH(I$2,vdata_regressors!$A$1:$R$1,0)),"")</f>
        <v/>
      </c>
      <c r="J248" s="23" t="str">
        <f>IFERROR(INDEX(vdata_regressors!$A$1:$L$2000,MATCH($A248,vdata_regressors!$A$2:$A$2000,0)+1,MATCH(J$2,vdata_regressors!$A$1:$R$1,0)),"")</f>
        <v/>
      </c>
      <c r="K248" s="23" t="str">
        <f>IFERROR(INDEX(vdata_regressors!$A$1:$L$2000,MATCH($A248,vdata_regressors!$A$2:$A$2000,0)+1,MATCH(K$2,vdata_regressors!$A$1:$R$1,0)),"")</f>
        <v/>
      </c>
      <c r="L248" s="23" t="str">
        <f>IFERROR(INDEX(vdata_regressors!$A$1:$L$2000,MATCH($A248,vdata_regressors!$A$2:$A$2000,0)+1,MATCH(L$2,vdata_regressors!$A$1:$R$1,0)),"")</f>
        <v/>
      </c>
      <c r="M248" s="23" t="str">
        <f>IFERROR(VLOOKUP(A248,vdata_hours!$A$2:$B$1000,2,FALSE),"")</f>
        <v/>
      </c>
    </row>
    <row r="249" spans="1:13" x14ac:dyDescent="0.25">
      <c r="A249" s="23" t="str">
        <f>IF(vdata_hours!A248=0,"",vdata_hours!A248)</f>
        <v/>
      </c>
      <c r="B249" s="23" t="str">
        <f>IFERROR(INDEX(vdata_regressors!$A$1:$L$2000,MATCH($A249,vdata_regressors!$A$2:$A$2000,0)+1,MATCH(B$2,vdata_regressors!$A$1:$R$1,0)),"")</f>
        <v/>
      </c>
      <c r="C249" s="23" t="str">
        <f>IFERROR(INDEX(vdata_regressors!$A$1:$L$2000,MATCH($A249,vdata_regressors!$A$2:$A$2000,0)+1,MATCH(C$2,vdata_regressors!$A$1:$R$1,0)),"")</f>
        <v/>
      </c>
      <c r="D249" s="23" t="str">
        <f>IFERROR(INDEX(vdata_regressors!$A$1:$L$2000,MATCH($A249,vdata_regressors!$A$2:$A$2000,0)+1,MATCH(D$2,vdata_regressors!$A$1:$R$1,0)),"")</f>
        <v/>
      </c>
      <c r="E249" s="23" t="str">
        <f>IFERROR(INDEX(vdata_regressors!$A$1:$L$2000,MATCH($A249,vdata_regressors!$A$2:$A$2000,0)+1,MATCH(E$2,vdata_regressors!$A$1:$R$1,0)),"")</f>
        <v/>
      </c>
      <c r="F249" s="23" t="str">
        <f>IFERROR(INDEX(vdata_regressors!$A$1:$L$2000,MATCH($A249,vdata_regressors!$A$2:$A$2000,0)+1,MATCH(F$2,vdata_regressors!$A$1:$R$1,0)),"")</f>
        <v/>
      </c>
      <c r="G249" s="23" t="str">
        <f>IFERROR(INDEX(vdata_regressors!$A$1:$L$2000,MATCH($A249,vdata_regressors!$A$2:$A$2000,0)+1,MATCH(G$2,vdata_regressors!$A$1:$R$1,0)),"")</f>
        <v/>
      </c>
      <c r="H249" s="23" t="str">
        <f>IFERROR(INDEX(vdata_regressors!$A$1:$L$2000,MATCH($A249,vdata_regressors!$A$2:$A$2000,0)+1,MATCH(H$2,vdata_regressors!$A$1:$R$1,0)),"")</f>
        <v/>
      </c>
      <c r="I249" s="23" t="str">
        <f>IFERROR(INDEX(vdata_regressors!$A$1:$L$2000,MATCH($A249,vdata_regressors!$A$2:$A$2000,0)+1,MATCH(I$2,vdata_regressors!$A$1:$R$1,0)),"")</f>
        <v/>
      </c>
      <c r="J249" s="23" t="str">
        <f>IFERROR(INDEX(vdata_regressors!$A$1:$L$2000,MATCH($A249,vdata_regressors!$A$2:$A$2000,0)+1,MATCH(J$2,vdata_regressors!$A$1:$R$1,0)),"")</f>
        <v/>
      </c>
      <c r="K249" s="23" t="str">
        <f>IFERROR(INDEX(vdata_regressors!$A$1:$L$2000,MATCH($A249,vdata_regressors!$A$2:$A$2000,0)+1,MATCH(K$2,vdata_regressors!$A$1:$R$1,0)),"")</f>
        <v/>
      </c>
      <c r="L249" s="23" t="str">
        <f>IFERROR(INDEX(vdata_regressors!$A$1:$L$2000,MATCH($A249,vdata_regressors!$A$2:$A$2000,0)+1,MATCH(L$2,vdata_regressors!$A$1:$R$1,0)),"")</f>
        <v/>
      </c>
      <c r="M249" s="23" t="str">
        <f>IFERROR(VLOOKUP(A249,vdata_hours!$A$2:$B$1000,2,FALSE),"")</f>
        <v/>
      </c>
    </row>
    <row r="250" spans="1:13" x14ac:dyDescent="0.25">
      <c r="A250" s="23" t="str">
        <f>IF(vdata_hours!A249=0,"",vdata_hours!A249)</f>
        <v/>
      </c>
      <c r="B250" s="23" t="str">
        <f>IFERROR(INDEX(vdata_regressors!$A$1:$L$2000,MATCH($A250,vdata_regressors!$A$2:$A$2000,0)+1,MATCH(B$2,vdata_regressors!$A$1:$R$1,0)),"")</f>
        <v/>
      </c>
      <c r="C250" s="23" t="str">
        <f>IFERROR(INDEX(vdata_regressors!$A$1:$L$2000,MATCH($A250,vdata_regressors!$A$2:$A$2000,0)+1,MATCH(C$2,vdata_regressors!$A$1:$R$1,0)),"")</f>
        <v/>
      </c>
      <c r="D250" s="23" t="str">
        <f>IFERROR(INDEX(vdata_regressors!$A$1:$L$2000,MATCH($A250,vdata_regressors!$A$2:$A$2000,0)+1,MATCH(D$2,vdata_regressors!$A$1:$R$1,0)),"")</f>
        <v/>
      </c>
      <c r="E250" s="23" t="str">
        <f>IFERROR(INDEX(vdata_regressors!$A$1:$L$2000,MATCH($A250,vdata_regressors!$A$2:$A$2000,0)+1,MATCH(E$2,vdata_regressors!$A$1:$R$1,0)),"")</f>
        <v/>
      </c>
      <c r="F250" s="23" t="str">
        <f>IFERROR(INDEX(vdata_regressors!$A$1:$L$2000,MATCH($A250,vdata_regressors!$A$2:$A$2000,0)+1,MATCH(F$2,vdata_regressors!$A$1:$R$1,0)),"")</f>
        <v/>
      </c>
      <c r="G250" s="23" t="str">
        <f>IFERROR(INDEX(vdata_regressors!$A$1:$L$2000,MATCH($A250,vdata_regressors!$A$2:$A$2000,0)+1,MATCH(G$2,vdata_regressors!$A$1:$R$1,0)),"")</f>
        <v/>
      </c>
      <c r="H250" s="23" t="str">
        <f>IFERROR(INDEX(vdata_regressors!$A$1:$L$2000,MATCH($A250,vdata_regressors!$A$2:$A$2000,0)+1,MATCH(H$2,vdata_regressors!$A$1:$R$1,0)),"")</f>
        <v/>
      </c>
      <c r="I250" s="23" t="str">
        <f>IFERROR(INDEX(vdata_regressors!$A$1:$L$2000,MATCH($A250,vdata_regressors!$A$2:$A$2000,0)+1,MATCH(I$2,vdata_regressors!$A$1:$R$1,0)),"")</f>
        <v/>
      </c>
      <c r="J250" s="23" t="str">
        <f>IFERROR(INDEX(vdata_regressors!$A$1:$L$2000,MATCH($A250,vdata_regressors!$A$2:$A$2000,0)+1,MATCH(J$2,vdata_regressors!$A$1:$R$1,0)),"")</f>
        <v/>
      </c>
      <c r="K250" s="23" t="str">
        <f>IFERROR(INDEX(vdata_regressors!$A$1:$L$2000,MATCH($A250,vdata_regressors!$A$2:$A$2000,0)+1,MATCH(K$2,vdata_regressors!$A$1:$R$1,0)),"")</f>
        <v/>
      </c>
      <c r="L250" s="23" t="str">
        <f>IFERROR(INDEX(vdata_regressors!$A$1:$L$2000,MATCH($A250,vdata_regressors!$A$2:$A$2000,0)+1,MATCH(L$2,vdata_regressors!$A$1:$R$1,0)),"")</f>
        <v/>
      </c>
      <c r="M250" s="23" t="str">
        <f>IFERROR(VLOOKUP(A250,vdata_hours!$A$2:$B$1000,2,FALSE),"")</f>
        <v/>
      </c>
    </row>
    <row r="251" spans="1:13" x14ac:dyDescent="0.25">
      <c r="A251" s="23" t="str">
        <f>IF(vdata_hours!A250=0,"",vdata_hours!A250)</f>
        <v/>
      </c>
      <c r="B251" s="23" t="str">
        <f>IFERROR(INDEX(vdata_regressors!$A$1:$L$2000,MATCH($A251,vdata_regressors!$A$2:$A$2000,0)+1,MATCH(B$2,vdata_regressors!$A$1:$R$1,0)),"")</f>
        <v/>
      </c>
      <c r="C251" s="23" t="str">
        <f>IFERROR(INDEX(vdata_regressors!$A$1:$L$2000,MATCH($A251,vdata_regressors!$A$2:$A$2000,0)+1,MATCH(C$2,vdata_regressors!$A$1:$R$1,0)),"")</f>
        <v/>
      </c>
      <c r="D251" s="23" t="str">
        <f>IFERROR(INDEX(vdata_regressors!$A$1:$L$2000,MATCH($A251,vdata_regressors!$A$2:$A$2000,0)+1,MATCH(D$2,vdata_regressors!$A$1:$R$1,0)),"")</f>
        <v/>
      </c>
      <c r="E251" s="23" t="str">
        <f>IFERROR(INDEX(vdata_regressors!$A$1:$L$2000,MATCH($A251,vdata_regressors!$A$2:$A$2000,0)+1,MATCH(E$2,vdata_regressors!$A$1:$R$1,0)),"")</f>
        <v/>
      </c>
      <c r="F251" s="23" t="str">
        <f>IFERROR(INDEX(vdata_regressors!$A$1:$L$2000,MATCH($A251,vdata_regressors!$A$2:$A$2000,0)+1,MATCH(F$2,vdata_regressors!$A$1:$R$1,0)),"")</f>
        <v/>
      </c>
      <c r="G251" s="23" t="str">
        <f>IFERROR(INDEX(vdata_regressors!$A$1:$L$2000,MATCH($A251,vdata_regressors!$A$2:$A$2000,0)+1,MATCH(G$2,vdata_regressors!$A$1:$R$1,0)),"")</f>
        <v/>
      </c>
      <c r="H251" s="23" t="str">
        <f>IFERROR(INDEX(vdata_regressors!$A$1:$L$2000,MATCH($A251,vdata_regressors!$A$2:$A$2000,0)+1,MATCH(H$2,vdata_regressors!$A$1:$R$1,0)),"")</f>
        <v/>
      </c>
      <c r="I251" s="23" t="str">
        <f>IFERROR(INDEX(vdata_regressors!$A$1:$L$2000,MATCH($A251,vdata_regressors!$A$2:$A$2000,0)+1,MATCH(I$2,vdata_regressors!$A$1:$R$1,0)),"")</f>
        <v/>
      </c>
      <c r="J251" s="23" t="str">
        <f>IFERROR(INDEX(vdata_regressors!$A$1:$L$2000,MATCH($A251,vdata_regressors!$A$2:$A$2000,0)+1,MATCH(J$2,vdata_regressors!$A$1:$R$1,0)),"")</f>
        <v/>
      </c>
      <c r="K251" s="23" t="str">
        <f>IFERROR(INDEX(vdata_regressors!$A$1:$L$2000,MATCH($A251,vdata_regressors!$A$2:$A$2000,0)+1,MATCH(K$2,vdata_regressors!$A$1:$R$1,0)),"")</f>
        <v/>
      </c>
      <c r="L251" s="23" t="str">
        <f>IFERROR(INDEX(vdata_regressors!$A$1:$L$2000,MATCH($A251,vdata_regressors!$A$2:$A$2000,0)+1,MATCH(L$2,vdata_regressors!$A$1:$R$1,0)),"")</f>
        <v/>
      </c>
      <c r="M251" s="23" t="str">
        <f>IFERROR(VLOOKUP(A251,vdata_hours!$A$2:$B$1000,2,FALSE),"")</f>
        <v/>
      </c>
    </row>
    <row r="252" spans="1:13" x14ac:dyDescent="0.25">
      <c r="A252" s="23" t="str">
        <f>IF(vdata_hours!A251=0,"",vdata_hours!A251)</f>
        <v/>
      </c>
      <c r="B252" s="23" t="str">
        <f>IFERROR(INDEX(vdata_regressors!$A$1:$L$2000,MATCH($A252,vdata_regressors!$A$2:$A$2000,0)+1,MATCH(B$2,vdata_regressors!$A$1:$R$1,0)),"")</f>
        <v/>
      </c>
      <c r="C252" s="23" t="str">
        <f>IFERROR(INDEX(vdata_regressors!$A$1:$L$2000,MATCH($A252,vdata_regressors!$A$2:$A$2000,0)+1,MATCH(C$2,vdata_regressors!$A$1:$R$1,0)),"")</f>
        <v/>
      </c>
      <c r="D252" s="23" t="str">
        <f>IFERROR(INDEX(vdata_regressors!$A$1:$L$2000,MATCH($A252,vdata_regressors!$A$2:$A$2000,0)+1,MATCH(D$2,vdata_regressors!$A$1:$R$1,0)),"")</f>
        <v/>
      </c>
      <c r="E252" s="23" t="str">
        <f>IFERROR(INDEX(vdata_regressors!$A$1:$L$2000,MATCH($A252,vdata_regressors!$A$2:$A$2000,0)+1,MATCH(E$2,vdata_regressors!$A$1:$R$1,0)),"")</f>
        <v/>
      </c>
      <c r="F252" s="23" t="str">
        <f>IFERROR(INDEX(vdata_regressors!$A$1:$L$2000,MATCH($A252,vdata_regressors!$A$2:$A$2000,0)+1,MATCH(F$2,vdata_regressors!$A$1:$R$1,0)),"")</f>
        <v/>
      </c>
      <c r="G252" s="23" t="str">
        <f>IFERROR(INDEX(vdata_regressors!$A$1:$L$2000,MATCH($A252,vdata_regressors!$A$2:$A$2000,0)+1,MATCH(G$2,vdata_regressors!$A$1:$R$1,0)),"")</f>
        <v/>
      </c>
      <c r="H252" s="23" t="str">
        <f>IFERROR(INDEX(vdata_regressors!$A$1:$L$2000,MATCH($A252,vdata_regressors!$A$2:$A$2000,0)+1,MATCH(H$2,vdata_regressors!$A$1:$R$1,0)),"")</f>
        <v/>
      </c>
      <c r="I252" s="23" t="str">
        <f>IFERROR(INDEX(vdata_regressors!$A$1:$L$2000,MATCH($A252,vdata_regressors!$A$2:$A$2000,0)+1,MATCH(I$2,vdata_regressors!$A$1:$R$1,0)),"")</f>
        <v/>
      </c>
      <c r="J252" s="23" t="str">
        <f>IFERROR(INDEX(vdata_regressors!$A$1:$L$2000,MATCH($A252,vdata_regressors!$A$2:$A$2000,0)+1,MATCH(J$2,vdata_regressors!$A$1:$R$1,0)),"")</f>
        <v/>
      </c>
      <c r="K252" s="23" t="str">
        <f>IFERROR(INDEX(vdata_regressors!$A$1:$L$2000,MATCH($A252,vdata_regressors!$A$2:$A$2000,0)+1,MATCH(K$2,vdata_regressors!$A$1:$R$1,0)),"")</f>
        <v/>
      </c>
      <c r="L252" s="23" t="str">
        <f>IFERROR(INDEX(vdata_regressors!$A$1:$L$2000,MATCH($A252,vdata_regressors!$A$2:$A$2000,0)+1,MATCH(L$2,vdata_regressors!$A$1:$R$1,0)),"")</f>
        <v/>
      </c>
      <c r="M252" s="23" t="str">
        <f>IFERROR(VLOOKUP(A252,vdata_hours!$A$2:$B$1000,2,FALSE),"")</f>
        <v/>
      </c>
    </row>
    <row r="253" spans="1:13" x14ac:dyDescent="0.25">
      <c r="A253" s="23" t="str">
        <f>IF(vdata_hours!A252=0,"",vdata_hours!A252)</f>
        <v/>
      </c>
      <c r="B253" s="23" t="str">
        <f>IFERROR(INDEX(vdata_regressors!$A$1:$L$2000,MATCH($A253,vdata_regressors!$A$2:$A$2000,0)+1,MATCH(B$2,vdata_regressors!$A$1:$R$1,0)),"")</f>
        <v/>
      </c>
      <c r="C253" s="23" t="str">
        <f>IFERROR(INDEX(vdata_regressors!$A$1:$L$2000,MATCH($A253,vdata_regressors!$A$2:$A$2000,0)+1,MATCH(C$2,vdata_regressors!$A$1:$R$1,0)),"")</f>
        <v/>
      </c>
      <c r="D253" s="23" t="str">
        <f>IFERROR(INDEX(vdata_regressors!$A$1:$L$2000,MATCH($A253,vdata_regressors!$A$2:$A$2000,0)+1,MATCH(D$2,vdata_regressors!$A$1:$R$1,0)),"")</f>
        <v/>
      </c>
      <c r="E253" s="23" t="str">
        <f>IFERROR(INDEX(vdata_regressors!$A$1:$L$2000,MATCH($A253,vdata_regressors!$A$2:$A$2000,0)+1,MATCH(E$2,vdata_regressors!$A$1:$R$1,0)),"")</f>
        <v/>
      </c>
      <c r="F253" s="23" t="str">
        <f>IFERROR(INDEX(vdata_regressors!$A$1:$L$2000,MATCH($A253,vdata_regressors!$A$2:$A$2000,0)+1,MATCH(F$2,vdata_regressors!$A$1:$R$1,0)),"")</f>
        <v/>
      </c>
      <c r="G253" s="23" t="str">
        <f>IFERROR(INDEX(vdata_regressors!$A$1:$L$2000,MATCH($A253,vdata_regressors!$A$2:$A$2000,0)+1,MATCH(G$2,vdata_regressors!$A$1:$R$1,0)),"")</f>
        <v/>
      </c>
      <c r="H253" s="23" t="str">
        <f>IFERROR(INDEX(vdata_regressors!$A$1:$L$2000,MATCH($A253,vdata_regressors!$A$2:$A$2000,0)+1,MATCH(H$2,vdata_regressors!$A$1:$R$1,0)),"")</f>
        <v/>
      </c>
      <c r="I253" s="23" t="str">
        <f>IFERROR(INDEX(vdata_regressors!$A$1:$L$2000,MATCH($A253,vdata_regressors!$A$2:$A$2000,0)+1,MATCH(I$2,vdata_regressors!$A$1:$R$1,0)),"")</f>
        <v/>
      </c>
      <c r="J253" s="23" t="str">
        <f>IFERROR(INDEX(vdata_regressors!$A$1:$L$2000,MATCH($A253,vdata_regressors!$A$2:$A$2000,0)+1,MATCH(J$2,vdata_regressors!$A$1:$R$1,0)),"")</f>
        <v/>
      </c>
      <c r="K253" s="23" t="str">
        <f>IFERROR(INDEX(vdata_regressors!$A$1:$L$2000,MATCH($A253,vdata_regressors!$A$2:$A$2000,0)+1,MATCH(K$2,vdata_regressors!$A$1:$R$1,0)),"")</f>
        <v/>
      </c>
      <c r="L253" s="23" t="str">
        <f>IFERROR(INDEX(vdata_regressors!$A$1:$L$2000,MATCH($A253,vdata_regressors!$A$2:$A$2000,0)+1,MATCH(L$2,vdata_regressors!$A$1:$R$1,0)),"")</f>
        <v/>
      </c>
      <c r="M253" s="23" t="str">
        <f>IFERROR(VLOOKUP(A253,vdata_hours!$A$2:$B$1000,2,FALSE),"")</f>
        <v/>
      </c>
    </row>
    <row r="254" spans="1:13" x14ac:dyDescent="0.25">
      <c r="A254" s="23" t="str">
        <f>IF(vdata_hours!A253=0,"",vdata_hours!A253)</f>
        <v/>
      </c>
      <c r="B254" s="23" t="str">
        <f>IFERROR(INDEX(vdata_regressors!$A$1:$L$2000,MATCH($A254,vdata_regressors!$A$2:$A$2000,0)+1,MATCH(B$2,vdata_regressors!$A$1:$R$1,0)),"")</f>
        <v/>
      </c>
      <c r="C254" s="23" t="str">
        <f>IFERROR(INDEX(vdata_regressors!$A$1:$L$2000,MATCH($A254,vdata_regressors!$A$2:$A$2000,0)+1,MATCH(C$2,vdata_regressors!$A$1:$R$1,0)),"")</f>
        <v/>
      </c>
      <c r="D254" s="23" t="str">
        <f>IFERROR(INDEX(vdata_regressors!$A$1:$L$2000,MATCH($A254,vdata_regressors!$A$2:$A$2000,0)+1,MATCH(D$2,vdata_regressors!$A$1:$R$1,0)),"")</f>
        <v/>
      </c>
      <c r="E254" s="23" t="str">
        <f>IFERROR(INDEX(vdata_regressors!$A$1:$L$2000,MATCH($A254,vdata_regressors!$A$2:$A$2000,0)+1,MATCH(E$2,vdata_regressors!$A$1:$R$1,0)),"")</f>
        <v/>
      </c>
      <c r="F254" s="23" t="str">
        <f>IFERROR(INDEX(vdata_regressors!$A$1:$L$2000,MATCH($A254,vdata_regressors!$A$2:$A$2000,0)+1,MATCH(F$2,vdata_regressors!$A$1:$R$1,0)),"")</f>
        <v/>
      </c>
      <c r="G254" s="23" t="str">
        <f>IFERROR(INDEX(vdata_regressors!$A$1:$L$2000,MATCH($A254,vdata_regressors!$A$2:$A$2000,0)+1,MATCH(G$2,vdata_regressors!$A$1:$R$1,0)),"")</f>
        <v/>
      </c>
      <c r="H254" s="23" t="str">
        <f>IFERROR(INDEX(vdata_regressors!$A$1:$L$2000,MATCH($A254,vdata_regressors!$A$2:$A$2000,0)+1,MATCH(H$2,vdata_regressors!$A$1:$R$1,0)),"")</f>
        <v/>
      </c>
      <c r="I254" s="23" t="str">
        <f>IFERROR(INDEX(vdata_regressors!$A$1:$L$2000,MATCH($A254,vdata_regressors!$A$2:$A$2000,0)+1,MATCH(I$2,vdata_regressors!$A$1:$R$1,0)),"")</f>
        <v/>
      </c>
      <c r="J254" s="23" t="str">
        <f>IFERROR(INDEX(vdata_regressors!$A$1:$L$2000,MATCH($A254,vdata_regressors!$A$2:$A$2000,0)+1,MATCH(J$2,vdata_regressors!$A$1:$R$1,0)),"")</f>
        <v/>
      </c>
      <c r="K254" s="23" t="str">
        <f>IFERROR(INDEX(vdata_regressors!$A$1:$L$2000,MATCH($A254,vdata_regressors!$A$2:$A$2000,0)+1,MATCH(K$2,vdata_regressors!$A$1:$R$1,0)),"")</f>
        <v/>
      </c>
      <c r="L254" s="23" t="str">
        <f>IFERROR(INDEX(vdata_regressors!$A$1:$L$2000,MATCH($A254,vdata_regressors!$A$2:$A$2000,0)+1,MATCH(L$2,vdata_regressors!$A$1:$R$1,0)),"")</f>
        <v/>
      </c>
      <c r="M254" s="23" t="str">
        <f>IFERROR(VLOOKUP(A254,vdata_hours!$A$2:$B$1000,2,FALSE),"")</f>
        <v/>
      </c>
    </row>
    <row r="255" spans="1:13" x14ac:dyDescent="0.25">
      <c r="A255" s="23" t="str">
        <f>IF(vdata_hours!A254=0,"",vdata_hours!A254)</f>
        <v/>
      </c>
      <c r="B255" s="23" t="str">
        <f>IFERROR(INDEX(vdata_regressors!$A$1:$L$2000,MATCH($A255,vdata_regressors!$A$2:$A$2000,0)+1,MATCH(B$2,vdata_regressors!$A$1:$R$1,0)),"")</f>
        <v/>
      </c>
      <c r="C255" s="23" t="str">
        <f>IFERROR(INDEX(vdata_regressors!$A$1:$L$2000,MATCH($A255,vdata_regressors!$A$2:$A$2000,0)+1,MATCH(C$2,vdata_regressors!$A$1:$R$1,0)),"")</f>
        <v/>
      </c>
      <c r="D255" s="23" t="str">
        <f>IFERROR(INDEX(vdata_regressors!$A$1:$L$2000,MATCH($A255,vdata_regressors!$A$2:$A$2000,0)+1,MATCH(D$2,vdata_regressors!$A$1:$R$1,0)),"")</f>
        <v/>
      </c>
      <c r="E255" s="23" t="str">
        <f>IFERROR(INDEX(vdata_regressors!$A$1:$L$2000,MATCH($A255,vdata_regressors!$A$2:$A$2000,0)+1,MATCH(E$2,vdata_regressors!$A$1:$R$1,0)),"")</f>
        <v/>
      </c>
      <c r="F255" s="23" t="str">
        <f>IFERROR(INDEX(vdata_regressors!$A$1:$L$2000,MATCH($A255,vdata_regressors!$A$2:$A$2000,0)+1,MATCH(F$2,vdata_regressors!$A$1:$R$1,0)),"")</f>
        <v/>
      </c>
      <c r="G255" s="23" t="str">
        <f>IFERROR(INDEX(vdata_regressors!$A$1:$L$2000,MATCH($A255,vdata_regressors!$A$2:$A$2000,0)+1,MATCH(G$2,vdata_regressors!$A$1:$R$1,0)),"")</f>
        <v/>
      </c>
      <c r="H255" s="23" t="str">
        <f>IFERROR(INDEX(vdata_regressors!$A$1:$L$2000,MATCH($A255,vdata_regressors!$A$2:$A$2000,0)+1,MATCH(H$2,vdata_regressors!$A$1:$R$1,0)),"")</f>
        <v/>
      </c>
      <c r="I255" s="23" t="str">
        <f>IFERROR(INDEX(vdata_regressors!$A$1:$L$2000,MATCH($A255,vdata_regressors!$A$2:$A$2000,0)+1,MATCH(I$2,vdata_regressors!$A$1:$R$1,0)),"")</f>
        <v/>
      </c>
      <c r="J255" s="23" t="str">
        <f>IFERROR(INDEX(vdata_regressors!$A$1:$L$2000,MATCH($A255,vdata_regressors!$A$2:$A$2000,0)+1,MATCH(J$2,vdata_regressors!$A$1:$R$1,0)),"")</f>
        <v/>
      </c>
      <c r="K255" s="23" t="str">
        <f>IFERROR(INDEX(vdata_regressors!$A$1:$L$2000,MATCH($A255,vdata_regressors!$A$2:$A$2000,0)+1,MATCH(K$2,vdata_regressors!$A$1:$R$1,0)),"")</f>
        <v/>
      </c>
      <c r="L255" s="23" t="str">
        <f>IFERROR(INDEX(vdata_regressors!$A$1:$L$2000,MATCH($A255,vdata_regressors!$A$2:$A$2000,0)+1,MATCH(L$2,vdata_regressors!$A$1:$R$1,0)),"")</f>
        <v/>
      </c>
      <c r="M255" s="23" t="str">
        <f>IFERROR(VLOOKUP(A255,vdata_hours!$A$2:$B$1000,2,FALSE),"")</f>
        <v/>
      </c>
    </row>
    <row r="256" spans="1:13" x14ac:dyDescent="0.25">
      <c r="A256" s="23" t="str">
        <f>IF(vdata_hours!A255=0,"",vdata_hours!A255)</f>
        <v/>
      </c>
      <c r="B256" s="23" t="str">
        <f>IFERROR(INDEX(vdata_regressors!$A$1:$L$2000,MATCH($A256,vdata_regressors!$A$2:$A$2000,0)+1,MATCH(B$2,vdata_regressors!$A$1:$R$1,0)),"")</f>
        <v/>
      </c>
      <c r="C256" s="23" t="str">
        <f>IFERROR(INDEX(vdata_regressors!$A$1:$L$2000,MATCH($A256,vdata_regressors!$A$2:$A$2000,0)+1,MATCH(C$2,vdata_regressors!$A$1:$R$1,0)),"")</f>
        <v/>
      </c>
      <c r="D256" s="23" t="str">
        <f>IFERROR(INDEX(vdata_regressors!$A$1:$L$2000,MATCH($A256,vdata_regressors!$A$2:$A$2000,0)+1,MATCH(D$2,vdata_regressors!$A$1:$R$1,0)),"")</f>
        <v/>
      </c>
      <c r="E256" s="23" t="str">
        <f>IFERROR(INDEX(vdata_regressors!$A$1:$L$2000,MATCH($A256,vdata_regressors!$A$2:$A$2000,0)+1,MATCH(E$2,vdata_regressors!$A$1:$R$1,0)),"")</f>
        <v/>
      </c>
      <c r="F256" s="23" t="str">
        <f>IFERROR(INDEX(vdata_regressors!$A$1:$L$2000,MATCH($A256,vdata_regressors!$A$2:$A$2000,0)+1,MATCH(F$2,vdata_regressors!$A$1:$R$1,0)),"")</f>
        <v/>
      </c>
      <c r="G256" s="23" t="str">
        <f>IFERROR(INDEX(vdata_regressors!$A$1:$L$2000,MATCH($A256,vdata_regressors!$A$2:$A$2000,0)+1,MATCH(G$2,vdata_regressors!$A$1:$R$1,0)),"")</f>
        <v/>
      </c>
      <c r="H256" s="23" t="str">
        <f>IFERROR(INDEX(vdata_regressors!$A$1:$L$2000,MATCH($A256,vdata_regressors!$A$2:$A$2000,0)+1,MATCH(H$2,vdata_regressors!$A$1:$R$1,0)),"")</f>
        <v/>
      </c>
      <c r="I256" s="23" t="str">
        <f>IFERROR(INDEX(vdata_regressors!$A$1:$L$2000,MATCH($A256,vdata_regressors!$A$2:$A$2000,0)+1,MATCH(I$2,vdata_regressors!$A$1:$R$1,0)),"")</f>
        <v/>
      </c>
      <c r="J256" s="23" t="str">
        <f>IFERROR(INDEX(vdata_regressors!$A$1:$L$2000,MATCH($A256,vdata_regressors!$A$2:$A$2000,0)+1,MATCH(J$2,vdata_regressors!$A$1:$R$1,0)),"")</f>
        <v/>
      </c>
      <c r="K256" s="23" t="str">
        <f>IFERROR(INDEX(vdata_regressors!$A$1:$L$2000,MATCH($A256,vdata_regressors!$A$2:$A$2000,0)+1,MATCH(K$2,vdata_regressors!$A$1:$R$1,0)),"")</f>
        <v/>
      </c>
      <c r="L256" s="23" t="str">
        <f>IFERROR(INDEX(vdata_regressors!$A$1:$L$2000,MATCH($A256,vdata_regressors!$A$2:$A$2000,0)+1,MATCH(L$2,vdata_regressors!$A$1:$R$1,0)),"")</f>
        <v/>
      </c>
      <c r="M256" s="23" t="str">
        <f>IFERROR(VLOOKUP(A256,vdata_hours!$A$2:$B$1000,2,FALSE),"")</f>
        <v/>
      </c>
    </row>
    <row r="257" spans="1:13" x14ac:dyDescent="0.25">
      <c r="A257" s="23" t="str">
        <f>IF(vdata_hours!A256=0,"",vdata_hours!A256)</f>
        <v/>
      </c>
      <c r="B257" s="23" t="str">
        <f>IFERROR(INDEX(vdata_regressors!$A$1:$L$2000,MATCH($A257,vdata_regressors!$A$2:$A$2000,0)+1,MATCH(B$2,vdata_regressors!$A$1:$R$1,0)),"")</f>
        <v/>
      </c>
      <c r="C257" s="23" t="str">
        <f>IFERROR(INDEX(vdata_regressors!$A$1:$L$2000,MATCH($A257,vdata_regressors!$A$2:$A$2000,0)+1,MATCH(C$2,vdata_regressors!$A$1:$R$1,0)),"")</f>
        <v/>
      </c>
      <c r="D257" s="23" t="str">
        <f>IFERROR(INDEX(vdata_regressors!$A$1:$L$2000,MATCH($A257,vdata_regressors!$A$2:$A$2000,0)+1,MATCH(D$2,vdata_regressors!$A$1:$R$1,0)),"")</f>
        <v/>
      </c>
      <c r="E257" s="23" t="str">
        <f>IFERROR(INDEX(vdata_regressors!$A$1:$L$2000,MATCH($A257,vdata_regressors!$A$2:$A$2000,0)+1,MATCH(E$2,vdata_regressors!$A$1:$R$1,0)),"")</f>
        <v/>
      </c>
      <c r="F257" s="23" t="str">
        <f>IFERROR(INDEX(vdata_regressors!$A$1:$L$2000,MATCH($A257,vdata_regressors!$A$2:$A$2000,0)+1,MATCH(F$2,vdata_regressors!$A$1:$R$1,0)),"")</f>
        <v/>
      </c>
      <c r="G257" s="23" t="str">
        <f>IFERROR(INDEX(vdata_regressors!$A$1:$L$2000,MATCH($A257,vdata_regressors!$A$2:$A$2000,0)+1,MATCH(G$2,vdata_regressors!$A$1:$R$1,0)),"")</f>
        <v/>
      </c>
      <c r="H257" s="23" t="str">
        <f>IFERROR(INDEX(vdata_regressors!$A$1:$L$2000,MATCH($A257,vdata_regressors!$A$2:$A$2000,0)+1,MATCH(H$2,vdata_regressors!$A$1:$R$1,0)),"")</f>
        <v/>
      </c>
      <c r="I257" s="23" t="str">
        <f>IFERROR(INDEX(vdata_regressors!$A$1:$L$2000,MATCH($A257,vdata_regressors!$A$2:$A$2000,0)+1,MATCH(I$2,vdata_regressors!$A$1:$R$1,0)),"")</f>
        <v/>
      </c>
      <c r="J257" s="23" t="str">
        <f>IFERROR(INDEX(vdata_regressors!$A$1:$L$2000,MATCH($A257,vdata_regressors!$A$2:$A$2000,0)+1,MATCH(J$2,vdata_regressors!$A$1:$R$1,0)),"")</f>
        <v/>
      </c>
      <c r="K257" s="23" t="str">
        <f>IFERROR(INDEX(vdata_regressors!$A$1:$L$2000,MATCH($A257,vdata_regressors!$A$2:$A$2000,0)+1,MATCH(K$2,vdata_regressors!$A$1:$R$1,0)),"")</f>
        <v/>
      </c>
      <c r="L257" s="23" t="str">
        <f>IFERROR(INDEX(vdata_regressors!$A$1:$L$2000,MATCH($A257,vdata_regressors!$A$2:$A$2000,0)+1,MATCH(L$2,vdata_regressors!$A$1:$R$1,0)),"")</f>
        <v/>
      </c>
      <c r="M257" s="23" t="str">
        <f>IFERROR(VLOOKUP(A257,vdata_hours!$A$2:$B$1000,2,FALSE),"")</f>
        <v/>
      </c>
    </row>
    <row r="258" spans="1:13" x14ac:dyDescent="0.25">
      <c r="A258" s="23" t="str">
        <f>IF(vdata_hours!A257=0,"",vdata_hours!A257)</f>
        <v/>
      </c>
      <c r="B258" s="23" t="str">
        <f>IFERROR(INDEX(vdata_regressors!$A$1:$L$2000,MATCH($A258,vdata_regressors!$A$2:$A$2000,0)+1,MATCH(B$2,vdata_regressors!$A$1:$R$1,0)),"")</f>
        <v/>
      </c>
      <c r="C258" s="23" t="str">
        <f>IFERROR(INDEX(vdata_regressors!$A$1:$L$2000,MATCH($A258,vdata_regressors!$A$2:$A$2000,0)+1,MATCH(C$2,vdata_regressors!$A$1:$R$1,0)),"")</f>
        <v/>
      </c>
      <c r="D258" s="23" t="str">
        <f>IFERROR(INDEX(vdata_regressors!$A$1:$L$2000,MATCH($A258,vdata_regressors!$A$2:$A$2000,0)+1,MATCH(D$2,vdata_regressors!$A$1:$R$1,0)),"")</f>
        <v/>
      </c>
      <c r="E258" s="23" t="str">
        <f>IFERROR(INDEX(vdata_regressors!$A$1:$L$2000,MATCH($A258,vdata_regressors!$A$2:$A$2000,0)+1,MATCH(E$2,vdata_regressors!$A$1:$R$1,0)),"")</f>
        <v/>
      </c>
      <c r="F258" s="23" t="str">
        <f>IFERROR(INDEX(vdata_regressors!$A$1:$L$2000,MATCH($A258,vdata_regressors!$A$2:$A$2000,0)+1,MATCH(F$2,vdata_regressors!$A$1:$R$1,0)),"")</f>
        <v/>
      </c>
      <c r="G258" s="23" t="str">
        <f>IFERROR(INDEX(vdata_regressors!$A$1:$L$2000,MATCH($A258,vdata_regressors!$A$2:$A$2000,0)+1,MATCH(G$2,vdata_regressors!$A$1:$R$1,0)),"")</f>
        <v/>
      </c>
      <c r="H258" s="23" t="str">
        <f>IFERROR(INDEX(vdata_regressors!$A$1:$L$2000,MATCH($A258,vdata_regressors!$A$2:$A$2000,0)+1,MATCH(H$2,vdata_regressors!$A$1:$R$1,0)),"")</f>
        <v/>
      </c>
      <c r="I258" s="23" t="str">
        <f>IFERROR(INDEX(vdata_regressors!$A$1:$L$2000,MATCH($A258,vdata_regressors!$A$2:$A$2000,0)+1,MATCH(I$2,vdata_regressors!$A$1:$R$1,0)),"")</f>
        <v/>
      </c>
      <c r="J258" s="23" t="str">
        <f>IFERROR(INDEX(vdata_regressors!$A$1:$L$2000,MATCH($A258,vdata_regressors!$A$2:$A$2000,0)+1,MATCH(J$2,vdata_regressors!$A$1:$R$1,0)),"")</f>
        <v/>
      </c>
      <c r="K258" s="23" t="str">
        <f>IFERROR(INDEX(vdata_regressors!$A$1:$L$2000,MATCH($A258,vdata_regressors!$A$2:$A$2000,0)+1,MATCH(K$2,vdata_regressors!$A$1:$R$1,0)),"")</f>
        <v/>
      </c>
      <c r="L258" s="23" t="str">
        <f>IFERROR(INDEX(vdata_regressors!$A$1:$L$2000,MATCH($A258,vdata_regressors!$A$2:$A$2000,0)+1,MATCH(L$2,vdata_regressors!$A$1:$R$1,0)),"")</f>
        <v/>
      </c>
      <c r="M258" s="23" t="str">
        <f>IFERROR(VLOOKUP(A258,vdata_hours!$A$2:$B$1000,2,FALSE),"")</f>
        <v/>
      </c>
    </row>
    <row r="259" spans="1:13" x14ac:dyDescent="0.25">
      <c r="A259" s="23" t="str">
        <f>IF(vdata_hours!A258=0,"",vdata_hours!A258)</f>
        <v/>
      </c>
      <c r="B259" s="23" t="str">
        <f>IFERROR(INDEX(vdata_regressors!$A$1:$L$2000,MATCH($A259,vdata_regressors!$A$2:$A$2000,0)+1,MATCH(B$2,vdata_regressors!$A$1:$R$1,0)),"")</f>
        <v/>
      </c>
      <c r="C259" s="23" t="str">
        <f>IFERROR(INDEX(vdata_regressors!$A$1:$L$2000,MATCH($A259,vdata_regressors!$A$2:$A$2000,0)+1,MATCH(C$2,vdata_regressors!$A$1:$R$1,0)),"")</f>
        <v/>
      </c>
      <c r="D259" s="23" t="str">
        <f>IFERROR(INDEX(vdata_regressors!$A$1:$L$2000,MATCH($A259,vdata_regressors!$A$2:$A$2000,0)+1,MATCH(D$2,vdata_regressors!$A$1:$R$1,0)),"")</f>
        <v/>
      </c>
      <c r="E259" s="23" t="str">
        <f>IFERROR(INDEX(vdata_regressors!$A$1:$L$2000,MATCH($A259,vdata_regressors!$A$2:$A$2000,0)+1,MATCH(E$2,vdata_regressors!$A$1:$R$1,0)),"")</f>
        <v/>
      </c>
      <c r="F259" s="23" t="str">
        <f>IFERROR(INDEX(vdata_regressors!$A$1:$L$2000,MATCH($A259,vdata_regressors!$A$2:$A$2000,0)+1,MATCH(F$2,vdata_regressors!$A$1:$R$1,0)),"")</f>
        <v/>
      </c>
      <c r="G259" s="23" t="str">
        <f>IFERROR(INDEX(vdata_regressors!$A$1:$L$2000,MATCH($A259,vdata_regressors!$A$2:$A$2000,0)+1,MATCH(G$2,vdata_regressors!$A$1:$R$1,0)),"")</f>
        <v/>
      </c>
      <c r="H259" s="23" t="str">
        <f>IFERROR(INDEX(vdata_regressors!$A$1:$L$2000,MATCH($A259,vdata_regressors!$A$2:$A$2000,0)+1,MATCH(H$2,vdata_regressors!$A$1:$R$1,0)),"")</f>
        <v/>
      </c>
      <c r="I259" s="23" t="str">
        <f>IFERROR(INDEX(vdata_regressors!$A$1:$L$2000,MATCH($A259,vdata_regressors!$A$2:$A$2000,0)+1,MATCH(I$2,vdata_regressors!$A$1:$R$1,0)),"")</f>
        <v/>
      </c>
      <c r="J259" s="23" t="str">
        <f>IFERROR(INDEX(vdata_regressors!$A$1:$L$2000,MATCH($A259,vdata_regressors!$A$2:$A$2000,0)+1,MATCH(J$2,vdata_regressors!$A$1:$R$1,0)),"")</f>
        <v/>
      </c>
      <c r="K259" s="23" t="str">
        <f>IFERROR(INDEX(vdata_regressors!$A$1:$L$2000,MATCH($A259,vdata_regressors!$A$2:$A$2000,0)+1,MATCH(K$2,vdata_regressors!$A$1:$R$1,0)),"")</f>
        <v/>
      </c>
      <c r="L259" s="23" t="str">
        <f>IFERROR(INDEX(vdata_regressors!$A$1:$L$2000,MATCH($A259,vdata_regressors!$A$2:$A$2000,0)+1,MATCH(L$2,vdata_regressors!$A$1:$R$1,0)),"")</f>
        <v/>
      </c>
      <c r="M259" s="23" t="str">
        <f>IFERROR(VLOOKUP(A259,vdata_hours!$A$2:$B$1000,2,FALSE),"")</f>
        <v/>
      </c>
    </row>
    <row r="260" spans="1:13" x14ac:dyDescent="0.25">
      <c r="A260" s="23" t="str">
        <f>IF(vdata_hours!A259=0,"",vdata_hours!A259)</f>
        <v/>
      </c>
      <c r="B260" s="23" t="str">
        <f>IFERROR(INDEX(vdata_regressors!$A$1:$L$2000,MATCH($A260,vdata_regressors!$A$2:$A$2000,0)+1,MATCH(B$2,vdata_regressors!$A$1:$R$1,0)),"")</f>
        <v/>
      </c>
      <c r="C260" s="23" t="str">
        <f>IFERROR(INDEX(vdata_regressors!$A$1:$L$2000,MATCH($A260,vdata_regressors!$A$2:$A$2000,0)+1,MATCH(C$2,vdata_regressors!$A$1:$R$1,0)),"")</f>
        <v/>
      </c>
      <c r="D260" s="23" t="str">
        <f>IFERROR(INDEX(vdata_regressors!$A$1:$L$2000,MATCH($A260,vdata_regressors!$A$2:$A$2000,0)+1,MATCH(D$2,vdata_regressors!$A$1:$R$1,0)),"")</f>
        <v/>
      </c>
      <c r="E260" s="23" t="str">
        <f>IFERROR(INDEX(vdata_regressors!$A$1:$L$2000,MATCH($A260,vdata_regressors!$A$2:$A$2000,0)+1,MATCH(E$2,vdata_regressors!$A$1:$R$1,0)),"")</f>
        <v/>
      </c>
      <c r="F260" s="23" t="str">
        <f>IFERROR(INDEX(vdata_regressors!$A$1:$L$2000,MATCH($A260,vdata_regressors!$A$2:$A$2000,0)+1,MATCH(F$2,vdata_regressors!$A$1:$R$1,0)),"")</f>
        <v/>
      </c>
      <c r="G260" s="23" t="str">
        <f>IFERROR(INDEX(vdata_regressors!$A$1:$L$2000,MATCH($A260,vdata_regressors!$A$2:$A$2000,0)+1,MATCH(G$2,vdata_regressors!$A$1:$R$1,0)),"")</f>
        <v/>
      </c>
      <c r="H260" s="23" t="str">
        <f>IFERROR(INDEX(vdata_regressors!$A$1:$L$2000,MATCH($A260,vdata_regressors!$A$2:$A$2000,0)+1,MATCH(H$2,vdata_regressors!$A$1:$R$1,0)),"")</f>
        <v/>
      </c>
      <c r="I260" s="23" t="str">
        <f>IFERROR(INDEX(vdata_regressors!$A$1:$L$2000,MATCH($A260,vdata_regressors!$A$2:$A$2000,0)+1,MATCH(I$2,vdata_regressors!$A$1:$R$1,0)),"")</f>
        <v/>
      </c>
      <c r="J260" s="23" t="str">
        <f>IFERROR(INDEX(vdata_regressors!$A$1:$L$2000,MATCH($A260,vdata_regressors!$A$2:$A$2000,0)+1,MATCH(J$2,vdata_regressors!$A$1:$R$1,0)),"")</f>
        <v/>
      </c>
      <c r="K260" s="23" t="str">
        <f>IFERROR(INDEX(vdata_regressors!$A$1:$L$2000,MATCH($A260,vdata_regressors!$A$2:$A$2000,0)+1,MATCH(K$2,vdata_regressors!$A$1:$R$1,0)),"")</f>
        <v/>
      </c>
      <c r="L260" s="23" t="str">
        <f>IFERROR(INDEX(vdata_regressors!$A$1:$L$2000,MATCH($A260,vdata_regressors!$A$2:$A$2000,0)+1,MATCH(L$2,vdata_regressors!$A$1:$R$1,0)),"")</f>
        <v/>
      </c>
      <c r="M260" s="23" t="str">
        <f>IFERROR(VLOOKUP(A260,vdata_hours!$A$2:$B$1000,2,FALSE),"")</f>
        <v/>
      </c>
    </row>
    <row r="261" spans="1:13" x14ac:dyDescent="0.25">
      <c r="A261" s="23" t="str">
        <f>IF(vdata_hours!A260=0,"",vdata_hours!A260)</f>
        <v/>
      </c>
      <c r="B261" s="23" t="str">
        <f>IFERROR(INDEX(vdata_regressors!$A$1:$L$2000,MATCH($A261,vdata_regressors!$A$2:$A$2000,0)+1,MATCH(B$2,vdata_regressors!$A$1:$R$1,0)),"")</f>
        <v/>
      </c>
      <c r="C261" s="23" t="str">
        <f>IFERROR(INDEX(vdata_regressors!$A$1:$L$2000,MATCH($A261,vdata_regressors!$A$2:$A$2000,0)+1,MATCH(C$2,vdata_regressors!$A$1:$R$1,0)),"")</f>
        <v/>
      </c>
      <c r="D261" s="23" t="str">
        <f>IFERROR(INDEX(vdata_regressors!$A$1:$L$2000,MATCH($A261,vdata_regressors!$A$2:$A$2000,0)+1,MATCH(D$2,vdata_regressors!$A$1:$R$1,0)),"")</f>
        <v/>
      </c>
      <c r="E261" s="23" t="str">
        <f>IFERROR(INDEX(vdata_regressors!$A$1:$L$2000,MATCH($A261,vdata_regressors!$A$2:$A$2000,0)+1,MATCH(E$2,vdata_regressors!$A$1:$R$1,0)),"")</f>
        <v/>
      </c>
      <c r="F261" s="23" t="str">
        <f>IFERROR(INDEX(vdata_regressors!$A$1:$L$2000,MATCH($A261,vdata_regressors!$A$2:$A$2000,0)+1,MATCH(F$2,vdata_regressors!$A$1:$R$1,0)),"")</f>
        <v/>
      </c>
      <c r="G261" s="23" t="str">
        <f>IFERROR(INDEX(vdata_regressors!$A$1:$L$2000,MATCH($A261,vdata_regressors!$A$2:$A$2000,0)+1,MATCH(G$2,vdata_regressors!$A$1:$R$1,0)),"")</f>
        <v/>
      </c>
      <c r="H261" s="23" t="str">
        <f>IFERROR(INDEX(vdata_regressors!$A$1:$L$2000,MATCH($A261,vdata_regressors!$A$2:$A$2000,0)+1,MATCH(H$2,vdata_regressors!$A$1:$R$1,0)),"")</f>
        <v/>
      </c>
      <c r="I261" s="23" t="str">
        <f>IFERROR(INDEX(vdata_regressors!$A$1:$L$2000,MATCH($A261,vdata_regressors!$A$2:$A$2000,0)+1,MATCH(I$2,vdata_regressors!$A$1:$R$1,0)),"")</f>
        <v/>
      </c>
      <c r="J261" s="23" t="str">
        <f>IFERROR(INDEX(vdata_regressors!$A$1:$L$2000,MATCH($A261,vdata_regressors!$A$2:$A$2000,0)+1,MATCH(J$2,vdata_regressors!$A$1:$R$1,0)),"")</f>
        <v/>
      </c>
      <c r="K261" s="23" t="str">
        <f>IFERROR(INDEX(vdata_regressors!$A$1:$L$2000,MATCH($A261,vdata_regressors!$A$2:$A$2000,0)+1,MATCH(K$2,vdata_regressors!$A$1:$R$1,0)),"")</f>
        <v/>
      </c>
      <c r="L261" s="23" t="str">
        <f>IFERROR(INDEX(vdata_regressors!$A$1:$L$2000,MATCH($A261,vdata_regressors!$A$2:$A$2000,0)+1,MATCH(L$2,vdata_regressors!$A$1:$R$1,0)),"")</f>
        <v/>
      </c>
      <c r="M261" s="23" t="str">
        <f>IFERROR(VLOOKUP(A261,vdata_hours!$A$2:$B$1000,2,FALSE),"")</f>
        <v/>
      </c>
    </row>
    <row r="262" spans="1:13" x14ac:dyDescent="0.25">
      <c r="A262" s="23" t="str">
        <f>IF(vdata_hours!A261=0,"",vdata_hours!A261)</f>
        <v/>
      </c>
      <c r="B262" s="23" t="str">
        <f>IFERROR(INDEX(vdata_regressors!$A$1:$L$2000,MATCH($A262,vdata_regressors!$A$2:$A$2000,0)+1,MATCH(B$2,vdata_regressors!$A$1:$R$1,0)),"")</f>
        <v/>
      </c>
      <c r="C262" s="23" t="str">
        <f>IFERROR(INDEX(vdata_regressors!$A$1:$L$2000,MATCH($A262,vdata_regressors!$A$2:$A$2000,0)+1,MATCH(C$2,vdata_regressors!$A$1:$R$1,0)),"")</f>
        <v/>
      </c>
      <c r="D262" s="23" t="str">
        <f>IFERROR(INDEX(vdata_regressors!$A$1:$L$2000,MATCH($A262,vdata_regressors!$A$2:$A$2000,0)+1,MATCH(D$2,vdata_regressors!$A$1:$R$1,0)),"")</f>
        <v/>
      </c>
      <c r="E262" s="23" t="str">
        <f>IFERROR(INDEX(vdata_regressors!$A$1:$L$2000,MATCH($A262,vdata_regressors!$A$2:$A$2000,0)+1,MATCH(E$2,vdata_regressors!$A$1:$R$1,0)),"")</f>
        <v/>
      </c>
      <c r="F262" s="23" t="str">
        <f>IFERROR(INDEX(vdata_regressors!$A$1:$L$2000,MATCH($A262,vdata_regressors!$A$2:$A$2000,0)+1,MATCH(F$2,vdata_regressors!$A$1:$R$1,0)),"")</f>
        <v/>
      </c>
      <c r="G262" s="23" t="str">
        <f>IFERROR(INDEX(vdata_regressors!$A$1:$L$2000,MATCH($A262,vdata_regressors!$A$2:$A$2000,0)+1,MATCH(G$2,vdata_regressors!$A$1:$R$1,0)),"")</f>
        <v/>
      </c>
      <c r="H262" s="23" t="str">
        <f>IFERROR(INDEX(vdata_regressors!$A$1:$L$2000,MATCH($A262,vdata_regressors!$A$2:$A$2000,0)+1,MATCH(H$2,vdata_regressors!$A$1:$R$1,0)),"")</f>
        <v/>
      </c>
      <c r="I262" s="23" t="str">
        <f>IFERROR(INDEX(vdata_regressors!$A$1:$L$2000,MATCH($A262,vdata_regressors!$A$2:$A$2000,0)+1,MATCH(I$2,vdata_regressors!$A$1:$R$1,0)),"")</f>
        <v/>
      </c>
      <c r="J262" s="23" t="str">
        <f>IFERROR(INDEX(vdata_regressors!$A$1:$L$2000,MATCH($A262,vdata_regressors!$A$2:$A$2000,0)+1,MATCH(J$2,vdata_regressors!$A$1:$R$1,0)),"")</f>
        <v/>
      </c>
      <c r="K262" s="23" t="str">
        <f>IFERROR(INDEX(vdata_regressors!$A$1:$L$2000,MATCH($A262,vdata_regressors!$A$2:$A$2000,0)+1,MATCH(K$2,vdata_regressors!$A$1:$R$1,0)),"")</f>
        <v/>
      </c>
      <c r="L262" s="23" t="str">
        <f>IFERROR(INDEX(vdata_regressors!$A$1:$L$2000,MATCH($A262,vdata_regressors!$A$2:$A$2000,0)+1,MATCH(L$2,vdata_regressors!$A$1:$R$1,0)),"")</f>
        <v/>
      </c>
      <c r="M262" s="23" t="str">
        <f>IFERROR(VLOOKUP(A262,vdata_hours!$A$2:$B$1000,2,FALSE),"")</f>
        <v/>
      </c>
    </row>
    <row r="263" spans="1:13" x14ac:dyDescent="0.25">
      <c r="A263" s="23" t="str">
        <f>IF(vdata_hours!A262=0,"",vdata_hours!A262)</f>
        <v/>
      </c>
      <c r="B263" s="23" t="str">
        <f>IFERROR(INDEX(vdata_regressors!$A$1:$L$2000,MATCH($A263,vdata_regressors!$A$2:$A$2000,0)+1,MATCH(B$2,vdata_regressors!$A$1:$R$1,0)),"")</f>
        <v/>
      </c>
      <c r="C263" s="23" t="str">
        <f>IFERROR(INDEX(vdata_regressors!$A$1:$L$2000,MATCH($A263,vdata_regressors!$A$2:$A$2000,0)+1,MATCH(C$2,vdata_regressors!$A$1:$R$1,0)),"")</f>
        <v/>
      </c>
      <c r="D263" s="23" t="str">
        <f>IFERROR(INDEX(vdata_regressors!$A$1:$L$2000,MATCH($A263,vdata_regressors!$A$2:$A$2000,0)+1,MATCH(D$2,vdata_regressors!$A$1:$R$1,0)),"")</f>
        <v/>
      </c>
      <c r="E263" s="23" t="str">
        <f>IFERROR(INDEX(vdata_regressors!$A$1:$L$2000,MATCH($A263,vdata_regressors!$A$2:$A$2000,0)+1,MATCH(E$2,vdata_regressors!$A$1:$R$1,0)),"")</f>
        <v/>
      </c>
      <c r="F263" s="23" t="str">
        <f>IFERROR(INDEX(vdata_regressors!$A$1:$L$2000,MATCH($A263,vdata_regressors!$A$2:$A$2000,0)+1,MATCH(F$2,vdata_regressors!$A$1:$R$1,0)),"")</f>
        <v/>
      </c>
      <c r="G263" s="23" t="str">
        <f>IFERROR(INDEX(vdata_regressors!$A$1:$L$2000,MATCH($A263,vdata_regressors!$A$2:$A$2000,0)+1,MATCH(G$2,vdata_regressors!$A$1:$R$1,0)),"")</f>
        <v/>
      </c>
      <c r="H263" s="23" t="str">
        <f>IFERROR(INDEX(vdata_regressors!$A$1:$L$2000,MATCH($A263,vdata_regressors!$A$2:$A$2000,0)+1,MATCH(H$2,vdata_regressors!$A$1:$R$1,0)),"")</f>
        <v/>
      </c>
      <c r="I263" s="23" t="str">
        <f>IFERROR(INDEX(vdata_regressors!$A$1:$L$2000,MATCH($A263,vdata_regressors!$A$2:$A$2000,0)+1,MATCH(I$2,vdata_regressors!$A$1:$R$1,0)),"")</f>
        <v/>
      </c>
      <c r="J263" s="23" t="str">
        <f>IFERROR(INDEX(vdata_regressors!$A$1:$L$2000,MATCH($A263,vdata_regressors!$A$2:$A$2000,0)+1,MATCH(J$2,vdata_regressors!$A$1:$R$1,0)),"")</f>
        <v/>
      </c>
      <c r="K263" s="23" t="str">
        <f>IFERROR(INDEX(vdata_regressors!$A$1:$L$2000,MATCH($A263,vdata_regressors!$A$2:$A$2000,0)+1,MATCH(K$2,vdata_regressors!$A$1:$R$1,0)),"")</f>
        <v/>
      </c>
      <c r="L263" s="23" t="str">
        <f>IFERROR(INDEX(vdata_regressors!$A$1:$L$2000,MATCH($A263,vdata_regressors!$A$2:$A$2000,0)+1,MATCH(L$2,vdata_regressors!$A$1:$R$1,0)),"")</f>
        <v/>
      </c>
      <c r="M263" s="23" t="str">
        <f>IFERROR(VLOOKUP(A263,vdata_hours!$A$2:$B$1000,2,FALSE),"")</f>
        <v/>
      </c>
    </row>
    <row r="264" spans="1:13" x14ac:dyDescent="0.25">
      <c r="A264" s="23" t="str">
        <f>IF(vdata_hours!A263=0,"",vdata_hours!A263)</f>
        <v/>
      </c>
      <c r="B264" s="23" t="str">
        <f>IFERROR(INDEX(vdata_regressors!$A$1:$L$2000,MATCH($A264,vdata_regressors!$A$2:$A$2000,0)+1,MATCH(B$2,vdata_regressors!$A$1:$R$1,0)),"")</f>
        <v/>
      </c>
      <c r="C264" s="23" t="str">
        <f>IFERROR(INDEX(vdata_regressors!$A$1:$L$2000,MATCH($A264,vdata_regressors!$A$2:$A$2000,0)+1,MATCH(C$2,vdata_regressors!$A$1:$R$1,0)),"")</f>
        <v/>
      </c>
      <c r="D264" s="23" t="str">
        <f>IFERROR(INDEX(vdata_regressors!$A$1:$L$2000,MATCH($A264,vdata_regressors!$A$2:$A$2000,0)+1,MATCH(D$2,vdata_regressors!$A$1:$R$1,0)),"")</f>
        <v/>
      </c>
      <c r="E264" s="23" t="str">
        <f>IFERROR(INDEX(vdata_regressors!$A$1:$L$2000,MATCH($A264,vdata_regressors!$A$2:$A$2000,0)+1,MATCH(E$2,vdata_regressors!$A$1:$R$1,0)),"")</f>
        <v/>
      </c>
      <c r="F264" s="23" t="str">
        <f>IFERROR(INDEX(vdata_regressors!$A$1:$L$2000,MATCH($A264,vdata_regressors!$A$2:$A$2000,0)+1,MATCH(F$2,vdata_regressors!$A$1:$R$1,0)),"")</f>
        <v/>
      </c>
      <c r="G264" s="23" t="str">
        <f>IFERROR(INDEX(vdata_regressors!$A$1:$L$2000,MATCH($A264,vdata_regressors!$A$2:$A$2000,0)+1,MATCH(G$2,vdata_regressors!$A$1:$R$1,0)),"")</f>
        <v/>
      </c>
      <c r="H264" s="23" t="str">
        <f>IFERROR(INDEX(vdata_regressors!$A$1:$L$2000,MATCH($A264,vdata_regressors!$A$2:$A$2000,0)+1,MATCH(H$2,vdata_regressors!$A$1:$R$1,0)),"")</f>
        <v/>
      </c>
      <c r="I264" s="23" t="str">
        <f>IFERROR(INDEX(vdata_regressors!$A$1:$L$2000,MATCH($A264,vdata_regressors!$A$2:$A$2000,0)+1,MATCH(I$2,vdata_regressors!$A$1:$R$1,0)),"")</f>
        <v/>
      </c>
      <c r="J264" s="23" t="str">
        <f>IFERROR(INDEX(vdata_regressors!$A$1:$L$2000,MATCH($A264,vdata_regressors!$A$2:$A$2000,0)+1,MATCH(J$2,vdata_regressors!$A$1:$R$1,0)),"")</f>
        <v/>
      </c>
      <c r="K264" s="23" t="str">
        <f>IFERROR(INDEX(vdata_regressors!$A$1:$L$2000,MATCH($A264,vdata_regressors!$A$2:$A$2000,0)+1,MATCH(K$2,vdata_regressors!$A$1:$R$1,0)),"")</f>
        <v/>
      </c>
      <c r="L264" s="23" t="str">
        <f>IFERROR(INDEX(vdata_regressors!$A$1:$L$2000,MATCH($A264,vdata_regressors!$A$2:$A$2000,0)+1,MATCH(L$2,vdata_regressors!$A$1:$R$1,0)),"")</f>
        <v/>
      </c>
      <c r="M264" s="23" t="str">
        <f>IFERROR(VLOOKUP(A264,vdata_hours!$A$2:$B$1000,2,FALSE),"")</f>
        <v/>
      </c>
    </row>
    <row r="265" spans="1:13" x14ac:dyDescent="0.25">
      <c r="A265" s="23" t="str">
        <f>IF(vdata_hours!A264=0,"",vdata_hours!A264)</f>
        <v/>
      </c>
      <c r="B265" s="23" t="str">
        <f>IFERROR(INDEX(vdata_regressors!$A$1:$L$2000,MATCH($A265,vdata_regressors!$A$2:$A$2000,0)+1,MATCH(B$2,vdata_regressors!$A$1:$R$1,0)),"")</f>
        <v/>
      </c>
      <c r="C265" s="23" t="str">
        <f>IFERROR(INDEX(vdata_regressors!$A$1:$L$2000,MATCH($A265,vdata_regressors!$A$2:$A$2000,0)+1,MATCH(C$2,vdata_regressors!$A$1:$R$1,0)),"")</f>
        <v/>
      </c>
      <c r="D265" s="23" t="str">
        <f>IFERROR(INDEX(vdata_regressors!$A$1:$L$2000,MATCH($A265,vdata_regressors!$A$2:$A$2000,0)+1,MATCH(D$2,vdata_regressors!$A$1:$R$1,0)),"")</f>
        <v/>
      </c>
      <c r="E265" s="23" t="str">
        <f>IFERROR(INDEX(vdata_regressors!$A$1:$L$2000,MATCH($A265,vdata_regressors!$A$2:$A$2000,0)+1,MATCH(E$2,vdata_regressors!$A$1:$R$1,0)),"")</f>
        <v/>
      </c>
      <c r="F265" s="23" t="str">
        <f>IFERROR(INDEX(vdata_regressors!$A$1:$L$2000,MATCH($A265,vdata_regressors!$A$2:$A$2000,0)+1,MATCH(F$2,vdata_regressors!$A$1:$R$1,0)),"")</f>
        <v/>
      </c>
      <c r="G265" s="23" t="str">
        <f>IFERROR(INDEX(vdata_regressors!$A$1:$L$2000,MATCH($A265,vdata_regressors!$A$2:$A$2000,0)+1,MATCH(G$2,vdata_regressors!$A$1:$R$1,0)),"")</f>
        <v/>
      </c>
      <c r="H265" s="23" t="str">
        <f>IFERROR(INDEX(vdata_regressors!$A$1:$L$2000,MATCH($A265,vdata_regressors!$A$2:$A$2000,0)+1,MATCH(H$2,vdata_regressors!$A$1:$R$1,0)),"")</f>
        <v/>
      </c>
      <c r="I265" s="23" t="str">
        <f>IFERROR(INDEX(vdata_regressors!$A$1:$L$2000,MATCH($A265,vdata_regressors!$A$2:$A$2000,0)+1,MATCH(I$2,vdata_regressors!$A$1:$R$1,0)),"")</f>
        <v/>
      </c>
      <c r="J265" s="23" t="str">
        <f>IFERROR(INDEX(vdata_regressors!$A$1:$L$2000,MATCH($A265,vdata_regressors!$A$2:$A$2000,0)+1,MATCH(J$2,vdata_regressors!$A$1:$R$1,0)),"")</f>
        <v/>
      </c>
      <c r="K265" s="23" t="str">
        <f>IFERROR(INDEX(vdata_regressors!$A$1:$L$2000,MATCH($A265,vdata_regressors!$A$2:$A$2000,0)+1,MATCH(K$2,vdata_regressors!$A$1:$R$1,0)),"")</f>
        <v/>
      </c>
      <c r="L265" s="23" t="str">
        <f>IFERROR(INDEX(vdata_regressors!$A$1:$L$2000,MATCH($A265,vdata_regressors!$A$2:$A$2000,0)+1,MATCH(L$2,vdata_regressors!$A$1:$R$1,0)),"")</f>
        <v/>
      </c>
      <c r="M265" s="23" t="str">
        <f>IFERROR(VLOOKUP(A265,vdata_hours!$A$2:$B$1000,2,FALSE),"")</f>
        <v/>
      </c>
    </row>
    <row r="266" spans="1:13" x14ac:dyDescent="0.25">
      <c r="A266" s="23" t="str">
        <f>IF(vdata_hours!A265=0,"",vdata_hours!A265)</f>
        <v/>
      </c>
      <c r="B266" s="23" t="str">
        <f>IFERROR(INDEX(vdata_regressors!$A$1:$L$2000,MATCH($A266,vdata_regressors!$A$2:$A$2000,0)+1,MATCH(B$2,vdata_regressors!$A$1:$R$1,0)),"")</f>
        <v/>
      </c>
      <c r="C266" s="23" t="str">
        <f>IFERROR(INDEX(vdata_regressors!$A$1:$L$2000,MATCH($A266,vdata_regressors!$A$2:$A$2000,0)+1,MATCH(C$2,vdata_regressors!$A$1:$R$1,0)),"")</f>
        <v/>
      </c>
      <c r="D266" s="23" t="str">
        <f>IFERROR(INDEX(vdata_regressors!$A$1:$L$2000,MATCH($A266,vdata_regressors!$A$2:$A$2000,0)+1,MATCH(D$2,vdata_regressors!$A$1:$R$1,0)),"")</f>
        <v/>
      </c>
      <c r="E266" s="23" t="str">
        <f>IFERROR(INDEX(vdata_regressors!$A$1:$L$2000,MATCH($A266,vdata_regressors!$A$2:$A$2000,0)+1,MATCH(E$2,vdata_regressors!$A$1:$R$1,0)),"")</f>
        <v/>
      </c>
      <c r="F266" s="23" t="str">
        <f>IFERROR(INDEX(vdata_regressors!$A$1:$L$2000,MATCH($A266,vdata_regressors!$A$2:$A$2000,0)+1,MATCH(F$2,vdata_regressors!$A$1:$R$1,0)),"")</f>
        <v/>
      </c>
      <c r="G266" s="23" t="str">
        <f>IFERROR(INDEX(vdata_regressors!$A$1:$L$2000,MATCH($A266,vdata_regressors!$A$2:$A$2000,0)+1,MATCH(G$2,vdata_regressors!$A$1:$R$1,0)),"")</f>
        <v/>
      </c>
      <c r="H266" s="23" t="str">
        <f>IFERROR(INDEX(vdata_regressors!$A$1:$L$2000,MATCH($A266,vdata_regressors!$A$2:$A$2000,0)+1,MATCH(H$2,vdata_regressors!$A$1:$R$1,0)),"")</f>
        <v/>
      </c>
      <c r="I266" s="23" t="str">
        <f>IFERROR(INDEX(vdata_regressors!$A$1:$L$2000,MATCH($A266,vdata_regressors!$A$2:$A$2000,0)+1,MATCH(I$2,vdata_regressors!$A$1:$R$1,0)),"")</f>
        <v/>
      </c>
      <c r="J266" s="23" t="str">
        <f>IFERROR(INDEX(vdata_regressors!$A$1:$L$2000,MATCH($A266,vdata_regressors!$A$2:$A$2000,0)+1,MATCH(J$2,vdata_regressors!$A$1:$R$1,0)),"")</f>
        <v/>
      </c>
      <c r="K266" s="23" t="str">
        <f>IFERROR(INDEX(vdata_regressors!$A$1:$L$2000,MATCH($A266,vdata_regressors!$A$2:$A$2000,0)+1,MATCH(K$2,vdata_regressors!$A$1:$R$1,0)),"")</f>
        <v/>
      </c>
      <c r="L266" s="23" t="str">
        <f>IFERROR(INDEX(vdata_regressors!$A$1:$L$2000,MATCH($A266,vdata_regressors!$A$2:$A$2000,0)+1,MATCH(L$2,vdata_regressors!$A$1:$R$1,0)),"")</f>
        <v/>
      </c>
      <c r="M266" s="23" t="str">
        <f>IFERROR(VLOOKUP(A266,vdata_hours!$A$2:$B$1000,2,FALSE),"")</f>
        <v/>
      </c>
    </row>
    <row r="267" spans="1:13" x14ac:dyDescent="0.25">
      <c r="A267" s="23" t="str">
        <f>IF(vdata_hours!A266=0,"",vdata_hours!A266)</f>
        <v/>
      </c>
      <c r="B267" s="23" t="str">
        <f>IFERROR(INDEX(vdata_regressors!$A$1:$L$2000,MATCH($A267,vdata_regressors!$A$2:$A$2000,0)+1,MATCH(B$2,vdata_regressors!$A$1:$R$1,0)),"")</f>
        <v/>
      </c>
      <c r="C267" s="23" t="str">
        <f>IFERROR(INDEX(vdata_regressors!$A$1:$L$2000,MATCH($A267,vdata_regressors!$A$2:$A$2000,0)+1,MATCH(C$2,vdata_regressors!$A$1:$R$1,0)),"")</f>
        <v/>
      </c>
      <c r="D267" s="23" t="str">
        <f>IFERROR(INDEX(vdata_regressors!$A$1:$L$2000,MATCH($A267,vdata_regressors!$A$2:$A$2000,0)+1,MATCH(D$2,vdata_regressors!$A$1:$R$1,0)),"")</f>
        <v/>
      </c>
      <c r="E267" s="23" t="str">
        <f>IFERROR(INDEX(vdata_regressors!$A$1:$L$2000,MATCH($A267,vdata_regressors!$A$2:$A$2000,0)+1,MATCH(E$2,vdata_regressors!$A$1:$R$1,0)),"")</f>
        <v/>
      </c>
      <c r="F267" s="23" t="str">
        <f>IFERROR(INDEX(vdata_regressors!$A$1:$L$2000,MATCH($A267,vdata_regressors!$A$2:$A$2000,0)+1,MATCH(F$2,vdata_regressors!$A$1:$R$1,0)),"")</f>
        <v/>
      </c>
      <c r="G267" s="23" t="str">
        <f>IFERROR(INDEX(vdata_regressors!$A$1:$L$2000,MATCH($A267,vdata_regressors!$A$2:$A$2000,0)+1,MATCH(G$2,vdata_regressors!$A$1:$R$1,0)),"")</f>
        <v/>
      </c>
      <c r="H267" s="23" t="str">
        <f>IFERROR(INDEX(vdata_regressors!$A$1:$L$2000,MATCH($A267,vdata_regressors!$A$2:$A$2000,0)+1,MATCH(H$2,vdata_regressors!$A$1:$R$1,0)),"")</f>
        <v/>
      </c>
      <c r="I267" s="23" t="str">
        <f>IFERROR(INDEX(vdata_regressors!$A$1:$L$2000,MATCH($A267,vdata_regressors!$A$2:$A$2000,0)+1,MATCH(I$2,vdata_regressors!$A$1:$R$1,0)),"")</f>
        <v/>
      </c>
      <c r="J267" s="23" t="str">
        <f>IFERROR(INDEX(vdata_regressors!$A$1:$L$2000,MATCH($A267,vdata_regressors!$A$2:$A$2000,0)+1,MATCH(J$2,vdata_regressors!$A$1:$R$1,0)),"")</f>
        <v/>
      </c>
      <c r="K267" s="23" t="str">
        <f>IFERROR(INDEX(vdata_regressors!$A$1:$L$2000,MATCH($A267,vdata_regressors!$A$2:$A$2000,0)+1,MATCH(K$2,vdata_regressors!$A$1:$R$1,0)),"")</f>
        <v/>
      </c>
      <c r="L267" s="23" t="str">
        <f>IFERROR(INDEX(vdata_regressors!$A$1:$L$2000,MATCH($A267,vdata_regressors!$A$2:$A$2000,0)+1,MATCH(L$2,vdata_regressors!$A$1:$R$1,0)),"")</f>
        <v/>
      </c>
      <c r="M267" s="23" t="str">
        <f>IFERROR(VLOOKUP(A267,vdata_hours!$A$2:$B$1000,2,FALSE),"")</f>
        <v/>
      </c>
    </row>
    <row r="268" spans="1:13" x14ac:dyDescent="0.25">
      <c r="A268" s="23" t="str">
        <f>IF(vdata_hours!A267=0,"",vdata_hours!A267)</f>
        <v/>
      </c>
      <c r="B268" s="23" t="str">
        <f>IFERROR(INDEX(vdata_regressors!$A$1:$L$2000,MATCH($A268,vdata_regressors!$A$2:$A$2000,0)+1,MATCH(B$2,vdata_regressors!$A$1:$R$1,0)),"")</f>
        <v/>
      </c>
      <c r="C268" s="23" t="str">
        <f>IFERROR(INDEX(vdata_regressors!$A$1:$L$2000,MATCH($A268,vdata_regressors!$A$2:$A$2000,0)+1,MATCH(C$2,vdata_regressors!$A$1:$R$1,0)),"")</f>
        <v/>
      </c>
      <c r="D268" s="23" t="str">
        <f>IFERROR(INDEX(vdata_regressors!$A$1:$L$2000,MATCH($A268,vdata_regressors!$A$2:$A$2000,0)+1,MATCH(D$2,vdata_regressors!$A$1:$R$1,0)),"")</f>
        <v/>
      </c>
      <c r="E268" s="23" t="str">
        <f>IFERROR(INDEX(vdata_regressors!$A$1:$L$2000,MATCH($A268,vdata_regressors!$A$2:$A$2000,0)+1,MATCH(E$2,vdata_regressors!$A$1:$R$1,0)),"")</f>
        <v/>
      </c>
      <c r="F268" s="23" t="str">
        <f>IFERROR(INDEX(vdata_regressors!$A$1:$L$2000,MATCH($A268,vdata_regressors!$A$2:$A$2000,0)+1,MATCH(F$2,vdata_regressors!$A$1:$R$1,0)),"")</f>
        <v/>
      </c>
      <c r="G268" s="23" t="str">
        <f>IFERROR(INDEX(vdata_regressors!$A$1:$L$2000,MATCH($A268,vdata_regressors!$A$2:$A$2000,0)+1,MATCH(G$2,vdata_regressors!$A$1:$R$1,0)),"")</f>
        <v/>
      </c>
      <c r="H268" s="23" t="str">
        <f>IFERROR(INDEX(vdata_regressors!$A$1:$L$2000,MATCH($A268,vdata_regressors!$A$2:$A$2000,0)+1,MATCH(H$2,vdata_regressors!$A$1:$R$1,0)),"")</f>
        <v/>
      </c>
      <c r="I268" s="23" t="str">
        <f>IFERROR(INDEX(vdata_regressors!$A$1:$L$2000,MATCH($A268,vdata_regressors!$A$2:$A$2000,0)+1,MATCH(I$2,vdata_regressors!$A$1:$R$1,0)),"")</f>
        <v/>
      </c>
      <c r="J268" s="23" t="str">
        <f>IFERROR(INDEX(vdata_regressors!$A$1:$L$2000,MATCH($A268,vdata_regressors!$A$2:$A$2000,0)+1,MATCH(J$2,vdata_regressors!$A$1:$R$1,0)),"")</f>
        <v/>
      </c>
      <c r="K268" s="23" t="str">
        <f>IFERROR(INDEX(vdata_regressors!$A$1:$L$2000,MATCH($A268,vdata_regressors!$A$2:$A$2000,0)+1,MATCH(K$2,vdata_regressors!$A$1:$R$1,0)),"")</f>
        <v/>
      </c>
      <c r="L268" s="23" t="str">
        <f>IFERROR(INDEX(vdata_regressors!$A$1:$L$2000,MATCH($A268,vdata_regressors!$A$2:$A$2000,0)+1,MATCH(L$2,vdata_regressors!$A$1:$R$1,0)),"")</f>
        <v/>
      </c>
      <c r="M268" s="23" t="str">
        <f>IFERROR(VLOOKUP(A268,vdata_hours!$A$2:$B$1000,2,FALSE),"")</f>
        <v/>
      </c>
    </row>
    <row r="269" spans="1:13" x14ac:dyDescent="0.25">
      <c r="A269" s="23" t="str">
        <f>IF(vdata_hours!A268=0,"",vdata_hours!A268)</f>
        <v/>
      </c>
      <c r="B269" s="23" t="str">
        <f>IFERROR(INDEX(vdata_regressors!$A$1:$L$2000,MATCH($A269,vdata_regressors!$A$2:$A$2000,0)+1,MATCH(B$2,vdata_regressors!$A$1:$R$1,0)),"")</f>
        <v/>
      </c>
      <c r="C269" s="23" t="str">
        <f>IFERROR(INDEX(vdata_regressors!$A$1:$L$2000,MATCH($A269,vdata_regressors!$A$2:$A$2000,0)+1,MATCH(C$2,vdata_regressors!$A$1:$R$1,0)),"")</f>
        <v/>
      </c>
      <c r="D269" s="23" t="str">
        <f>IFERROR(INDEX(vdata_regressors!$A$1:$L$2000,MATCH($A269,vdata_regressors!$A$2:$A$2000,0)+1,MATCH(D$2,vdata_regressors!$A$1:$R$1,0)),"")</f>
        <v/>
      </c>
      <c r="E269" s="23" t="str">
        <f>IFERROR(INDEX(vdata_regressors!$A$1:$L$2000,MATCH($A269,vdata_regressors!$A$2:$A$2000,0)+1,MATCH(E$2,vdata_regressors!$A$1:$R$1,0)),"")</f>
        <v/>
      </c>
      <c r="F269" s="23" t="str">
        <f>IFERROR(INDEX(vdata_regressors!$A$1:$L$2000,MATCH($A269,vdata_regressors!$A$2:$A$2000,0)+1,MATCH(F$2,vdata_regressors!$A$1:$R$1,0)),"")</f>
        <v/>
      </c>
      <c r="G269" s="23" t="str">
        <f>IFERROR(INDEX(vdata_regressors!$A$1:$L$2000,MATCH($A269,vdata_regressors!$A$2:$A$2000,0)+1,MATCH(G$2,vdata_regressors!$A$1:$R$1,0)),"")</f>
        <v/>
      </c>
      <c r="H269" s="23" t="str">
        <f>IFERROR(INDEX(vdata_regressors!$A$1:$L$2000,MATCH($A269,vdata_regressors!$A$2:$A$2000,0)+1,MATCH(H$2,vdata_regressors!$A$1:$R$1,0)),"")</f>
        <v/>
      </c>
      <c r="I269" s="23" t="str">
        <f>IFERROR(INDEX(vdata_regressors!$A$1:$L$2000,MATCH($A269,vdata_regressors!$A$2:$A$2000,0)+1,MATCH(I$2,vdata_regressors!$A$1:$R$1,0)),"")</f>
        <v/>
      </c>
      <c r="J269" s="23" t="str">
        <f>IFERROR(INDEX(vdata_regressors!$A$1:$L$2000,MATCH($A269,vdata_regressors!$A$2:$A$2000,0)+1,MATCH(J$2,vdata_regressors!$A$1:$R$1,0)),"")</f>
        <v/>
      </c>
      <c r="K269" s="23" t="str">
        <f>IFERROR(INDEX(vdata_regressors!$A$1:$L$2000,MATCH($A269,vdata_regressors!$A$2:$A$2000,0)+1,MATCH(K$2,vdata_regressors!$A$1:$R$1,0)),"")</f>
        <v/>
      </c>
      <c r="L269" s="23" t="str">
        <f>IFERROR(INDEX(vdata_regressors!$A$1:$L$2000,MATCH($A269,vdata_regressors!$A$2:$A$2000,0)+1,MATCH(L$2,vdata_regressors!$A$1:$R$1,0)),"")</f>
        <v/>
      </c>
      <c r="M269" s="23" t="str">
        <f>IFERROR(VLOOKUP(A269,vdata_hours!$A$2:$B$1000,2,FALSE),"")</f>
        <v/>
      </c>
    </row>
    <row r="270" spans="1:13" x14ac:dyDescent="0.25">
      <c r="A270" s="23" t="str">
        <f>IF(vdata_hours!A269=0,"",vdata_hours!A269)</f>
        <v/>
      </c>
      <c r="B270" s="23" t="str">
        <f>IFERROR(INDEX(vdata_regressors!$A$1:$L$2000,MATCH($A270,vdata_regressors!$A$2:$A$2000,0)+1,MATCH(B$2,vdata_regressors!$A$1:$R$1,0)),"")</f>
        <v/>
      </c>
      <c r="C270" s="23" t="str">
        <f>IFERROR(INDEX(vdata_regressors!$A$1:$L$2000,MATCH($A270,vdata_regressors!$A$2:$A$2000,0)+1,MATCH(C$2,vdata_regressors!$A$1:$R$1,0)),"")</f>
        <v/>
      </c>
      <c r="D270" s="23" t="str">
        <f>IFERROR(INDEX(vdata_regressors!$A$1:$L$2000,MATCH($A270,vdata_regressors!$A$2:$A$2000,0)+1,MATCH(D$2,vdata_regressors!$A$1:$R$1,0)),"")</f>
        <v/>
      </c>
      <c r="E270" s="23" t="str">
        <f>IFERROR(INDEX(vdata_regressors!$A$1:$L$2000,MATCH($A270,vdata_regressors!$A$2:$A$2000,0)+1,MATCH(E$2,vdata_regressors!$A$1:$R$1,0)),"")</f>
        <v/>
      </c>
      <c r="F270" s="23" t="str">
        <f>IFERROR(INDEX(vdata_regressors!$A$1:$L$2000,MATCH($A270,vdata_regressors!$A$2:$A$2000,0)+1,MATCH(F$2,vdata_regressors!$A$1:$R$1,0)),"")</f>
        <v/>
      </c>
      <c r="G270" s="23" t="str">
        <f>IFERROR(INDEX(vdata_regressors!$A$1:$L$2000,MATCH($A270,vdata_regressors!$A$2:$A$2000,0)+1,MATCH(G$2,vdata_regressors!$A$1:$R$1,0)),"")</f>
        <v/>
      </c>
      <c r="H270" s="23" t="str">
        <f>IFERROR(INDEX(vdata_regressors!$A$1:$L$2000,MATCH($A270,vdata_regressors!$A$2:$A$2000,0)+1,MATCH(H$2,vdata_regressors!$A$1:$R$1,0)),"")</f>
        <v/>
      </c>
      <c r="I270" s="23" t="str">
        <f>IFERROR(INDEX(vdata_regressors!$A$1:$L$2000,MATCH($A270,vdata_regressors!$A$2:$A$2000,0)+1,MATCH(I$2,vdata_regressors!$A$1:$R$1,0)),"")</f>
        <v/>
      </c>
      <c r="J270" s="23" t="str">
        <f>IFERROR(INDEX(vdata_regressors!$A$1:$L$2000,MATCH($A270,vdata_regressors!$A$2:$A$2000,0)+1,MATCH(J$2,vdata_regressors!$A$1:$R$1,0)),"")</f>
        <v/>
      </c>
      <c r="K270" s="23" t="str">
        <f>IFERROR(INDEX(vdata_regressors!$A$1:$L$2000,MATCH($A270,vdata_regressors!$A$2:$A$2000,0)+1,MATCH(K$2,vdata_regressors!$A$1:$R$1,0)),"")</f>
        <v/>
      </c>
      <c r="L270" s="23" t="str">
        <f>IFERROR(INDEX(vdata_regressors!$A$1:$L$2000,MATCH($A270,vdata_regressors!$A$2:$A$2000,0)+1,MATCH(L$2,vdata_regressors!$A$1:$R$1,0)),"")</f>
        <v/>
      </c>
      <c r="M270" s="23" t="str">
        <f>IFERROR(VLOOKUP(A270,vdata_hours!$A$2:$B$1000,2,FALSE),"")</f>
        <v/>
      </c>
    </row>
    <row r="271" spans="1:13" x14ac:dyDescent="0.25">
      <c r="A271" s="23" t="str">
        <f>IF(vdata_hours!A270=0,"",vdata_hours!A270)</f>
        <v/>
      </c>
      <c r="B271" s="23" t="str">
        <f>IFERROR(INDEX(vdata_regressors!$A$1:$L$2000,MATCH($A271,vdata_regressors!$A$2:$A$2000,0)+1,MATCH(B$2,vdata_regressors!$A$1:$R$1,0)),"")</f>
        <v/>
      </c>
      <c r="C271" s="23" t="str">
        <f>IFERROR(INDEX(vdata_regressors!$A$1:$L$2000,MATCH($A271,vdata_regressors!$A$2:$A$2000,0)+1,MATCH(C$2,vdata_regressors!$A$1:$R$1,0)),"")</f>
        <v/>
      </c>
      <c r="D271" s="23" t="str">
        <f>IFERROR(INDEX(vdata_regressors!$A$1:$L$2000,MATCH($A271,vdata_regressors!$A$2:$A$2000,0)+1,MATCH(D$2,vdata_regressors!$A$1:$R$1,0)),"")</f>
        <v/>
      </c>
      <c r="E271" s="23" t="str">
        <f>IFERROR(INDEX(vdata_regressors!$A$1:$L$2000,MATCH($A271,vdata_regressors!$A$2:$A$2000,0)+1,MATCH(E$2,vdata_regressors!$A$1:$R$1,0)),"")</f>
        <v/>
      </c>
      <c r="F271" s="23" t="str">
        <f>IFERROR(INDEX(vdata_regressors!$A$1:$L$2000,MATCH($A271,vdata_regressors!$A$2:$A$2000,0)+1,MATCH(F$2,vdata_regressors!$A$1:$R$1,0)),"")</f>
        <v/>
      </c>
      <c r="G271" s="23" t="str">
        <f>IFERROR(INDEX(vdata_regressors!$A$1:$L$2000,MATCH($A271,vdata_regressors!$A$2:$A$2000,0)+1,MATCH(G$2,vdata_regressors!$A$1:$R$1,0)),"")</f>
        <v/>
      </c>
      <c r="H271" s="23" t="str">
        <f>IFERROR(INDEX(vdata_regressors!$A$1:$L$2000,MATCH($A271,vdata_regressors!$A$2:$A$2000,0)+1,MATCH(H$2,vdata_regressors!$A$1:$R$1,0)),"")</f>
        <v/>
      </c>
      <c r="I271" s="23" t="str">
        <f>IFERROR(INDEX(vdata_regressors!$A$1:$L$2000,MATCH($A271,vdata_regressors!$A$2:$A$2000,0)+1,MATCH(I$2,vdata_regressors!$A$1:$R$1,0)),"")</f>
        <v/>
      </c>
      <c r="J271" s="23" t="str">
        <f>IFERROR(INDEX(vdata_regressors!$A$1:$L$2000,MATCH($A271,vdata_regressors!$A$2:$A$2000,0)+1,MATCH(J$2,vdata_regressors!$A$1:$R$1,0)),"")</f>
        <v/>
      </c>
      <c r="K271" s="23" t="str">
        <f>IFERROR(INDEX(vdata_regressors!$A$1:$L$2000,MATCH($A271,vdata_regressors!$A$2:$A$2000,0)+1,MATCH(K$2,vdata_regressors!$A$1:$R$1,0)),"")</f>
        <v/>
      </c>
      <c r="L271" s="23" t="str">
        <f>IFERROR(INDEX(vdata_regressors!$A$1:$L$2000,MATCH($A271,vdata_regressors!$A$2:$A$2000,0)+1,MATCH(L$2,vdata_regressors!$A$1:$R$1,0)),"")</f>
        <v/>
      </c>
      <c r="M271" s="23" t="str">
        <f>IFERROR(VLOOKUP(A271,vdata_hours!$A$2:$B$1000,2,FALSE),"")</f>
        <v/>
      </c>
    </row>
    <row r="272" spans="1:13" x14ac:dyDescent="0.25">
      <c r="A272" s="23" t="str">
        <f>IF(vdata_hours!A271=0,"",vdata_hours!A271)</f>
        <v/>
      </c>
      <c r="B272" s="23" t="str">
        <f>IFERROR(INDEX(vdata_regressors!$A$1:$L$2000,MATCH($A272,vdata_regressors!$A$2:$A$2000,0)+1,MATCH(B$2,vdata_regressors!$A$1:$R$1,0)),"")</f>
        <v/>
      </c>
      <c r="C272" s="23" t="str">
        <f>IFERROR(INDEX(vdata_regressors!$A$1:$L$2000,MATCH($A272,vdata_regressors!$A$2:$A$2000,0)+1,MATCH(C$2,vdata_regressors!$A$1:$R$1,0)),"")</f>
        <v/>
      </c>
      <c r="D272" s="23" t="str">
        <f>IFERROR(INDEX(vdata_regressors!$A$1:$L$2000,MATCH($A272,vdata_regressors!$A$2:$A$2000,0)+1,MATCH(D$2,vdata_regressors!$A$1:$R$1,0)),"")</f>
        <v/>
      </c>
      <c r="E272" s="23" t="str">
        <f>IFERROR(INDEX(vdata_regressors!$A$1:$L$2000,MATCH($A272,vdata_regressors!$A$2:$A$2000,0)+1,MATCH(E$2,vdata_regressors!$A$1:$R$1,0)),"")</f>
        <v/>
      </c>
      <c r="F272" s="23" t="str">
        <f>IFERROR(INDEX(vdata_regressors!$A$1:$L$2000,MATCH($A272,vdata_regressors!$A$2:$A$2000,0)+1,MATCH(F$2,vdata_regressors!$A$1:$R$1,0)),"")</f>
        <v/>
      </c>
      <c r="G272" s="23" t="str">
        <f>IFERROR(INDEX(vdata_regressors!$A$1:$L$2000,MATCH($A272,vdata_regressors!$A$2:$A$2000,0)+1,MATCH(G$2,vdata_regressors!$A$1:$R$1,0)),"")</f>
        <v/>
      </c>
      <c r="H272" s="23" t="str">
        <f>IFERROR(INDEX(vdata_regressors!$A$1:$L$2000,MATCH($A272,vdata_regressors!$A$2:$A$2000,0)+1,MATCH(H$2,vdata_regressors!$A$1:$R$1,0)),"")</f>
        <v/>
      </c>
      <c r="I272" s="23" t="str">
        <f>IFERROR(INDEX(vdata_regressors!$A$1:$L$2000,MATCH($A272,vdata_regressors!$A$2:$A$2000,0)+1,MATCH(I$2,vdata_regressors!$A$1:$R$1,0)),"")</f>
        <v/>
      </c>
      <c r="J272" s="23" t="str">
        <f>IFERROR(INDEX(vdata_regressors!$A$1:$L$2000,MATCH($A272,vdata_regressors!$A$2:$A$2000,0)+1,MATCH(J$2,vdata_regressors!$A$1:$R$1,0)),"")</f>
        <v/>
      </c>
      <c r="K272" s="23" t="str">
        <f>IFERROR(INDEX(vdata_regressors!$A$1:$L$2000,MATCH($A272,vdata_regressors!$A$2:$A$2000,0)+1,MATCH(K$2,vdata_regressors!$A$1:$R$1,0)),"")</f>
        <v/>
      </c>
      <c r="L272" s="23" t="str">
        <f>IFERROR(INDEX(vdata_regressors!$A$1:$L$2000,MATCH($A272,vdata_regressors!$A$2:$A$2000,0)+1,MATCH(L$2,vdata_regressors!$A$1:$R$1,0)),"")</f>
        <v/>
      </c>
      <c r="M272" s="23" t="str">
        <f>IFERROR(VLOOKUP(A272,vdata_hours!$A$2:$B$1000,2,FALSE),"")</f>
        <v/>
      </c>
    </row>
    <row r="273" spans="1:13" x14ac:dyDescent="0.25">
      <c r="A273" s="23" t="str">
        <f>IF(vdata_hours!A272=0,"",vdata_hours!A272)</f>
        <v/>
      </c>
      <c r="B273" s="23" t="str">
        <f>IFERROR(INDEX(vdata_regressors!$A$1:$L$2000,MATCH($A273,vdata_regressors!$A$2:$A$2000,0)+1,MATCH(B$2,vdata_regressors!$A$1:$R$1,0)),"")</f>
        <v/>
      </c>
      <c r="C273" s="23" t="str">
        <f>IFERROR(INDEX(vdata_regressors!$A$1:$L$2000,MATCH($A273,vdata_regressors!$A$2:$A$2000,0)+1,MATCH(C$2,vdata_regressors!$A$1:$R$1,0)),"")</f>
        <v/>
      </c>
      <c r="D273" s="23" t="str">
        <f>IFERROR(INDEX(vdata_regressors!$A$1:$L$2000,MATCH($A273,vdata_regressors!$A$2:$A$2000,0)+1,MATCH(D$2,vdata_regressors!$A$1:$R$1,0)),"")</f>
        <v/>
      </c>
      <c r="E273" s="23" t="str">
        <f>IFERROR(INDEX(vdata_regressors!$A$1:$L$2000,MATCH($A273,vdata_regressors!$A$2:$A$2000,0)+1,MATCH(E$2,vdata_regressors!$A$1:$R$1,0)),"")</f>
        <v/>
      </c>
      <c r="F273" s="23" t="str">
        <f>IFERROR(INDEX(vdata_regressors!$A$1:$L$2000,MATCH($A273,vdata_regressors!$A$2:$A$2000,0)+1,MATCH(F$2,vdata_regressors!$A$1:$R$1,0)),"")</f>
        <v/>
      </c>
      <c r="G273" s="23" t="str">
        <f>IFERROR(INDEX(vdata_regressors!$A$1:$L$2000,MATCH($A273,vdata_regressors!$A$2:$A$2000,0)+1,MATCH(G$2,vdata_regressors!$A$1:$R$1,0)),"")</f>
        <v/>
      </c>
      <c r="H273" s="23" t="str">
        <f>IFERROR(INDEX(vdata_regressors!$A$1:$L$2000,MATCH($A273,vdata_regressors!$A$2:$A$2000,0)+1,MATCH(H$2,vdata_regressors!$A$1:$R$1,0)),"")</f>
        <v/>
      </c>
      <c r="I273" s="23" t="str">
        <f>IFERROR(INDEX(vdata_regressors!$A$1:$L$2000,MATCH($A273,vdata_regressors!$A$2:$A$2000,0)+1,MATCH(I$2,vdata_regressors!$A$1:$R$1,0)),"")</f>
        <v/>
      </c>
      <c r="J273" s="23" t="str">
        <f>IFERROR(INDEX(vdata_regressors!$A$1:$L$2000,MATCH($A273,vdata_regressors!$A$2:$A$2000,0)+1,MATCH(J$2,vdata_regressors!$A$1:$R$1,0)),"")</f>
        <v/>
      </c>
      <c r="K273" s="23" t="str">
        <f>IFERROR(INDEX(vdata_regressors!$A$1:$L$2000,MATCH($A273,vdata_regressors!$A$2:$A$2000,0)+1,MATCH(K$2,vdata_regressors!$A$1:$R$1,0)),"")</f>
        <v/>
      </c>
      <c r="L273" s="23" t="str">
        <f>IFERROR(INDEX(vdata_regressors!$A$1:$L$2000,MATCH($A273,vdata_regressors!$A$2:$A$2000,0)+1,MATCH(L$2,vdata_regressors!$A$1:$R$1,0)),"")</f>
        <v/>
      </c>
      <c r="M273" s="23" t="str">
        <f>IFERROR(VLOOKUP(A273,vdata_hours!$A$2:$B$1000,2,FALSE),"")</f>
        <v/>
      </c>
    </row>
    <row r="274" spans="1:13" x14ac:dyDescent="0.25">
      <c r="A274" s="23" t="str">
        <f>IF(vdata_hours!A273=0,"",vdata_hours!A273)</f>
        <v/>
      </c>
      <c r="B274" s="23" t="str">
        <f>IFERROR(INDEX(vdata_regressors!$A$1:$L$2000,MATCH($A274,vdata_regressors!$A$2:$A$2000,0)+1,MATCH(B$2,vdata_regressors!$A$1:$R$1,0)),"")</f>
        <v/>
      </c>
      <c r="C274" s="23" t="str">
        <f>IFERROR(INDEX(vdata_regressors!$A$1:$L$2000,MATCH($A274,vdata_regressors!$A$2:$A$2000,0)+1,MATCH(C$2,vdata_regressors!$A$1:$R$1,0)),"")</f>
        <v/>
      </c>
      <c r="D274" s="23" t="str">
        <f>IFERROR(INDEX(vdata_regressors!$A$1:$L$2000,MATCH($A274,vdata_regressors!$A$2:$A$2000,0)+1,MATCH(D$2,vdata_regressors!$A$1:$R$1,0)),"")</f>
        <v/>
      </c>
      <c r="E274" s="23" t="str">
        <f>IFERROR(INDEX(vdata_regressors!$A$1:$L$2000,MATCH($A274,vdata_regressors!$A$2:$A$2000,0)+1,MATCH(E$2,vdata_regressors!$A$1:$R$1,0)),"")</f>
        <v/>
      </c>
      <c r="F274" s="23" t="str">
        <f>IFERROR(INDEX(vdata_regressors!$A$1:$L$2000,MATCH($A274,vdata_regressors!$A$2:$A$2000,0)+1,MATCH(F$2,vdata_regressors!$A$1:$R$1,0)),"")</f>
        <v/>
      </c>
      <c r="G274" s="23" t="str">
        <f>IFERROR(INDEX(vdata_regressors!$A$1:$L$2000,MATCH($A274,vdata_regressors!$A$2:$A$2000,0)+1,MATCH(G$2,vdata_regressors!$A$1:$R$1,0)),"")</f>
        <v/>
      </c>
      <c r="H274" s="23" t="str">
        <f>IFERROR(INDEX(vdata_regressors!$A$1:$L$2000,MATCH($A274,vdata_regressors!$A$2:$A$2000,0)+1,MATCH(H$2,vdata_regressors!$A$1:$R$1,0)),"")</f>
        <v/>
      </c>
      <c r="I274" s="23" t="str">
        <f>IFERROR(INDEX(vdata_regressors!$A$1:$L$2000,MATCH($A274,vdata_regressors!$A$2:$A$2000,0)+1,MATCH(I$2,vdata_regressors!$A$1:$R$1,0)),"")</f>
        <v/>
      </c>
      <c r="J274" s="23" t="str">
        <f>IFERROR(INDEX(vdata_regressors!$A$1:$L$2000,MATCH($A274,vdata_regressors!$A$2:$A$2000,0)+1,MATCH(J$2,vdata_regressors!$A$1:$R$1,0)),"")</f>
        <v/>
      </c>
      <c r="K274" s="23" t="str">
        <f>IFERROR(INDEX(vdata_regressors!$A$1:$L$2000,MATCH($A274,vdata_regressors!$A$2:$A$2000,0)+1,MATCH(K$2,vdata_regressors!$A$1:$R$1,0)),"")</f>
        <v/>
      </c>
      <c r="L274" s="23" t="str">
        <f>IFERROR(INDEX(vdata_regressors!$A$1:$L$2000,MATCH($A274,vdata_regressors!$A$2:$A$2000,0)+1,MATCH(L$2,vdata_regressors!$A$1:$R$1,0)),"")</f>
        <v/>
      </c>
      <c r="M274" s="23" t="str">
        <f>IFERROR(VLOOKUP(A274,vdata_hours!$A$2:$B$1000,2,FALSE),"")</f>
        <v/>
      </c>
    </row>
    <row r="275" spans="1:13" x14ac:dyDescent="0.25">
      <c r="A275" s="23" t="str">
        <f>IF(vdata_hours!A274=0,"",vdata_hours!A274)</f>
        <v/>
      </c>
      <c r="B275" s="23" t="str">
        <f>IFERROR(INDEX(vdata_regressors!$A$1:$L$2000,MATCH($A275,vdata_regressors!$A$2:$A$2000,0)+1,MATCH(B$2,vdata_regressors!$A$1:$R$1,0)),"")</f>
        <v/>
      </c>
      <c r="C275" s="23" t="str">
        <f>IFERROR(INDEX(vdata_regressors!$A$1:$L$2000,MATCH($A275,vdata_regressors!$A$2:$A$2000,0)+1,MATCH(C$2,vdata_regressors!$A$1:$R$1,0)),"")</f>
        <v/>
      </c>
      <c r="D275" s="23" t="str">
        <f>IFERROR(INDEX(vdata_regressors!$A$1:$L$2000,MATCH($A275,vdata_regressors!$A$2:$A$2000,0)+1,MATCH(D$2,vdata_regressors!$A$1:$R$1,0)),"")</f>
        <v/>
      </c>
      <c r="E275" s="23" t="str">
        <f>IFERROR(INDEX(vdata_regressors!$A$1:$L$2000,MATCH($A275,vdata_regressors!$A$2:$A$2000,0)+1,MATCH(E$2,vdata_regressors!$A$1:$R$1,0)),"")</f>
        <v/>
      </c>
      <c r="F275" s="23" t="str">
        <f>IFERROR(INDEX(vdata_regressors!$A$1:$L$2000,MATCH($A275,vdata_regressors!$A$2:$A$2000,0)+1,MATCH(F$2,vdata_regressors!$A$1:$R$1,0)),"")</f>
        <v/>
      </c>
      <c r="G275" s="23" t="str">
        <f>IFERROR(INDEX(vdata_regressors!$A$1:$L$2000,MATCH($A275,vdata_regressors!$A$2:$A$2000,0)+1,MATCH(G$2,vdata_regressors!$A$1:$R$1,0)),"")</f>
        <v/>
      </c>
      <c r="H275" s="23" t="str">
        <f>IFERROR(INDEX(vdata_regressors!$A$1:$L$2000,MATCH($A275,vdata_regressors!$A$2:$A$2000,0)+1,MATCH(H$2,vdata_regressors!$A$1:$R$1,0)),"")</f>
        <v/>
      </c>
      <c r="I275" s="23" t="str">
        <f>IFERROR(INDEX(vdata_regressors!$A$1:$L$2000,MATCH($A275,vdata_regressors!$A$2:$A$2000,0)+1,MATCH(I$2,vdata_regressors!$A$1:$R$1,0)),"")</f>
        <v/>
      </c>
      <c r="J275" s="23" t="str">
        <f>IFERROR(INDEX(vdata_regressors!$A$1:$L$2000,MATCH($A275,vdata_regressors!$A$2:$A$2000,0)+1,MATCH(J$2,vdata_regressors!$A$1:$R$1,0)),"")</f>
        <v/>
      </c>
      <c r="K275" s="23" t="str">
        <f>IFERROR(INDEX(vdata_regressors!$A$1:$L$2000,MATCH($A275,vdata_regressors!$A$2:$A$2000,0)+1,MATCH(K$2,vdata_regressors!$A$1:$R$1,0)),"")</f>
        <v/>
      </c>
      <c r="L275" s="23" t="str">
        <f>IFERROR(INDEX(vdata_regressors!$A$1:$L$2000,MATCH($A275,vdata_regressors!$A$2:$A$2000,0)+1,MATCH(L$2,vdata_regressors!$A$1:$R$1,0)),"")</f>
        <v/>
      </c>
      <c r="M275" s="23" t="str">
        <f>IFERROR(VLOOKUP(A275,vdata_hours!$A$2:$B$1000,2,FALSE),"")</f>
        <v/>
      </c>
    </row>
    <row r="276" spans="1:13" x14ac:dyDescent="0.25">
      <c r="A276" s="23" t="str">
        <f>IF(vdata_hours!A275=0,"",vdata_hours!A275)</f>
        <v/>
      </c>
      <c r="B276" s="23" t="str">
        <f>IFERROR(INDEX(vdata_regressors!$A$1:$L$2000,MATCH($A276,vdata_regressors!$A$2:$A$2000,0)+1,MATCH(B$2,vdata_regressors!$A$1:$R$1,0)),"")</f>
        <v/>
      </c>
      <c r="C276" s="23" t="str">
        <f>IFERROR(INDEX(vdata_regressors!$A$1:$L$2000,MATCH($A276,vdata_regressors!$A$2:$A$2000,0)+1,MATCH(C$2,vdata_regressors!$A$1:$R$1,0)),"")</f>
        <v/>
      </c>
      <c r="D276" s="23" t="str">
        <f>IFERROR(INDEX(vdata_regressors!$A$1:$L$2000,MATCH($A276,vdata_regressors!$A$2:$A$2000,0)+1,MATCH(D$2,vdata_regressors!$A$1:$R$1,0)),"")</f>
        <v/>
      </c>
      <c r="E276" s="23" t="str">
        <f>IFERROR(INDEX(vdata_regressors!$A$1:$L$2000,MATCH($A276,vdata_regressors!$A$2:$A$2000,0)+1,MATCH(E$2,vdata_regressors!$A$1:$R$1,0)),"")</f>
        <v/>
      </c>
      <c r="F276" s="23" t="str">
        <f>IFERROR(INDEX(vdata_regressors!$A$1:$L$2000,MATCH($A276,vdata_regressors!$A$2:$A$2000,0)+1,MATCH(F$2,vdata_regressors!$A$1:$R$1,0)),"")</f>
        <v/>
      </c>
      <c r="G276" s="23" t="str">
        <f>IFERROR(INDEX(vdata_regressors!$A$1:$L$2000,MATCH($A276,vdata_regressors!$A$2:$A$2000,0)+1,MATCH(G$2,vdata_regressors!$A$1:$R$1,0)),"")</f>
        <v/>
      </c>
      <c r="H276" s="23" t="str">
        <f>IFERROR(INDEX(vdata_regressors!$A$1:$L$2000,MATCH($A276,vdata_regressors!$A$2:$A$2000,0)+1,MATCH(H$2,vdata_regressors!$A$1:$R$1,0)),"")</f>
        <v/>
      </c>
      <c r="I276" s="23" t="str">
        <f>IFERROR(INDEX(vdata_regressors!$A$1:$L$2000,MATCH($A276,vdata_regressors!$A$2:$A$2000,0)+1,MATCH(I$2,vdata_regressors!$A$1:$R$1,0)),"")</f>
        <v/>
      </c>
      <c r="J276" s="23" t="str">
        <f>IFERROR(INDEX(vdata_regressors!$A$1:$L$2000,MATCH($A276,vdata_regressors!$A$2:$A$2000,0)+1,MATCH(J$2,vdata_regressors!$A$1:$R$1,0)),"")</f>
        <v/>
      </c>
      <c r="K276" s="23" t="str">
        <f>IFERROR(INDEX(vdata_regressors!$A$1:$L$2000,MATCH($A276,vdata_regressors!$A$2:$A$2000,0)+1,MATCH(K$2,vdata_regressors!$A$1:$R$1,0)),"")</f>
        <v/>
      </c>
      <c r="L276" s="23" t="str">
        <f>IFERROR(INDEX(vdata_regressors!$A$1:$L$2000,MATCH($A276,vdata_regressors!$A$2:$A$2000,0)+1,MATCH(L$2,vdata_regressors!$A$1:$R$1,0)),"")</f>
        <v/>
      </c>
      <c r="M276" s="23" t="str">
        <f>IFERROR(VLOOKUP(A276,vdata_hours!$A$2:$B$1000,2,FALSE),"")</f>
        <v/>
      </c>
    </row>
    <row r="277" spans="1:13" x14ac:dyDescent="0.25">
      <c r="A277" s="23" t="str">
        <f>IF(vdata_hours!A276=0,"",vdata_hours!A276)</f>
        <v/>
      </c>
      <c r="B277" s="23" t="str">
        <f>IFERROR(INDEX(vdata_regressors!$A$1:$L$2000,MATCH($A277,vdata_regressors!$A$2:$A$2000,0)+1,MATCH(B$2,vdata_regressors!$A$1:$R$1,0)),"")</f>
        <v/>
      </c>
      <c r="C277" s="23" t="str">
        <f>IFERROR(INDEX(vdata_regressors!$A$1:$L$2000,MATCH($A277,vdata_regressors!$A$2:$A$2000,0)+1,MATCH(C$2,vdata_regressors!$A$1:$R$1,0)),"")</f>
        <v/>
      </c>
      <c r="D277" s="23" t="str">
        <f>IFERROR(INDEX(vdata_regressors!$A$1:$L$2000,MATCH($A277,vdata_regressors!$A$2:$A$2000,0)+1,MATCH(D$2,vdata_regressors!$A$1:$R$1,0)),"")</f>
        <v/>
      </c>
      <c r="E277" s="23" t="str">
        <f>IFERROR(INDEX(vdata_regressors!$A$1:$L$2000,MATCH($A277,vdata_regressors!$A$2:$A$2000,0)+1,MATCH(E$2,vdata_regressors!$A$1:$R$1,0)),"")</f>
        <v/>
      </c>
      <c r="F277" s="23" t="str">
        <f>IFERROR(INDEX(vdata_regressors!$A$1:$L$2000,MATCH($A277,vdata_regressors!$A$2:$A$2000,0)+1,MATCH(F$2,vdata_regressors!$A$1:$R$1,0)),"")</f>
        <v/>
      </c>
      <c r="G277" s="23" t="str">
        <f>IFERROR(INDEX(vdata_regressors!$A$1:$L$2000,MATCH($A277,vdata_regressors!$A$2:$A$2000,0)+1,MATCH(G$2,vdata_regressors!$A$1:$R$1,0)),"")</f>
        <v/>
      </c>
      <c r="H277" s="23" t="str">
        <f>IFERROR(INDEX(vdata_regressors!$A$1:$L$2000,MATCH($A277,vdata_regressors!$A$2:$A$2000,0)+1,MATCH(H$2,vdata_regressors!$A$1:$R$1,0)),"")</f>
        <v/>
      </c>
      <c r="I277" s="23" t="str">
        <f>IFERROR(INDEX(vdata_regressors!$A$1:$L$2000,MATCH($A277,vdata_regressors!$A$2:$A$2000,0)+1,MATCH(I$2,vdata_regressors!$A$1:$R$1,0)),"")</f>
        <v/>
      </c>
      <c r="J277" s="23" t="str">
        <f>IFERROR(INDEX(vdata_regressors!$A$1:$L$2000,MATCH($A277,vdata_regressors!$A$2:$A$2000,0)+1,MATCH(J$2,vdata_regressors!$A$1:$R$1,0)),"")</f>
        <v/>
      </c>
      <c r="K277" s="23" t="str">
        <f>IFERROR(INDEX(vdata_regressors!$A$1:$L$2000,MATCH($A277,vdata_regressors!$A$2:$A$2000,0)+1,MATCH(K$2,vdata_regressors!$A$1:$R$1,0)),"")</f>
        <v/>
      </c>
      <c r="L277" s="23" t="str">
        <f>IFERROR(INDEX(vdata_regressors!$A$1:$L$2000,MATCH($A277,vdata_regressors!$A$2:$A$2000,0)+1,MATCH(L$2,vdata_regressors!$A$1:$R$1,0)),"")</f>
        <v/>
      </c>
      <c r="M277" s="23" t="str">
        <f>IFERROR(VLOOKUP(A277,vdata_hours!$A$2:$B$1000,2,FALSE),"")</f>
        <v/>
      </c>
    </row>
    <row r="278" spans="1:13" x14ac:dyDescent="0.25">
      <c r="A278" s="23" t="str">
        <f>IF(vdata_hours!A277=0,"",vdata_hours!A277)</f>
        <v/>
      </c>
      <c r="B278" s="23" t="str">
        <f>IFERROR(INDEX(vdata_regressors!$A$1:$L$2000,MATCH($A278,vdata_regressors!$A$2:$A$2000,0)+1,MATCH(B$2,vdata_regressors!$A$1:$R$1,0)),"")</f>
        <v/>
      </c>
      <c r="C278" s="23" t="str">
        <f>IFERROR(INDEX(vdata_regressors!$A$1:$L$2000,MATCH($A278,vdata_regressors!$A$2:$A$2000,0)+1,MATCH(C$2,vdata_regressors!$A$1:$R$1,0)),"")</f>
        <v/>
      </c>
      <c r="D278" s="23" t="str">
        <f>IFERROR(INDEX(vdata_regressors!$A$1:$L$2000,MATCH($A278,vdata_regressors!$A$2:$A$2000,0)+1,MATCH(D$2,vdata_regressors!$A$1:$R$1,0)),"")</f>
        <v/>
      </c>
      <c r="E278" s="23" t="str">
        <f>IFERROR(INDEX(vdata_regressors!$A$1:$L$2000,MATCH($A278,vdata_regressors!$A$2:$A$2000,0)+1,MATCH(E$2,vdata_regressors!$A$1:$R$1,0)),"")</f>
        <v/>
      </c>
      <c r="F278" s="23" t="str">
        <f>IFERROR(INDEX(vdata_regressors!$A$1:$L$2000,MATCH($A278,vdata_regressors!$A$2:$A$2000,0)+1,MATCH(F$2,vdata_regressors!$A$1:$R$1,0)),"")</f>
        <v/>
      </c>
      <c r="G278" s="23" t="str">
        <f>IFERROR(INDEX(vdata_regressors!$A$1:$L$2000,MATCH($A278,vdata_regressors!$A$2:$A$2000,0)+1,MATCH(G$2,vdata_regressors!$A$1:$R$1,0)),"")</f>
        <v/>
      </c>
      <c r="H278" s="23" t="str">
        <f>IFERROR(INDEX(vdata_regressors!$A$1:$L$2000,MATCH($A278,vdata_regressors!$A$2:$A$2000,0)+1,MATCH(H$2,vdata_regressors!$A$1:$R$1,0)),"")</f>
        <v/>
      </c>
      <c r="I278" s="23" t="str">
        <f>IFERROR(INDEX(vdata_regressors!$A$1:$L$2000,MATCH($A278,vdata_regressors!$A$2:$A$2000,0)+1,MATCH(I$2,vdata_regressors!$A$1:$R$1,0)),"")</f>
        <v/>
      </c>
      <c r="J278" s="23" t="str">
        <f>IFERROR(INDEX(vdata_regressors!$A$1:$L$2000,MATCH($A278,vdata_regressors!$A$2:$A$2000,0)+1,MATCH(J$2,vdata_regressors!$A$1:$R$1,0)),"")</f>
        <v/>
      </c>
      <c r="K278" s="23" t="str">
        <f>IFERROR(INDEX(vdata_regressors!$A$1:$L$2000,MATCH($A278,vdata_regressors!$A$2:$A$2000,0)+1,MATCH(K$2,vdata_regressors!$A$1:$R$1,0)),"")</f>
        <v/>
      </c>
      <c r="L278" s="23" t="str">
        <f>IFERROR(INDEX(vdata_regressors!$A$1:$L$2000,MATCH($A278,vdata_regressors!$A$2:$A$2000,0)+1,MATCH(L$2,vdata_regressors!$A$1:$R$1,0)),"")</f>
        <v/>
      </c>
      <c r="M278" s="23" t="str">
        <f>IFERROR(VLOOKUP(A278,vdata_hours!$A$2:$B$1000,2,FALSE),"")</f>
        <v/>
      </c>
    </row>
    <row r="279" spans="1:13" x14ac:dyDescent="0.25">
      <c r="A279" s="23" t="str">
        <f>IF(vdata_hours!A278=0,"",vdata_hours!A278)</f>
        <v/>
      </c>
      <c r="B279" s="23" t="str">
        <f>IFERROR(INDEX(vdata_regressors!$A$1:$L$2000,MATCH($A279,vdata_regressors!$A$2:$A$2000,0)+1,MATCH(B$2,vdata_regressors!$A$1:$R$1,0)),"")</f>
        <v/>
      </c>
      <c r="C279" s="23" t="str">
        <f>IFERROR(INDEX(vdata_regressors!$A$1:$L$2000,MATCH($A279,vdata_regressors!$A$2:$A$2000,0)+1,MATCH(C$2,vdata_regressors!$A$1:$R$1,0)),"")</f>
        <v/>
      </c>
      <c r="D279" s="23" t="str">
        <f>IFERROR(INDEX(vdata_regressors!$A$1:$L$2000,MATCH($A279,vdata_regressors!$A$2:$A$2000,0)+1,MATCH(D$2,vdata_regressors!$A$1:$R$1,0)),"")</f>
        <v/>
      </c>
      <c r="E279" s="23" t="str">
        <f>IFERROR(INDEX(vdata_regressors!$A$1:$L$2000,MATCH($A279,vdata_regressors!$A$2:$A$2000,0)+1,MATCH(E$2,vdata_regressors!$A$1:$R$1,0)),"")</f>
        <v/>
      </c>
      <c r="F279" s="23" t="str">
        <f>IFERROR(INDEX(vdata_regressors!$A$1:$L$2000,MATCH($A279,vdata_regressors!$A$2:$A$2000,0)+1,MATCH(F$2,vdata_regressors!$A$1:$R$1,0)),"")</f>
        <v/>
      </c>
      <c r="G279" s="23" t="str">
        <f>IFERROR(INDEX(vdata_regressors!$A$1:$L$2000,MATCH($A279,vdata_regressors!$A$2:$A$2000,0)+1,MATCH(G$2,vdata_regressors!$A$1:$R$1,0)),"")</f>
        <v/>
      </c>
      <c r="H279" s="23" t="str">
        <f>IFERROR(INDEX(vdata_regressors!$A$1:$L$2000,MATCH($A279,vdata_regressors!$A$2:$A$2000,0)+1,MATCH(H$2,vdata_regressors!$A$1:$R$1,0)),"")</f>
        <v/>
      </c>
      <c r="I279" s="23" t="str">
        <f>IFERROR(INDEX(vdata_regressors!$A$1:$L$2000,MATCH($A279,vdata_regressors!$A$2:$A$2000,0)+1,MATCH(I$2,vdata_regressors!$A$1:$R$1,0)),"")</f>
        <v/>
      </c>
      <c r="J279" s="23" t="str">
        <f>IFERROR(INDEX(vdata_regressors!$A$1:$L$2000,MATCH($A279,vdata_regressors!$A$2:$A$2000,0)+1,MATCH(J$2,vdata_regressors!$A$1:$R$1,0)),"")</f>
        <v/>
      </c>
      <c r="K279" s="23" t="str">
        <f>IFERROR(INDEX(vdata_regressors!$A$1:$L$2000,MATCH($A279,vdata_regressors!$A$2:$A$2000,0)+1,MATCH(K$2,vdata_regressors!$A$1:$R$1,0)),"")</f>
        <v/>
      </c>
      <c r="L279" s="23" t="str">
        <f>IFERROR(INDEX(vdata_regressors!$A$1:$L$2000,MATCH($A279,vdata_regressors!$A$2:$A$2000,0)+1,MATCH(L$2,vdata_regressors!$A$1:$R$1,0)),"")</f>
        <v/>
      </c>
      <c r="M279" s="23" t="str">
        <f>IFERROR(VLOOKUP(A279,vdata_hours!$A$2:$B$1000,2,FALSE),"")</f>
        <v/>
      </c>
    </row>
    <row r="280" spans="1:13" x14ac:dyDescent="0.25">
      <c r="A280" s="23" t="str">
        <f>IF(vdata_hours!A279=0,"",vdata_hours!A279)</f>
        <v/>
      </c>
      <c r="B280" s="23" t="str">
        <f>IFERROR(INDEX(vdata_regressors!$A$1:$L$2000,MATCH($A280,vdata_regressors!$A$2:$A$2000,0)+1,MATCH(B$2,vdata_regressors!$A$1:$R$1,0)),"")</f>
        <v/>
      </c>
      <c r="C280" s="23" t="str">
        <f>IFERROR(INDEX(vdata_regressors!$A$1:$L$2000,MATCH($A280,vdata_regressors!$A$2:$A$2000,0)+1,MATCH(C$2,vdata_regressors!$A$1:$R$1,0)),"")</f>
        <v/>
      </c>
      <c r="D280" s="23" t="str">
        <f>IFERROR(INDEX(vdata_regressors!$A$1:$L$2000,MATCH($A280,vdata_regressors!$A$2:$A$2000,0)+1,MATCH(D$2,vdata_regressors!$A$1:$R$1,0)),"")</f>
        <v/>
      </c>
      <c r="E280" s="23" t="str">
        <f>IFERROR(INDEX(vdata_regressors!$A$1:$L$2000,MATCH($A280,vdata_regressors!$A$2:$A$2000,0)+1,MATCH(E$2,vdata_regressors!$A$1:$R$1,0)),"")</f>
        <v/>
      </c>
      <c r="F280" s="23" t="str">
        <f>IFERROR(INDEX(vdata_regressors!$A$1:$L$2000,MATCH($A280,vdata_regressors!$A$2:$A$2000,0)+1,MATCH(F$2,vdata_regressors!$A$1:$R$1,0)),"")</f>
        <v/>
      </c>
      <c r="G280" s="23" t="str">
        <f>IFERROR(INDEX(vdata_regressors!$A$1:$L$2000,MATCH($A280,vdata_regressors!$A$2:$A$2000,0)+1,MATCH(G$2,vdata_regressors!$A$1:$R$1,0)),"")</f>
        <v/>
      </c>
      <c r="H280" s="23" t="str">
        <f>IFERROR(INDEX(vdata_regressors!$A$1:$L$2000,MATCH($A280,vdata_regressors!$A$2:$A$2000,0)+1,MATCH(H$2,vdata_regressors!$A$1:$R$1,0)),"")</f>
        <v/>
      </c>
      <c r="I280" s="23" t="str">
        <f>IFERROR(INDEX(vdata_regressors!$A$1:$L$2000,MATCH($A280,vdata_regressors!$A$2:$A$2000,0)+1,MATCH(I$2,vdata_regressors!$A$1:$R$1,0)),"")</f>
        <v/>
      </c>
      <c r="J280" s="23" t="str">
        <f>IFERROR(INDEX(vdata_regressors!$A$1:$L$2000,MATCH($A280,vdata_regressors!$A$2:$A$2000,0)+1,MATCH(J$2,vdata_regressors!$A$1:$R$1,0)),"")</f>
        <v/>
      </c>
      <c r="K280" s="23" t="str">
        <f>IFERROR(INDEX(vdata_regressors!$A$1:$L$2000,MATCH($A280,vdata_regressors!$A$2:$A$2000,0)+1,MATCH(K$2,vdata_regressors!$A$1:$R$1,0)),"")</f>
        <v/>
      </c>
      <c r="L280" s="23" t="str">
        <f>IFERROR(INDEX(vdata_regressors!$A$1:$L$2000,MATCH($A280,vdata_regressors!$A$2:$A$2000,0)+1,MATCH(L$2,vdata_regressors!$A$1:$R$1,0)),"")</f>
        <v/>
      </c>
      <c r="M280" s="23" t="str">
        <f>IFERROR(VLOOKUP(A280,vdata_hours!$A$2:$B$1000,2,FALSE),"")</f>
        <v/>
      </c>
    </row>
    <row r="281" spans="1:13" x14ac:dyDescent="0.25">
      <c r="A281" s="23" t="str">
        <f>IF(vdata_hours!A280=0,"",vdata_hours!A280)</f>
        <v/>
      </c>
      <c r="B281" s="23" t="str">
        <f>IFERROR(INDEX(vdata_regressors!$A$1:$L$2000,MATCH($A281,vdata_regressors!$A$2:$A$2000,0)+1,MATCH(B$2,vdata_regressors!$A$1:$R$1,0)),"")</f>
        <v/>
      </c>
      <c r="C281" s="23" t="str">
        <f>IFERROR(INDEX(vdata_regressors!$A$1:$L$2000,MATCH($A281,vdata_regressors!$A$2:$A$2000,0)+1,MATCH(C$2,vdata_regressors!$A$1:$R$1,0)),"")</f>
        <v/>
      </c>
      <c r="D281" s="23" t="str">
        <f>IFERROR(INDEX(vdata_regressors!$A$1:$L$2000,MATCH($A281,vdata_regressors!$A$2:$A$2000,0)+1,MATCH(D$2,vdata_regressors!$A$1:$R$1,0)),"")</f>
        <v/>
      </c>
      <c r="E281" s="23" t="str">
        <f>IFERROR(INDEX(vdata_regressors!$A$1:$L$2000,MATCH($A281,vdata_regressors!$A$2:$A$2000,0)+1,MATCH(E$2,vdata_regressors!$A$1:$R$1,0)),"")</f>
        <v/>
      </c>
      <c r="F281" s="23" t="str">
        <f>IFERROR(INDEX(vdata_regressors!$A$1:$L$2000,MATCH($A281,vdata_regressors!$A$2:$A$2000,0)+1,MATCH(F$2,vdata_regressors!$A$1:$R$1,0)),"")</f>
        <v/>
      </c>
      <c r="G281" s="23" t="str">
        <f>IFERROR(INDEX(vdata_regressors!$A$1:$L$2000,MATCH($A281,vdata_regressors!$A$2:$A$2000,0)+1,MATCH(G$2,vdata_regressors!$A$1:$R$1,0)),"")</f>
        <v/>
      </c>
      <c r="H281" s="23" t="str">
        <f>IFERROR(INDEX(vdata_regressors!$A$1:$L$2000,MATCH($A281,vdata_regressors!$A$2:$A$2000,0)+1,MATCH(H$2,vdata_regressors!$A$1:$R$1,0)),"")</f>
        <v/>
      </c>
      <c r="I281" s="23" t="str">
        <f>IFERROR(INDEX(vdata_regressors!$A$1:$L$2000,MATCH($A281,vdata_regressors!$A$2:$A$2000,0)+1,MATCH(I$2,vdata_regressors!$A$1:$R$1,0)),"")</f>
        <v/>
      </c>
      <c r="J281" s="23" t="str">
        <f>IFERROR(INDEX(vdata_regressors!$A$1:$L$2000,MATCH($A281,vdata_regressors!$A$2:$A$2000,0)+1,MATCH(J$2,vdata_regressors!$A$1:$R$1,0)),"")</f>
        <v/>
      </c>
      <c r="K281" s="23" t="str">
        <f>IFERROR(INDEX(vdata_regressors!$A$1:$L$2000,MATCH($A281,vdata_regressors!$A$2:$A$2000,0)+1,MATCH(K$2,vdata_regressors!$A$1:$R$1,0)),"")</f>
        <v/>
      </c>
      <c r="L281" s="23" t="str">
        <f>IFERROR(INDEX(vdata_regressors!$A$1:$L$2000,MATCH($A281,vdata_regressors!$A$2:$A$2000,0)+1,MATCH(L$2,vdata_regressors!$A$1:$R$1,0)),"")</f>
        <v/>
      </c>
      <c r="M281" s="23" t="str">
        <f>IFERROR(VLOOKUP(A281,vdata_hours!$A$2:$B$1000,2,FALSE),"")</f>
        <v/>
      </c>
    </row>
    <row r="282" spans="1:13" x14ac:dyDescent="0.25">
      <c r="A282" s="23" t="str">
        <f>IF(vdata_hours!A281=0,"",vdata_hours!A281)</f>
        <v/>
      </c>
      <c r="B282" s="23" t="str">
        <f>IFERROR(INDEX(vdata_regressors!$A$1:$L$2000,MATCH($A282,vdata_regressors!$A$2:$A$2000,0)+1,MATCH(B$2,vdata_regressors!$A$1:$R$1,0)),"")</f>
        <v/>
      </c>
      <c r="C282" s="23" t="str">
        <f>IFERROR(INDEX(vdata_regressors!$A$1:$L$2000,MATCH($A282,vdata_regressors!$A$2:$A$2000,0)+1,MATCH(C$2,vdata_regressors!$A$1:$R$1,0)),"")</f>
        <v/>
      </c>
      <c r="D282" s="23" t="str">
        <f>IFERROR(INDEX(vdata_regressors!$A$1:$L$2000,MATCH($A282,vdata_regressors!$A$2:$A$2000,0)+1,MATCH(D$2,vdata_regressors!$A$1:$R$1,0)),"")</f>
        <v/>
      </c>
      <c r="E282" s="23" t="str">
        <f>IFERROR(INDEX(vdata_regressors!$A$1:$L$2000,MATCH($A282,vdata_regressors!$A$2:$A$2000,0)+1,MATCH(E$2,vdata_regressors!$A$1:$R$1,0)),"")</f>
        <v/>
      </c>
      <c r="F282" s="23" t="str">
        <f>IFERROR(INDEX(vdata_regressors!$A$1:$L$2000,MATCH($A282,vdata_regressors!$A$2:$A$2000,0)+1,MATCH(F$2,vdata_regressors!$A$1:$R$1,0)),"")</f>
        <v/>
      </c>
      <c r="G282" s="23" t="str">
        <f>IFERROR(INDEX(vdata_regressors!$A$1:$L$2000,MATCH($A282,vdata_regressors!$A$2:$A$2000,0)+1,MATCH(G$2,vdata_regressors!$A$1:$R$1,0)),"")</f>
        <v/>
      </c>
      <c r="H282" s="23" t="str">
        <f>IFERROR(INDEX(vdata_regressors!$A$1:$L$2000,MATCH($A282,vdata_regressors!$A$2:$A$2000,0)+1,MATCH(H$2,vdata_regressors!$A$1:$R$1,0)),"")</f>
        <v/>
      </c>
      <c r="I282" s="23" t="str">
        <f>IFERROR(INDEX(vdata_regressors!$A$1:$L$2000,MATCH($A282,vdata_regressors!$A$2:$A$2000,0)+1,MATCH(I$2,vdata_regressors!$A$1:$R$1,0)),"")</f>
        <v/>
      </c>
      <c r="J282" s="23" t="str">
        <f>IFERROR(INDEX(vdata_regressors!$A$1:$L$2000,MATCH($A282,vdata_regressors!$A$2:$A$2000,0)+1,MATCH(J$2,vdata_regressors!$A$1:$R$1,0)),"")</f>
        <v/>
      </c>
      <c r="K282" s="23" t="str">
        <f>IFERROR(INDEX(vdata_regressors!$A$1:$L$2000,MATCH($A282,vdata_regressors!$A$2:$A$2000,0)+1,MATCH(K$2,vdata_regressors!$A$1:$R$1,0)),"")</f>
        <v/>
      </c>
      <c r="L282" s="23" t="str">
        <f>IFERROR(INDEX(vdata_regressors!$A$1:$L$2000,MATCH($A282,vdata_regressors!$A$2:$A$2000,0)+1,MATCH(L$2,vdata_regressors!$A$1:$R$1,0)),"")</f>
        <v/>
      </c>
      <c r="M282" s="23" t="str">
        <f>IFERROR(VLOOKUP(A282,vdata_hours!$A$2:$B$1000,2,FALSE),"")</f>
        <v/>
      </c>
    </row>
    <row r="283" spans="1:13" x14ac:dyDescent="0.25">
      <c r="A283" s="23" t="str">
        <f>IF(vdata_hours!A282=0,"",vdata_hours!A282)</f>
        <v/>
      </c>
      <c r="B283" s="23" t="str">
        <f>IFERROR(INDEX(vdata_regressors!$A$1:$L$2000,MATCH($A283,vdata_regressors!$A$2:$A$2000,0)+1,MATCH(B$2,vdata_regressors!$A$1:$R$1,0)),"")</f>
        <v/>
      </c>
      <c r="C283" s="23" t="str">
        <f>IFERROR(INDEX(vdata_regressors!$A$1:$L$2000,MATCH($A283,vdata_regressors!$A$2:$A$2000,0)+1,MATCH(C$2,vdata_regressors!$A$1:$R$1,0)),"")</f>
        <v/>
      </c>
      <c r="D283" s="23" t="str">
        <f>IFERROR(INDEX(vdata_regressors!$A$1:$L$2000,MATCH($A283,vdata_regressors!$A$2:$A$2000,0)+1,MATCH(D$2,vdata_regressors!$A$1:$R$1,0)),"")</f>
        <v/>
      </c>
      <c r="E283" s="23" t="str">
        <f>IFERROR(INDEX(vdata_regressors!$A$1:$L$2000,MATCH($A283,vdata_regressors!$A$2:$A$2000,0)+1,MATCH(E$2,vdata_regressors!$A$1:$R$1,0)),"")</f>
        <v/>
      </c>
      <c r="F283" s="23" t="str">
        <f>IFERROR(INDEX(vdata_regressors!$A$1:$L$2000,MATCH($A283,vdata_regressors!$A$2:$A$2000,0)+1,MATCH(F$2,vdata_regressors!$A$1:$R$1,0)),"")</f>
        <v/>
      </c>
      <c r="G283" s="23" t="str">
        <f>IFERROR(INDEX(vdata_regressors!$A$1:$L$2000,MATCH($A283,vdata_regressors!$A$2:$A$2000,0)+1,MATCH(G$2,vdata_regressors!$A$1:$R$1,0)),"")</f>
        <v/>
      </c>
      <c r="H283" s="23" t="str">
        <f>IFERROR(INDEX(vdata_regressors!$A$1:$L$2000,MATCH($A283,vdata_regressors!$A$2:$A$2000,0)+1,MATCH(H$2,vdata_regressors!$A$1:$R$1,0)),"")</f>
        <v/>
      </c>
      <c r="I283" s="23" t="str">
        <f>IFERROR(INDEX(vdata_regressors!$A$1:$L$2000,MATCH($A283,vdata_regressors!$A$2:$A$2000,0)+1,MATCH(I$2,vdata_regressors!$A$1:$R$1,0)),"")</f>
        <v/>
      </c>
      <c r="J283" s="23" t="str">
        <f>IFERROR(INDEX(vdata_regressors!$A$1:$L$2000,MATCH($A283,vdata_regressors!$A$2:$A$2000,0)+1,MATCH(J$2,vdata_regressors!$A$1:$R$1,0)),"")</f>
        <v/>
      </c>
      <c r="K283" s="23" t="str">
        <f>IFERROR(INDEX(vdata_regressors!$A$1:$L$2000,MATCH($A283,vdata_regressors!$A$2:$A$2000,0)+1,MATCH(K$2,vdata_regressors!$A$1:$R$1,0)),"")</f>
        <v/>
      </c>
      <c r="L283" s="23" t="str">
        <f>IFERROR(INDEX(vdata_regressors!$A$1:$L$2000,MATCH($A283,vdata_regressors!$A$2:$A$2000,0)+1,MATCH(L$2,vdata_regressors!$A$1:$R$1,0)),"")</f>
        <v/>
      </c>
      <c r="M283" s="23" t="str">
        <f>IFERROR(VLOOKUP(A283,vdata_hours!$A$2:$B$1000,2,FALSE),"")</f>
        <v/>
      </c>
    </row>
    <row r="284" spans="1:13" x14ac:dyDescent="0.25">
      <c r="A284" s="23" t="str">
        <f>IF(vdata_hours!A283=0,"",vdata_hours!A283)</f>
        <v/>
      </c>
      <c r="B284" s="23" t="str">
        <f>IFERROR(INDEX(vdata_regressors!$A$1:$L$2000,MATCH($A284,vdata_regressors!$A$2:$A$2000,0)+1,MATCH(B$2,vdata_regressors!$A$1:$R$1,0)),"")</f>
        <v/>
      </c>
      <c r="C284" s="23" t="str">
        <f>IFERROR(INDEX(vdata_regressors!$A$1:$L$2000,MATCH($A284,vdata_regressors!$A$2:$A$2000,0)+1,MATCH(C$2,vdata_regressors!$A$1:$R$1,0)),"")</f>
        <v/>
      </c>
      <c r="D284" s="23" t="str">
        <f>IFERROR(INDEX(vdata_regressors!$A$1:$L$2000,MATCH($A284,vdata_regressors!$A$2:$A$2000,0)+1,MATCH(D$2,vdata_regressors!$A$1:$R$1,0)),"")</f>
        <v/>
      </c>
      <c r="E284" s="23" t="str">
        <f>IFERROR(INDEX(vdata_regressors!$A$1:$L$2000,MATCH($A284,vdata_regressors!$A$2:$A$2000,0)+1,MATCH(E$2,vdata_regressors!$A$1:$R$1,0)),"")</f>
        <v/>
      </c>
      <c r="F284" s="23" t="str">
        <f>IFERROR(INDEX(vdata_regressors!$A$1:$L$2000,MATCH($A284,vdata_regressors!$A$2:$A$2000,0)+1,MATCH(F$2,vdata_regressors!$A$1:$R$1,0)),"")</f>
        <v/>
      </c>
      <c r="G284" s="23" t="str">
        <f>IFERROR(INDEX(vdata_regressors!$A$1:$L$2000,MATCH($A284,vdata_regressors!$A$2:$A$2000,0)+1,MATCH(G$2,vdata_regressors!$A$1:$R$1,0)),"")</f>
        <v/>
      </c>
      <c r="H284" s="23" t="str">
        <f>IFERROR(INDEX(vdata_regressors!$A$1:$L$2000,MATCH($A284,vdata_regressors!$A$2:$A$2000,0)+1,MATCH(H$2,vdata_regressors!$A$1:$R$1,0)),"")</f>
        <v/>
      </c>
      <c r="I284" s="23" t="str">
        <f>IFERROR(INDEX(vdata_regressors!$A$1:$L$2000,MATCH($A284,vdata_regressors!$A$2:$A$2000,0)+1,MATCH(I$2,vdata_regressors!$A$1:$R$1,0)),"")</f>
        <v/>
      </c>
      <c r="J284" s="23" t="str">
        <f>IFERROR(INDEX(vdata_regressors!$A$1:$L$2000,MATCH($A284,vdata_regressors!$A$2:$A$2000,0)+1,MATCH(J$2,vdata_regressors!$A$1:$R$1,0)),"")</f>
        <v/>
      </c>
      <c r="K284" s="23" t="str">
        <f>IFERROR(INDEX(vdata_regressors!$A$1:$L$2000,MATCH($A284,vdata_regressors!$A$2:$A$2000,0)+1,MATCH(K$2,vdata_regressors!$A$1:$R$1,0)),"")</f>
        <v/>
      </c>
      <c r="L284" s="23" t="str">
        <f>IFERROR(INDEX(vdata_regressors!$A$1:$L$2000,MATCH($A284,vdata_regressors!$A$2:$A$2000,0)+1,MATCH(L$2,vdata_regressors!$A$1:$R$1,0)),"")</f>
        <v/>
      </c>
      <c r="M284" s="23" t="str">
        <f>IFERROR(VLOOKUP(A284,vdata_hours!$A$2:$B$1000,2,FALSE),"")</f>
        <v/>
      </c>
    </row>
    <row r="285" spans="1:13" x14ac:dyDescent="0.25">
      <c r="A285" s="23" t="str">
        <f>IF(vdata_hours!A284=0,"",vdata_hours!A284)</f>
        <v/>
      </c>
      <c r="B285" s="23" t="str">
        <f>IFERROR(INDEX(vdata_regressors!$A$1:$L$2000,MATCH($A285,vdata_regressors!$A$2:$A$2000,0)+1,MATCH(B$2,vdata_regressors!$A$1:$R$1,0)),"")</f>
        <v/>
      </c>
      <c r="C285" s="23" t="str">
        <f>IFERROR(INDEX(vdata_regressors!$A$1:$L$2000,MATCH($A285,vdata_regressors!$A$2:$A$2000,0)+1,MATCH(C$2,vdata_regressors!$A$1:$R$1,0)),"")</f>
        <v/>
      </c>
      <c r="D285" s="23" t="str">
        <f>IFERROR(INDEX(vdata_regressors!$A$1:$L$2000,MATCH($A285,vdata_regressors!$A$2:$A$2000,0)+1,MATCH(D$2,vdata_regressors!$A$1:$R$1,0)),"")</f>
        <v/>
      </c>
      <c r="E285" s="23" t="str">
        <f>IFERROR(INDEX(vdata_regressors!$A$1:$L$2000,MATCH($A285,vdata_regressors!$A$2:$A$2000,0)+1,MATCH(E$2,vdata_regressors!$A$1:$R$1,0)),"")</f>
        <v/>
      </c>
      <c r="F285" s="23" t="str">
        <f>IFERROR(INDEX(vdata_regressors!$A$1:$L$2000,MATCH($A285,vdata_regressors!$A$2:$A$2000,0)+1,MATCH(F$2,vdata_regressors!$A$1:$R$1,0)),"")</f>
        <v/>
      </c>
      <c r="G285" s="23" t="str">
        <f>IFERROR(INDEX(vdata_regressors!$A$1:$L$2000,MATCH($A285,vdata_regressors!$A$2:$A$2000,0)+1,MATCH(G$2,vdata_regressors!$A$1:$R$1,0)),"")</f>
        <v/>
      </c>
      <c r="H285" s="23" t="str">
        <f>IFERROR(INDEX(vdata_regressors!$A$1:$L$2000,MATCH($A285,vdata_regressors!$A$2:$A$2000,0)+1,MATCH(H$2,vdata_regressors!$A$1:$R$1,0)),"")</f>
        <v/>
      </c>
      <c r="I285" s="23" t="str">
        <f>IFERROR(INDEX(vdata_regressors!$A$1:$L$2000,MATCH($A285,vdata_regressors!$A$2:$A$2000,0)+1,MATCH(I$2,vdata_regressors!$A$1:$R$1,0)),"")</f>
        <v/>
      </c>
      <c r="J285" s="23" t="str">
        <f>IFERROR(INDEX(vdata_regressors!$A$1:$L$2000,MATCH($A285,vdata_regressors!$A$2:$A$2000,0)+1,MATCH(J$2,vdata_regressors!$A$1:$R$1,0)),"")</f>
        <v/>
      </c>
      <c r="K285" s="23" t="str">
        <f>IFERROR(INDEX(vdata_regressors!$A$1:$L$2000,MATCH($A285,vdata_regressors!$A$2:$A$2000,0)+1,MATCH(K$2,vdata_regressors!$A$1:$R$1,0)),"")</f>
        <v/>
      </c>
      <c r="L285" s="23" t="str">
        <f>IFERROR(INDEX(vdata_regressors!$A$1:$L$2000,MATCH($A285,vdata_regressors!$A$2:$A$2000,0)+1,MATCH(L$2,vdata_regressors!$A$1:$R$1,0)),"")</f>
        <v/>
      </c>
      <c r="M285" s="23" t="str">
        <f>IFERROR(VLOOKUP(A285,vdata_hours!$A$2:$B$1000,2,FALSE),"")</f>
        <v/>
      </c>
    </row>
    <row r="286" spans="1:13" x14ac:dyDescent="0.25">
      <c r="A286" s="23" t="str">
        <f>IF(vdata_hours!A285=0,"",vdata_hours!A285)</f>
        <v/>
      </c>
      <c r="B286" s="23" t="str">
        <f>IFERROR(INDEX(vdata_regressors!$A$1:$L$2000,MATCH($A286,vdata_regressors!$A$2:$A$2000,0)+1,MATCH(B$2,vdata_regressors!$A$1:$R$1,0)),"")</f>
        <v/>
      </c>
      <c r="C286" s="23" t="str">
        <f>IFERROR(INDEX(vdata_regressors!$A$1:$L$2000,MATCH($A286,vdata_regressors!$A$2:$A$2000,0)+1,MATCH(C$2,vdata_regressors!$A$1:$R$1,0)),"")</f>
        <v/>
      </c>
      <c r="D286" s="23" t="str">
        <f>IFERROR(INDEX(vdata_regressors!$A$1:$L$2000,MATCH($A286,vdata_regressors!$A$2:$A$2000,0)+1,MATCH(D$2,vdata_regressors!$A$1:$R$1,0)),"")</f>
        <v/>
      </c>
      <c r="E286" s="23" t="str">
        <f>IFERROR(INDEX(vdata_regressors!$A$1:$L$2000,MATCH($A286,vdata_regressors!$A$2:$A$2000,0)+1,MATCH(E$2,vdata_regressors!$A$1:$R$1,0)),"")</f>
        <v/>
      </c>
      <c r="F286" s="23" t="str">
        <f>IFERROR(INDEX(vdata_regressors!$A$1:$L$2000,MATCH($A286,vdata_regressors!$A$2:$A$2000,0)+1,MATCH(F$2,vdata_regressors!$A$1:$R$1,0)),"")</f>
        <v/>
      </c>
      <c r="G286" s="23" t="str">
        <f>IFERROR(INDEX(vdata_regressors!$A$1:$L$2000,MATCH($A286,vdata_regressors!$A$2:$A$2000,0)+1,MATCH(G$2,vdata_regressors!$A$1:$R$1,0)),"")</f>
        <v/>
      </c>
      <c r="H286" s="23" t="str">
        <f>IFERROR(INDEX(vdata_regressors!$A$1:$L$2000,MATCH($A286,vdata_regressors!$A$2:$A$2000,0)+1,MATCH(H$2,vdata_regressors!$A$1:$R$1,0)),"")</f>
        <v/>
      </c>
      <c r="I286" s="23" t="str">
        <f>IFERROR(INDEX(vdata_regressors!$A$1:$L$2000,MATCH($A286,vdata_regressors!$A$2:$A$2000,0)+1,MATCH(I$2,vdata_regressors!$A$1:$R$1,0)),"")</f>
        <v/>
      </c>
      <c r="J286" s="23" t="str">
        <f>IFERROR(INDEX(vdata_regressors!$A$1:$L$2000,MATCH($A286,vdata_regressors!$A$2:$A$2000,0)+1,MATCH(J$2,vdata_regressors!$A$1:$R$1,0)),"")</f>
        <v/>
      </c>
      <c r="K286" s="23" t="str">
        <f>IFERROR(INDEX(vdata_regressors!$A$1:$L$2000,MATCH($A286,vdata_regressors!$A$2:$A$2000,0)+1,MATCH(K$2,vdata_regressors!$A$1:$R$1,0)),"")</f>
        <v/>
      </c>
      <c r="L286" s="23" t="str">
        <f>IFERROR(INDEX(vdata_regressors!$A$1:$L$2000,MATCH($A286,vdata_regressors!$A$2:$A$2000,0)+1,MATCH(L$2,vdata_regressors!$A$1:$R$1,0)),"")</f>
        <v/>
      </c>
      <c r="M286" s="23" t="str">
        <f>IFERROR(VLOOKUP(A286,vdata_hours!$A$2:$B$1000,2,FALSE),"")</f>
        <v/>
      </c>
    </row>
    <row r="287" spans="1:13" x14ac:dyDescent="0.25">
      <c r="A287" s="23" t="str">
        <f>IF(vdata_hours!A286=0,"",vdata_hours!A286)</f>
        <v/>
      </c>
      <c r="B287" s="23" t="str">
        <f>IFERROR(INDEX(vdata_regressors!$A$1:$L$2000,MATCH($A287,vdata_regressors!$A$2:$A$2000,0)+1,MATCH(B$2,vdata_regressors!$A$1:$R$1,0)),"")</f>
        <v/>
      </c>
      <c r="C287" s="23" t="str">
        <f>IFERROR(INDEX(vdata_regressors!$A$1:$L$2000,MATCH($A287,vdata_regressors!$A$2:$A$2000,0)+1,MATCH(C$2,vdata_regressors!$A$1:$R$1,0)),"")</f>
        <v/>
      </c>
      <c r="D287" s="23" t="str">
        <f>IFERROR(INDEX(vdata_regressors!$A$1:$L$2000,MATCH($A287,vdata_regressors!$A$2:$A$2000,0)+1,MATCH(D$2,vdata_regressors!$A$1:$R$1,0)),"")</f>
        <v/>
      </c>
      <c r="E287" s="23" t="str">
        <f>IFERROR(INDEX(vdata_regressors!$A$1:$L$2000,MATCH($A287,vdata_regressors!$A$2:$A$2000,0)+1,MATCH(E$2,vdata_regressors!$A$1:$R$1,0)),"")</f>
        <v/>
      </c>
      <c r="F287" s="23" t="str">
        <f>IFERROR(INDEX(vdata_regressors!$A$1:$L$2000,MATCH($A287,vdata_regressors!$A$2:$A$2000,0)+1,MATCH(F$2,vdata_regressors!$A$1:$R$1,0)),"")</f>
        <v/>
      </c>
      <c r="G287" s="23" t="str">
        <f>IFERROR(INDEX(vdata_regressors!$A$1:$L$2000,MATCH($A287,vdata_regressors!$A$2:$A$2000,0)+1,MATCH(G$2,vdata_regressors!$A$1:$R$1,0)),"")</f>
        <v/>
      </c>
      <c r="H287" s="23" t="str">
        <f>IFERROR(INDEX(vdata_regressors!$A$1:$L$2000,MATCH($A287,vdata_regressors!$A$2:$A$2000,0)+1,MATCH(H$2,vdata_regressors!$A$1:$R$1,0)),"")</f>
        <v/>
      </c>
      <c r="I287" s="23" t="str">
        <f>IFERROR(INDEX(vdata_regressors!$A$1:$L$2000,MATCH($A287,vdata_regressors!$A$2:$A$2000,0)+1,MATCH(I$2,vdata_regressors!$A$1:$R$1,0)),"")</f>
        <v/>
      </c>
      <c r="J287" s="23" t="str">
        <f>IFERROR(INDEX(vdata_regressors!$A$1:$L$2000,MATCH($A287,vdata_regressors!$A$2:$A$2000,0)+1,MATCH(J$2,vdata_regressors!$A$1:$R$1,0)),"")</f>
        <v/>
      </c>
      <c r="K287" s="23" t="str">
        <f>IFERROR(INDEX(vdata_regressors!$A$1:$L$2000,MATCH($A287,vdata_regressors!$A$2:$A$2000,0)+1,MATCH(K$2,vdata_regressors!$A$1:$R$1,0)),"")</f>
        <v/>
      </c>
      <c r="L287" s="23" t="str">
        <f>IFERROR(INDEX(vdata_regressors!$A$1:$L$2000,MATCH($A287,vdata_regressors!$A$2:$A$2000,0)+1,MATCH(L$2,vdata_regressors!$A$1:$R$1,0)),"")</f>
        <v/>
      </c>
      <c r="M287" s="23" t="str">
        <f>IFERROR(VLOOKUP(A287,vdata_hours!$A$2:$B$1000,2,FALSE),"")</f>
        <v/>
      </c>
    </row>
    <row r="288" spans="1:13" x14ac:dyDescent="0.25">
      <c r="A288" s="23" t="str">
        <f>IF(vdata_hours!A287=0,"",vdata_hours!A287)</f>
        <v/>
      </c>
      <c r="B288" s="23" t="str">
        <f>IFERROR(INDEX(vdata_regressors!$A$1:$L$2000,MATCH($A288,vdata_regressors!$A$2:$A$2000,0)+1,MATCH(B$2,vdata_regressors!$A$1:$R$1,0)),"")</f>
        <v/>
      </c>
      <c r="C288" s="23" t="str">
        <f>IFERROR(INDEX(vdata_regressors!$A$1:$L$2000,MATCH($A288,vdata_regressors!$A$2:$A$2000,0)+1,MATCH(C$2,vdata_regressors!$A$1:$R$1,0)),"")</f>
        <v/>
      </c>
      <c r="D288" s="23" t="str">
        <f>IFERROR(INDEX(vdata_regressors!$A$1:$L$2000,MATCH($A288,vdata_regressors!$A$2:$A$2000,0)+1,MATCH(D$2,vdata_regressors!$A$1:$R$1,0)),"")</f>
        <v/>
      </c>
      <c r="E288" s="23" t="str">
        <f>IFERROR(INDEX(vdata_regressors!$A$1:$L$2000,MATCH($A288,vdata_regressors!$A$2:$A$2000,0)+1,MATCH(E$2,vdata_regressors!$A$1:$R$1,0)),"")</f>
        <v/>
      </c>
      <c r="F288" s="23" t="str">
        <f>IFERROR(INDEX(vdata_regressors!$A$1:$L$2000,MATCH($A288,vdata_regressors!$A$2:$A$2000,0)+1,MATCH(F$2,vdata_regressors!$A$1:$R$1,0)),"")</f>
        <v/>
      </c>
      <c r="G288" s="23" t="str">
        <f>IFERROR(INDEX(vdata_regressors!$A$1:$L$2000,MATCH($A288,vdata_regressors!$A$2:$A$2000,0)+1,MATCH(G$2,vdata_regressors!$A$1:$R$1,0)),"")</f>
        <v/>
      </c>
      <c r="H288" s="23" t="str">
        <f>IFERROR(INDEX(vdata_regressors!$A$1:$L$2000,MATCH($A288,vdata_regressors!$A$2:$A$2000,0)+1,MATCH(H$2,vdata_regressors!$A$1:$R$1,0)),"")</f>
        <v/>
      </c>
      <c r="I288" s="23" t="str">
        <f>IFERROR(INDEX(vdata_regressors!$A$1:$L$2000,MATCH($A288,vdata_regressors!$A$2:$A$2000,0)+1,MATCH(I$2,vdata_regressors!$A$1:$R$1,0)),"")</f>
        <v/>
      </c>
      <c r="J288" s="23" t="str">
        <f>IFERROR(INDEX(vdata_regressors!$A$1:$L$2000,MATCH($A288,vdata_regressors!$A$2:$A$2000,0)+1,MATCH(J$2,vdata_regressors!$A$1:$R$1,0)),"")</f>
        <v/>
      </c>
      <c r="K288" s="23" t="str">
        <f>IFERROR(INDEX(vdata_regressors!$A$1:$L$2000,MATCH($A288,vdata_regressors!$A$2:$A$2000,0)+1,MATCH(K$2,vdata_regressors!$A$1:$R$1,0)),"")</f>
        <v/>
      </c>
      <c r="L288" s="23" t="str">
        <f>IFERROR(INDEX(vdata_regressors!$A$1:$L$2000,MATCH($A288,vdata_regressors!$A$2:$A$2000,0)+1,MATCH(L$2,vdata_regressors!$A$1:$R$1,0)),"")</f>
        <v/>
      </c>
      <c r="M288" s="23" t="str">
        <f>IFERROR(VLOOKUP(A288,vdata_hours!$A$2:$B$1000,2,FALSE),"")</f>
        <v/>
      </c>
    </row>
    <row r="289" spans="1:13" x14ac:dyDescent="0.25">
      <c r="A289" s="23" t="str">
        <f>IF(vdata_hours!A288=0,"",vdata_hours!A288)</f>
        <v/>
      </c>
      <c r="B289" s="23" t="str">
        <f>IFERROR(INDEX(vdata_regressors!$A$1:$L$2000,MATCH($A289,vdata_regressors!$A$2:$A$2000,0)+1,MATCH(B$2,vdata_regressors!$A$1:$R$1,0)),"")</f>
        <v/>
      </c>
      <c r="C289" s="23" t="str">
        <f>IFERROR(INDEX(vdata_regressors!$A$1:$L$2000,MATCH($A289,vdata_regressors!$A$2:$A$2000,0)+1,MATCH(C$2,vdata_regressors!$A$1:$R$1,0)),"")</f>
        <v/>
      </c>
      <c r="D289" s="23" t="str">
        <f>IFERROR(INDEX(vdata_regressors!$A$1:$L$2000,MATCH($A289,vdata_regressors!$A$2:$A$2000,0)+1,MATCH(D$2,vdata_regressors!$A$1:$R$1,0)),"")</f>
        <v/>
      </c>
      <c r="E289" s="23" t="str">
        <f>IFERROR(INDEX(vdata_regressors!$A$1:$L$2000,MATCH($A289,vdata_regressors!$A$2:$A$2000,0)+1,MATCH(E$2,vdata_regressors!$A$1:$R$1,0)),"")</f>
        <v/>
      </c>
      <c r="F289" s="23" t="str">
        <f>IFERROR(INDEX(vdata_regressors!$A$1:$L$2000,MATCH($A289,vdata_regressors!$A$2:$A$2000,0)+1,MATCH(F$2,vdata_regressors!$A$1:$R$1,0)),"")</f>
        <v/>
      </c>
      <c r="G289" s="23" t="str">
        <f>IFERROR(INDEX(vdata_regressors!$A$1:$L$2000,MATCH($A289,vdata_regressors!$A$2:$A$2000,0)+1,MATCH(G$2,vdata_regressors!$A$1:$R$1,0)),"")</f>
        <v/>
      </c>
      <c r="H289" s="23" t="str">
        <f>IFERROR(INDEX(vdata_regressors!$A$1:$L$2000,MATCH($A289,vdata_regressors!$A$2:$A$2000,0)+1,MATCH(H$2,vdata_regressors!$A$1:$R$1,0)),"")</f>
        <v/>
      </c>
      <c r="I289" s="23" t="str">
        <f>IFERROR(INDEX(vdata_regressors!$A$1:$L$2000,MATCH($A289,vdata_regressors!$A$2:$A$2000,0)+1,MATCH(I$2,vdata_regressors!$A$1:$R$1,0)),"")</f>
        <v/>
      </c>
      <c r="J289" s="23" t="str">
        <f>IFERROR(INDEX(vdata_regressors!$A$1:$L$2000,MATCH($A289,vdata_regressors!$A$2:$A$2000,0)+1,MATCH(J$2,vdata_regressors!$A$1:$R$1,0)),"")</f>
        <v/>
      </c>
      <c r="K289" s="23" t="str">
        <f>IFERROR(INDEX(vdata_regressors!$A$1:$L$2000,MATCH($A289,vdata_regressors!$A$2:$A$2000,0)+1,MATCH(K$2,vdata_regressors!$A$1:$R$1,0)),"")</f>
        <v/>
      </c>
      <c r="L289" s="23" t="str">
        <f>IFERROR(INDEX(vdata_regressors!$A$1:$L$2000,MATCH($A289,vdata_regressors!$A$2:$A$2000,0)+1,MATCH(L$2,vdata_regressors!$A$1:$R$1,0)),"")</f>
        <v/>
      </c>
      <c r="M289" s="23" t="str">
        <f>IFERROR(VLOOKUP(A289,vdata_hours!$A$2:$B$1000,2,FALSE),"")</f>
        <v/>
      </c>
    </row>
    <row r="290" spans="1:13" x14ac:dyDescent="0.25">
      <c r="A290" s="23" t="str">
        <f>IF(vdata_hours!A289=0,"",vdata_hours!A289)</f>
        <v/>
      </c>
      <c r="B290" s="23" t="str">
        <f>IFERROR(INDEX(vdata_regressors!$A$1:$L$2000,MATCH($A290,vdata_regressors!$A$2:$A$2000,0)+1,MATCH(B$2,vdata_regressors!$A$1:$R$1,0)),"")</f>
        <v/>
      </c>
      <c r="C290" s="23" t="str">
        <f>IFERROR(INDEX(vdata_regressors!$A$1:$L$2000,MATCH($A290,vdata_regressors!$A$2:$A$2000,0)+1,MATCH(C$2,vdata_regressors!$A$1:$R$1,0)),"")</f>
        <v/>
      </c>
      <c r="D290" s="23" t="str">
        <f>IFERROR(INDEX(vdata_regressors!$A$1:$L$2000,MATCH($A290,vdata_regressors!$A$2:$A$2000,0)+1,MATCH(D$2,vdata_regressors!$A$1:$R$1,0)),"")</f>
        <v/>
      </c>
      <c r="E290" s="23" t="str">
        <f>IFERROR(INDEX(vdata_regressors!$A$1:$L$2000,MATCH($A290,vdata_regressors!$A$2:$A$2000,0)+1,MATCH(E$2,vdata_regressors!$A$1:$R$1,0)),"")</f>
        <v/>
      </c>
      <c r="F290" s="23" t="str">
        <f>IFERROR(INDEX(vdata_regressors!$A$1:$L$2000,MATCH($A290,vdata_regressors!$A$2:$A$2000,0)+1,MATCH(F$2,vdata_regressors!$A$1:$R$1,0)),"")</f>
        <v/>
      </c>
      <c r="G290" s="23" t="str">
        <f>IFERROR(INDEX(vdata_regressors!$A$1:$L$2000,MATCH($A290,vdata_regressors!$A$2:$A$2000,0)+1,MATCH(G$2,vdata_regressors!$A$1:$R$1,0)),"")</f>
        <v/>
      </c>
      <c r="H290" s="23" t="str">
        <f>IFERROR(INDEX(vdata_regressors!$A$1:$L$2000,MATCH($A290,vdata_regressors!$A$2:$A$2000,0)+1,MATCH(H$2,vdata_regressors!$A$1:$R$1,0)),"")</f>
        <v/>
      </c>
      <c r="I290" s="23" t="str">
        <f>IFERROR(INDEX(vdata_regressors!$A$1:$L$2000,MATCH($A290,vdata_regressors!$A$2:$A$2000,0)+1,MATCH(I$2,vdata_regressors!$A$1:$R$1,0)),"")</f>
        <v/>
      </c>
      <c r="J290" s="23" t="str">
        <f>IFERROR(INDEX(vdata_regressors!$A$1:$L$2000,MATCH($A290,vdata_regressors!$A$2:$A$2000,0)+1,MATCH(J$2,vdata_regressors!$A$1:$R$1,0)),"")</f>
        <v/>
      </c>
      <c r="K290" s="23" t="str">
        <f>IFERROR(INDEX(vdata_regressors!$A$1:$L$2000,MATCH($A290,vdata_regressors!$A$2:$A$2000,0)+1,MATCH(K$2,vdata_regressors!$A$1:$R$1,0)),"")</f>
        <v/>
      </c>
      <c r="L290" s="23" t="str">
        <f>IFERROR(INDEX(vdata_regressors!$A$1:$L$2000,MATCH($A290,vdata_regressors!$A$2:$A$2000,0)+1,MATCH(L$2,vdata_regressors!$A$1:$R$1,0)),"")</f>
        <v/>
      </c>
      <c r="M290" s="23" t="str">
        <f>IFERROR(VLOOKUP(A290,vdata_hours!$A$2:$B$1000,2,FALSE),"")</f>
        <v/>
      </c>
    </row>
    <row r="291" spans="1:13" x14ac:dyDescent="0.25">
      <c r="A291" s="23" t="str">
        <f>IF(vdata_hours!A290=0,"",vdata_hours!A290)</f>
        <v/>
      </c>
      <c r="B291" s="23" t="str">
        <f>IFERROR(INDEX(vdata_regressors!$A$1:$L$2000,MATCH($A291,vdata_regressors!$A$2:$A$2000,0)+1,MATCH(B$2,vdata_regressors!$A$1:$R$1,0)),"")</f>
        <v/>
      </c>
      <c r="C291" s="23" t="str">
        <f>IFERROR(INDEX(vdata_regressors!$A$1:$L$2000,MATCH($A291,vdata_regressors!$A$2:$A$2000,0)+1,MATCH(C$2,vdata_regressors!$A$1:$R$1,0)),"")</f>
        <v/>
      </c>
      <c r="D291" s="23" t="str">
        <f>IFERROR(INDEX(vdata_regressors!$A$1:$L$2000,MATCH($A291,vdata_regressors!$A$2:$A$2000,0)+1,MATCH(D$2,vdata_regressors!$A$1:$R$1,0)),"")</f>
        <v/>
      </c>
      <c r="E291" s="23" t="str">
        <f>IFERROR(INDEX(vdata_regressors!$A$1:$L$2000,MATCH($A291,vdata_regressors!$A$2:$A$2000,0)+1,MATCH(E$2,vdata_regressors!$A$1:$R$1,0)),"")</f>
        <v/>
      </c>
      <c r="F291" s="23" t="str">
        <f>IFERROR(INDEX(vdata_regressors!$A$1:$L$2000,MATCH($A291,vdata_regressors!$A$2:$A$2000,0)+1,MATCH(F$2,vdata_regressors!$A$1:$R$1,0)),"")</f>
        <v/>
      </c>
      <c r="G291" s="23" t="str">
        <f>IFERROR(INDEX(vdata_regressors!$A$1:$L$2000,MATCH($A291,vdata_regressors!$A$2:$A$2000,0)+1,MATCH(G$2,vdata_regressors!$A$1:$R$1,0)),"")</f>
        <v/>
      </c>
      <c r="H291" s="23" t="str">
        <f>IFERROR(INDEX(vdata_regressors!$A$1:$L$2000,MATCH($A291,vdata_regressors!$A$2:$A$2000,0)+1,MATCH(H$2,vdata_regressors!$A$1:$R$1,0)),"")</f>
        <v/>
      </c>
      <c r="I291" s="23" t="str">
        <f>IFERROR(INDEX(vdata_regressors!$A$1:$L$2000,MATCH($A291,vdata_regressors!$A$2:$A$2000,0)+1,MATCH(I$2,vdata_regressors!$A$1:$R$1,0)),"")</f>
        <v/>
      </c>
      <c r="J291" s="23" t="str">
        <f>IFERROR(INDEX(vdata_regressors!$A$1:$L$2000,MATCH($A291,vdata_regressors!$A$2:$A$2000,0)+1,MATCH(J$2,vdata_regressors!$A$1:$R$1,0)),"")</f>
        <v/>
      </c>
      <c r="K291" s="23" t="str">
        <f>IFERROR(INDEX(vdata_regressors!$A$1:$L$2000,MATCH($A291,vdata_regressors!$A$2:$A$2000,0)+1,MATCH(K$2,vdata_regressors!$A$1:$R$1,0)),"")</f>
        <v/>
      </c>
      <c r="L291" s="23" t="str">
        <f>IFERROR(INDEX(vdata_regressors!$A$1:$L$2000,MATCH($A291,vdata_regressors!$A$2:$A$2000,0)+1,MATCH(L$2,vdata_regressors!$A$1:$R$1,0)),"")</f>
        <v/>
      </c>
      <c r="M291" s="23" t="str">
        <f>IFERROR(VLOOKUP(A291,vdata_hours!$A$2:$B$1000,2,FALSE),"")</f>
        <v/>
      </c>
    </row>
    <row r="292" spans="1:13" x14ac:dyDescent="0.25">
      <c r="A292" s="23" t="str">
        <f>IF(vdata_hours!A291=0,"",vdata_hours!A291)</f>
        <v/>
      </c>
      <c r="B292" s="23" t="str">
        <f>IFERROR(INDEX(vdata_regressors!$A$1:$L$2000,MATCH($A292,vdata_regressors!$A$2:$A$2000,0)+1,MATCH(B$2,vdata_regressors!$A$1:$R$1,0)),"")</f>
        <v/>
      </c>
      <c r="C292" s="23" t="str">
        <f>IFERROR(INDEX(vdata_regressors!$A$1:$L$2000,MATCH($A292,vdata_regressors!$A$2:$A$2000,0)+1,MATCH(C$2,vdata_regressors!$A$1:$R$1,0)),"")</f>
        <v/>
      </c>
      <c r="D292" s="23" t="str">
        <f>IFERROR(INDEX(vdata_regressors!$A$1:$L$2000,MATCH($A292,vdata_regressors!$A$2:$A$2000,0)+1,MATCH(D$2,vdata_regressors!$A$1:$R$1,0)),"")</f>
        <v/>
      </c>
      <c r="E292" s="23" t="str">
        <f>IFERROR(INDEX(vdata_regressors!$A$1:$L$2000,MATCH($A292,vdata_regressors!$A$2:$A$2000,0)+1,MATCH(E$2,vdata_regressors!$A$1:$R$1,0)),"")</f>
        <v/>
      </c>
      <c r="F292" s="23" t="str">
        <f>IFERROR(INDEX(vdata_regressors!$A$1:$L$2000,MATCH($A292,vdata_regressors!$A$2:$A$2000,0)+1,MATCH(F$2,vdata_regressors!$A$1:$R$1,0)),"")</f>
        <v/>
      </c>
      <c r="G292" s="23" t="str">
        <f>IFERROR(INDEX(vdata_regressors!$A$1:$L$2000,MATCH($A292,vdata_regressors!$A$2:$A$2000,0)+1,MATCH(G$2,vdata_regressors!$A$1:$R$1,0)),"")</f>
        <v/>
      </c>
      <c r="H292" s="23" t="str">
        <f>IFERROR(INDEX(vdata_regressors!$A$1:$L$2000,MATCH($A292,vdata_regressors!$A$2:$A$2000,0)+1,MATCH(H$2,vdata_regressors!$A$1:$R$1,0)),"")</f>
        <v/>
      </c>
      <c r="I292" s="23" t="str">
        <f>IFERROR(INDEX(vdata_regressors!$A$1:$L$2000,MATCH($A292,vdata_regressors!$A$2:$A$2000,0)+1,MATCH(I$2,vdata_regressors!$A$1:$R$1,0)),"")</f>
        <v/>
      </c>
      <c r="J292" s="23" t="str">
        <f>IFERROR(INDEX(vdata_regressors!$A$1:$L$2000,MATCH($A292,vdata_regressors!$A$2:$A$2000,0)+1,MATCH(J$2,vdata_regressors!$A$1:$R$1,0)),"")</f>
        <v/>
      </c>
      <c r="K292" s="23" t="str">
        <f>IFERROR(INDEX(vdata_regressors!$A$1:$L$2000,MATCH($A292,vdata_regressors!$A$2:$A$2000,0)+1,MATCH(K$2,vdata_regressors!$A$1:$R$1,0)),"")</f>
        <v/>
      </c>
      <c r="L292" s="23" t="str">
        <f>IFERROR(INDEX(vdata_regressors!$A$1:$L$2000,MATCH($A292,vdata_regressors!$A$2:$A$2000,0)+1,MATCH(L$2,vdata_regressors!$A$1:$R$1,0)),"")</f>
        <v/>
      </c>
      <c r="M292" s="23" t="str">
        <f>IFERROR(VLOOKUP(A292,vdata_hours!$A$2:$B$1000,2,FALSE),"")</f>
        <v/>
      </c>
    </row>
    <row r="293" spans="1:13" x14ac:dyDescent="0.25">
      <c r="A293" s="23" t="str">
        <f>IF(vdata_hours!A292=0,"",vdata_hours!A292)</f>
        <v/>
      </c>
      <c r="B293" s="23" t="str">
        <f>IFERROR(INDEX(vdata_regressors!$A$1:$L$2000,MATCH($A293,vdata_regressors!$A$2:$A$2000,0)+1,MATCH(B$2,vdata_regressors!$A$1:$R$1,0)),"")</f>
        <v/>
      </c>
      <c r="C293" s="23" t="str">
        <f>IFERROR(INDEX(vdata_regressors!$A$1:$L$2000,MATCH($A293,vdata_regressors!$A$2:$A$2000,0)+1,MATCH(C$2,vdata_regressors!$A$1:$R$1,0)),"")</f>
        <v/>
      </c>
      <c r="D293" s="23" t="str">
        <f>IFERROR(INDEX(vdata_regressors!$A$1:$L$2000,MATCH($A293,vdata_regressors!$A$2:$A$2000,0)+1,MATCH(D$2,vdata_regressors!$A$1:$R$1,0)),"")</f>
        <v/>
      </c>
      <c r="E293" s="23" t="str">
        <f>IFERROR(INDEX(vdata_regressors!$A$1:$L$2000,MATCH($A293,vdata_regressors!$A$2:$A$2000,0)+1,MATCH(E$2,vdata_regressors!$A$1:$R$1,0)),"")</f>
        <v/>
      </c>
      <c r="F293" s="23" t="str">
        <f>IFERROR(INDEX(vdata_regressors!$A$1:$L$2000,MATCH($A293,vdata_regressors!$A$2:$A$2000,0)+1,MATCH(F$2,vdata_regressors!$A$1:$R$1,0)),"")</f>
        <v/>
      </c>
      <c r="G293" s="23" t="str">
        <f>IFERROR(INDEX(vdata_regressors!$A$1:$L$2000,MATCH($A293,vdata_regressors!$A$2:$A$2000,0)+1,MATCH(G$2,vdata_regressors!$A$1:$R$1,0)),"")</f>
        <v/>
      </c>
      <c r="H293" s="23" t="str">
        <f>IFERROR(INDEX(vdata_regressors!$A$1:$L$2000,MATCH($A293,vdata_regressors!$A$2:$A$2000,0)+1,MATCH(H$2,vdata_regressors!$A$1:$R$1,0)),"")</f>
        <v/>
      </c>
      <c r="I293" s="23" t="str">
        <f>IFERROR(INDEX(vdata_regressors!$A$1:$L$2000,MATCH($A293,vdata_regressors!$A$2:$A$2000,0)+1,MATCH(I$2,vdata_regressors!$A$1:$R$1,0)),"")</f>
        <v/>
      </c>
      <c r="J293" s="23" t="str">
        <f>IFERROR(INDEX(vdata_regressors!$A$1:$L$2000,MATCH($A293,vdata_regressors!$A$2:$A$2000,0)+1,MATCH(J$2,vdata_regressors!$A$1:$R$1,0)),"")</f>
        <v/>
      </c>
      <c r="K293" s="23" t="str">
        <f>IFERROR(INDEX(vdata_regressors!$A$1:$L$2000,MATCH($A293,vdata_regressors!$A$2:$A$2000,0)+1,MATCH(K$2,vdata_regressors!$A$1:$R$1,0)),"")</f>
        <v/>
      </c>
      <c r="L293" s="23" t="str">
        <f>IFERROR(INDEX(vdata_regressors!$A$1:$L$2000,MATCH($A293,vdata_regressors!$A$2:$A$2000,0)+1,MATCH(L$2,vdata_regressors!$A$1:$R$1,0)),"")</f>
        <v/>
      </c>
      <c r="M293" s="23" t="str">
        <f>IFERROR(VLOOKUP(A293,vdata_hours!$A$2:$B$1000,2,FALSE),"")</f>
        <v/>
      </c>
    </row>
    <row r="294" spans="1:13" x14ac:dyDescent="0.25">
      <c r="A294" s="23" t="str">
        <f>IF(vdata_hours!A293=0,"",vdata_hours!A293)</f>
        <v/>
      </c>
      <c r="B294" s="23" t="str">
        <f>IFERROR(INDEX(vdata_regressors!$A$1:$L$2000,MATCH($A294,vdata_regressors!$A$2:$A$2000,0)+1,MATCH(B$2,vdata_regressors!$A$1:$R$1,0)),"")</f>
        <v/>
      </c>
      <c r="C294" s="23" t="str">
        <f>IFERROR(INDEX(vdata_regressors!$A$1:$L$2000,MATCH($A294,vdata_regressors!$A$2:$A$2000,0)+1,MATCH(C$2,vdata_regressors!$A$1:$R$1,0)),"")</f>
        <v/>
      </c>
      <c r="D294" s="23" t="str">
        <f>IFERROR(INDEX(vdata_regressors!$A$1:$L$2000,MATCH($A294,vdata_regressors!$A$2:$A$2000,0)+1,MATCH(D$2,vdata_regressors!$A$1:$R$1,0)),"")</f>
        <v/>
      </c>
      <c r="E294" s="23" t="str">
        <f>IFERROR(INDEX(vdata_regressors!$A$1:$L$2000,MATCH($A294,vdata_regressors!$A$2:$A$2000,0)+1,MATCH(E$2,vdata_regressors!$A$1:$R$1,0)),"")</f>
        <v/>
      </c>
      <c r="F294" s="23" t="str">
        <f>IFERROR(INDEX(vdata_regressors!$A$1:$L$2000,MATCH($A294,vdata_regressors!$A$2:$A$2000,0)+1,MATCH(F$2,vdata_regressors!$A$1:$R$1,0)),"")</f>
        <v/>
      </c>
      <c r="G294" s="23" t="str">
        <f>IFERROR(INDEX(vdata_regressors!$A$1:$L$2000,MATCH($A294,vdata_regressors!$A$2:$A$2000,0)+1,MATCH(G$2,vdata_regressors!$A$1:$R$1,0)),"")</f>
        <v/>
      </c>
      <c r="H294" s="23" t="str">
        <f>IFERROR(INDEX(vdata_regressors!$A$1:$L$2000,MATCH($A294,vdata_regressors!$A$2:$A$2000,0)+1,MATCH(H$2,vdata_regressors!$A$1:$R$1,0)),"")</f>
        <v/>
      </c>
      <c r="I294" s="23" t="str">
        <f>IFERROR(INDEX(vdata_regressors!$A$1:$L$2000,MATCH($A294,vdata_regressors!$A$2:$A$2000,0)+1,MATCH(I$2,vdata_regressors!$A$1:$R$1,0)),"")</f>
        <v/>
      </c>
      <c r="J294" s="23" t="str">
        <f>IFERROR(INDEX(vdata_regressors!$A$1:$L$2000,MATCH($A294,vdata_regressors!$A$2:$A$2000,0)+1,MATCH(J$2,vdata_regressors!$A$1:$R$1,0)),"")</f>
        <v/>
      </c>
      <c r="K294" s="23" t="str">
        <f>IFERROR(INDEX(vdata_regressors!$A$1:$L$2000,MATCH($A294,vdata_regressors!$A$2:$A$2000,0)+1,MATCH(K$2,vdata_regressors!$A$1:$R$1,0)),"")</f>
        <v/>
      </c>
      <c r="L294" s="23" t="str">
        <f>IFERROR(INDEX(vdata_regressors!$A$1:$L$2000,MATCH($A294,vdata_regressors!$A$2:$A$2000,0)+1,MATCH(L$2,vdata_regressors!$A$1:$R$1,0)),"")</f>
        <v/>
      </c>
      <c r="M294" s="23" t="str">
        <f>IFERROR(VLOOKUP(A294,vdata_hours!$A$2:$B$1000,2,FALSE),"")</f>
        <v/>
      </c>
    </row>
    <row r="295" spans="1:13" x14ac:dyDescent="0.25">
      <c r="A295" s="23" t="str">
        <f>IF(vdata_hours!A294=0,"",vdata_hours!A294)</f>
        <v/>
      </c>
      <c r="B295" s="23" t="str">
        <f>IFERROR(INDEX(vdata_regressors!$A$1:$L$2000,MATCH($A295,vdata_regressors!$A$2:$A$2000,0)+1,MATCH(B$2,vdata_regressors!$A$1:$R$1,0)),"")</f>
        <v/>
      </c>
      <c r="C295" s="23" t="str">
        <f>IFERROR(INDEX(vdata_regressors!$A$1:$L$2000,MATCH($A295,vdata_regressors!$A$2:$A$2000,0)+1,MATCH(C$2,vdata_regressors!$A$1:$R$1,0)),"")</f>
        <v/>
      </c>
      <c r="D295" s="23" t="str">
        <f>IFERROR(INDEX(vdata_regressors!$A$1:$L$2000,MATCH($A295,vdata_regressors!$A$2:$A$2000,0)+1,MATCH(D$2,vdata_regressors!$A$1:$R$1,0)),"")</f>
        <v/>
      </c>
      <c r="E295" s="23" t="str">
        <f>IFERROR(INDEX(vdata_regressors!$A$1:$L$2000,MATCH($A295,vdata_regressors!$A$2:$A$2000,0)+1,MATCH(E$2,vdata_regressors!$A$1:$R$1,0)),"")</f>
        <v/>
      </c>
      <c r="F295" s="23" t="str">
        <f>IFERROR(INDEX(vdata_regressors!$A$1:$L$2000,MATCH($A295,vdata_regressors!$A$2:$A$2000,0)+1,MATCH(F$2,vdata_regressors!$A$1:$R$1,0)),"")</f>
        <v/>
      </c>
      <c r="G295" s="23" t="str">
        <f>IFERROR(INDEX(vdata_regressors!$A$1:$L$2000,MATCH($A295,vdata_regressors!$A$2:$A$2000,0)+1,MATCH(G$2,vdata_regressors!$A$1:$R$1,0)),"")</f>
        <v/>
      </c>
      <c r="H295" s="23" t="str">
        <f>IFERROR(INDEX(vdata_regressors!$A$1:$L$2000,MATCH($A295,vdata_regressors!$A$2:$A$2000,0)+1,MATCH(H$2,vdata_regressors!$A$1:$R$1,0)),"")</f>
        <v/>
      </c>
      <c r="I295" s="23" t="str">
        <f>IFERROR(INDEX(vdata_regressors!$A$1:$L$2000,MATCH($A295,vdata_regressors!$A$2:$A$2000,0)+1,MATCH(I$2,vdata_regressors!$A$1:$R$1,0)),"")</f>
        <v/>
      </c>
      <c r="J295" s="23" t="str">
        <f>IFERROR(INDEX(vdata_regressors!$A$1:$L$2000,MATCH($A295,vdata_regressors!$A$2:$A$2000,0)+1,MATCH(J$2,vdata_regressors!$A$1:$R$1,0)),"")</f>
        <v/>
      </c>
      <c r="K295" s="23" t="str">
        <f>IFERROR(INDEX(vdata_regressors!$A$1:$L$2000,MATCH($A295,vdata_regressors!$A$2:$A$2000,0)+1,MATCH(K$2,vdata_regressors!$A$1:$R$1,0)),"")</f>
        <v/>
      </c>
      <c r="L295" s="23" t="str">
        <f>IFERROR(INDEX(vdata_regressors!$A$1:$L$2000,MATCH($A295,vdata_regressors!$A$2:$A$2000,0)+1,MATCH(L$2,vdata_regressors!$A$1:$R$1,0)),"")</f>
        <v/>
      </c>
      <c r="M295" s="23" t="str">
        <f>IFERROR(VLOOKUP(A295,vdata_hours!$A$2:$B$1000,2,FALSE),"")</f>
        <v/>
      </c>
    </row>
    <row r="296" spans="1:13" x14ac:dyDescent="0.25">
      <c r="A296" s="23" t="str">
        <f>IF(vdata_hours!A295=0,"",vdata_hours!A295)</f>
        <v/>
      </c>
      <c r="B296" s="23" t="str">
        <f>IFERROR(INDEX(vdata_regressors!$A$1:$L$2000,MATCH($A296,vdata_regressors!$A$2:$A$2000,0)+1,MATCH(B$2,vdata_regressors!$A$1:$R$1,0)),"")</f>
        <v/>
      </c>
      <c r="C296" s="23" t="str">
        <f>IFERROR(INDEX(vdata_regressors!$A$1:$L$2000,MATCH($A296,vdata_regressors!$A$2:$A$2000,0)+1,MATCH(C$2,vdata_regressors!$A$1:$R$1,0)),"")</f>
        <v/>
      </c>
      <c r="D296" s="23" t="str">
        <f>IFERROR(INDEX(vdata_regressors!$A$1:$L$2000,MATCH($A296,vdata_regressors!$A$2:$A$2000,0)+1,MATCH(D$2,vdata_regressors!$A$1:$R$1,0)),"")</f>
        <v/>
      </c>
      <c r="E296" s="23" t="str">
        <f>IFERROR(INDEX(vdata_regressors!$A$1:$L$2000,MATCH($A296,vdata_regressors!$A$2:$A$2000,0)+1,MATCH(E$2,vdata_regressors!$A$1:$R$1,0)),"")</f>
        <v/>
      </c>
      <c r="F296" s="23" t="str">
        <f>IFERROR(INDEX(vdata_regressors!$A$1:$L$2000,MATCH($A296,vdata_regressors!$A$2:$A$2000,0)+1,MATCH(F$2,vdata_regressors!$A$1:$R$1,0)),"")</f>
        <v/>
      </c>
      <c r="G296" s="23" t="str">
        <f>IFERROR(INDEX(vdata_regressors!$A$1:$L$2000,MATCH($A296,vdata_regressors!$A$2:$A$2000,0)+1,MATCH(G$2,vdata_regressors!$A$1:$R$1,0)),"")</f>
        <v/>
      </c>
      <c r="H296" s="23" t="str">
        <f>IFERROR(INDEX(vdata_regressors!$A$1:$L$2000,MATCH($A296,vdata_regressors!$A$2:$A$2000,0)+1,MATCH(H$2,vdata_regressors!$A$1:$R$1,0)),"")</f>
        <v/>
      </c>
      <c r="I296" s="23" t="str">
        <f>IFERROR(INDEX(vdata_regressors!$A$1:$L$2000,MATCH($A296,vdata_regressors!$A$2:$A$2000,0)+1,MATCH(I$2,vdata_regressors!$A$1:$R$1,0)),"")</f>
        <v/>
      </c>
      <c r="J296" s="23" t="str">
        <f>IFERROR(INDEX(vdata_regressors!$A$1:$L$2000,MATCH($A296,vdata_regressors!$A$2:$A$2000,0)+1,MATCH(J$2,vdata_regressors!$A$1:$R$1,0)),"")</f>
        <v/>
      </c>
      <c r="K296" s="23" t="str">
        <f>IFERROR(INDEX(vdata_regressors!$A$1:$L$2000,MATCH($A296,vdata_regressors!$A$2:$A$2000,0)+1,MATCH(K$2,vdata_regressors!$A$1:$R$1,0)),"")</f>
        <v/>
      </c>
      <c r="L296" s="23" t="str">
        <f>IFERROR(INDEX(vdata_regressors!$A$1:$L$2000,MATCH($A296,vdata_regressors!$A$2:$A$2000,0)+1,MATCH(L$2,vdata_regressors!$A$1:$R$1,0)),"")</f>
        <v/>
      </c>
      <c r="M296" s="23" t="str">
        <f>IFERROR(VLOOKUP(A296,vdata_hours!$A$2:$B$1000,2,FALSE),"")</f>
        <v/>
      </c>
    </row>
    <row r="297" spans="1:13" x14ac:dyDescent="0.25">
      <c r="A297" s="23" t="str">
        <f>IF(vdata_hours!A296=0,"",vdata_hours!A296)</f>
        <v/>
      </c>
      <c r="B297" s="23" t="str">
        <f>IFERROR(INDEX(vdata_regressors!$A$1:$L$2000,MATCH($A297,vdata_regressors!$A$2:$A$2000,0)+1,MATCH(B$2,vdata_regressors!$A$1:$R$1,0)),"")</f>
        <v/>
      </c>
      <c r="C297" s="23" t="str">
        <f>IFERROR(INDEX(vdata_regressors!$A$1:$L$2000,MATCH($A297,vdata_regressors!$A$2:$A$2000,0)+1,MATCH(C$2,vdata_regressors!$A$1:$R$1,0)),"")</f>
        <v/>
      </c>
      <c r="D297" s="23" t="str">
        <f>IFERROR(INDEX(vdata_regressors!$A$1:$L$2000,MATCH($A297,vdata_regressors!$A$2:$A$2000,0)+1,MATCH(D$2,vdata_regressors!$A$1:$R$1,0)),"")</f>
        <v/>
      </c>
      <c r="E297" s="23" t="str">
        <f>IFERROR(INDEX(vdata_regressors!$A$1:$L$2000,MATCH($A297,vdata_regressors!$A$2:$A$2000,0)+1,MATCH(E$2,vdata_regressors!$A$1:$R$1,0)),"")</f>
        <v/>
      </c>
      <c r="F297" s="23" t="str">
        <f>IFERROR(INDEX(vdata_regressors!$A$1:$L$2000,MATCH($A297,vdata_regressors!$A$2:$A$2000,0)+1,MATCH(F$2,vdata_regressors!$A$1:$R$1,0)),"")</f>
        <v/>
      </c>
      <c r="G297" s="23" t="str">
        <f>IFERROR(INDEX(vdata_regressors!$A$1:$L$2000,MATCH($A297,vdata_regressors!$A$2:$A$2000,0)+1,MATCH(G$2,vdata_regressors!$A$1:$R$1,0)),"")</f>
        <v/>
      </c>
      <c r="H297" s="23" t="str">
        <f>IFERROR(INDEX(vdata_regressors!$A$1:$L$2000,MATCH($A297,vdata_regressors!$A$2:$A$2000,0)+1,MATCH(H$2,vdata_regressors!$A$1:$R$1,0)),"")</f>
        <v/>
      </c>
      <c r="I297" s="23" t="str">
        <f>IFERROR(INDEX(vdata_regressors!$A$1:$L$2000,MATCH($A297,vdata_regressors!$A$2:$A$2000,0)+1,MATCH(I$2,vdata_regressors!$A$1:$R$1,0)),"")</f>
        <v/>
      </c>
      <c r="J297" s="23" t="str">
        <f>IFERROR(INDEX(vdata_regressors!$A$1:$L$2000,MATCH($A297,vdata_regressors!$A$2:$A$2000,0)+1,MATCH(J$2,vdata_regressors!$A$1:$R$1,0)),"")</f>
        <v/>
      </c>
      <c r="K297" s="23" t="str">
        <f>IFERROR(INDEX(vdata_regressors!$A$1:$L$2000,MATCH($A297,vdata_regressors!$A$2:$A$2000,0)+1,MATCH(K$2,vdata_regressors!$A$1:$R$1,0)),"")</f>
        <v/>
      </c>
      <c r="L297" s="23" t="str">
        <f>IFERROR(INDEX(vdata_regressors!$A$1:$L$2000,MATCH($A297,vdata_regressors!$A$2:$A$2000,0)+1,MATCH(L$2,vdata_regressors!$A$1:$R$1,0)),"")</f>
        <v/>
      </c>
      <c r="M297" s="23" t="str">
        <f>IFERROR(VLOOKUP(A297,vdata_hours!$A$2:$B$1000,2,FALSE),"")</f>
        <v/>
      </c>
    </row>
    <row r="298" spans="1:13" x14ac:dyDescent="0.25">
      <c r="A298" s="23" t="str">
        <f>IF(vdata_hours!A297=0,"",vdata_hours!A297)</f>
        <v/>
      </c>
      <c r="B298" s="23" t="str">
        <f>IFERROR(INDEX(vdata_regressors!$A$1:$L$2000,MATCH($A298,vdata_regressors!$A$2:$A$2000,0)+1,MATCH(B$2,vdata_regressors!$A$1:$R$1,0)),"")</f>
        <v/>
      </c>
      <c r="C298" s="23" t="str">
        <f>IFERROR(INDEX(vdata_regressors!$A$1:$L$2000,MATCH($A298,vdata_regressors!$A$2:$A$2000,0)+1,MATCH(C$2,vdata_regressors!$A$1:$R$1,0)),"")</f>
        <v/>
      </c>
      <c r="D298" s="23" t="str">
        <f>IFERROR(INDEX(vdata_regressors!$A$1:$L$2000,MATCH($A298,vdata_regressors!$A$2:$A$2000,0)+1,MATCH(D$2,vdata_regressors!$A$1:$R$1,0)),"")</f>
        <v/>
      </c>
      <c r="E298" s="23" t="str">
        <f>IFERROR(INDEX(vdata_regressors!$A$1:$L$2000,MATCH($A298,vdata_regressors!$A$2:$A$2000,0)+1,MATCH(E$2,vdata_regressors!$A$1:$R$1,0)),"")</f>
        <v/>
      </c>
      <c r="F298" s="23" t="str">
        <f>IFERROR(INDEX(vdata_regressors!$A$1:$L$2000,MATCH($A298,vdata_regressors!$A$2:$A$2000,0)+1,MATCH(F$2,vdata_regressors!$A$1:$R$1,0)),"")</f>
        <v/>
      </c>
      <c r="G298" s="23" t="str">
        <f>IFERROR(INDEX(vdata_regressors!$A$1:$L$2000,MATCH($A298,vdata_regressors!$A$2:$A$2000,0)+1,MATCH(G$2,vdata_regressors!$A$1:$R$1,0)),"")</f>
        <v/>
      </c>
      <c r="H298" s="23" t="str">
        <f>IFERROR(INDEX(vdata_regressors!$A$1:$L$2000,MATCH($A298,vdata_regressors!$A$2:$A$2000,0)+1,MATCH(H$2,vdata_regressors!$A$1:$R$1,0)),"")</f>
        <v/>
      </c>
      <c r="I298" s="23" t="str">
        <f>IFERROR(INDEX(vdata_regressors!$A$1:$L$2000,MATCH($A298,vdata_regressors!$A$2:$A$2000,0)+1,MATCH(I$2,vdata_regressors!$A$1:$R$1,0)),"")</f>
        <v/>
      </c>
      <c r="J298" s="23" t="str">
        <f>IFERROR(INDEX(vdata_regressors!$A$1:$L$2000,MATCH($A298,vdata_regressors!$A$2:$A$2000,0)+1,MATCH(J$2,vdata_regressors!$A$1:$R$1,0)),"")</f>
        <v/>
      </c>
      <c r="K298" s="23" t="str">
        <f>IFERROR(INDEX(vdata_regressors!$A$1:$L$2000,MATCH($A298,vdata_regressors!$A$2:$A$2000,0)+1,MATCH(K$2,vdata_regressors!$A$1:$R$1,0)),"")</f>
        <v/>
      </c>
      <c r="L298" s="23" t="str">
        <f>IFERROR(INDEX(vdata_regressors!$A$1:$L$2000,MATCH($A298,vdata_regressors!$A$2:$A$2000,0)+1,MATCH(L$2,vdata_regressors!$A$1:$R$1,0)),"")</f>
        <v/>
      </c>
      <c r="M298" s="23" t="str">
        <f>IFERROR(VLOOKUP(A298,vdata_hours!$A$2:$B$1000,2,FALSE),"")</f>
        <v/>
      </c>
    </row>
    <row r="299" spans="1:13" x14ac:dyDescent="0.25">
      <c r="A299" s="23" t="str">
        <f>IF(vdata_hours!A298=0,"",vdata_hours!A298)</f>
        <v/>
      </c>
      <c r="B299" s="23" t="str">
        <f>IFERROR(INDEX(vdata_regressors!$A$1:$L$2000,MATCH($A299,vdata_regressors!$A$2:$A$2000,0)+1,MATCH(B$2,vdata_regressors!$A$1:$R$1,0)),"")</f>
        <v/>
      </c>
      <c r="C299" s="23" t="str">
        <f>IFERROR(INDEX(vdata_regressors!$A$1:$L$2000,MATCH($A299,vdata_regressors!$A$2:$A$2000,0)+1,MATCH(C$2,vdata_regressors!$A$1:$R$1,0)),"")</f>
        <v/>
      </c>
      <c r="D299" s="23" t="str">
        <f>IFERROR(INDEX(vdata_regressors!$A$1:$L$2000,MATCH($A299,vdata_regressors!$A$2:$A$2000,0)+1,MATCH(D$2,vdata_regressors!$A$1:$R$1,0)),"")</f>
        <v/>
      </c>
      <c r="E299" s="23" t="str">
        <f>IFERROR(INDEX(vdata_regressors!$A$1:$L$2000,MATCH($A299,vdata_regressors!$A$2:$A$2000,0)+1,MATCH(E$2,vdata_regressors!$A$1:$R$1,0)),"")</f>
        <v/>
      </c>
      <c r="F299" s="23" t="str">
        <f>IFERROR(INDEX(vdata_regressors!$A$1:$L$2000,MATCH($A299,vdata_regressors!$A$2:$A$2000,0)+1,MATCH(F$2,vdata_regressors!$A$1:$R$1,0)),"")</f>
        <v/>
      </c>
      <c r="G299" s="23" t="str">
        <f>IFERROR(INDEX(vdata_regressors!$A$1:$L$2000,MATCH($A299,vdata_regressors!$A$2:$A$2000,0)+1,MATCH(G$2,vdata_regressors!$A$1:$R$1,0)),"")</f>
        <v/>
      </c>
      <c r="H299" s="23" t="str">
        <f>IFERROR(INDEX(vdata_regressors!$A$1:$L$2000,MATCH($A299,vdata_regressors!$A$2:$A$2000,0)+1,MATCH(H$2,vdata_regressors!$A$1:$R$1,0)),"")</f>
        <v/>
      </c>
      <c r="I299" s="23" t="str">
        <f>IFERROR(INDEX(vdata_regressors!$A$1:$L$2000,MATCH($A299,vdata_regressors!$A$2:$A$2000,0)+1,MATCH(I$2,vdata_regressors!$A$1:$R$1,0)),"")</f>
        <v/>
      </c>
      <c r="J299" s="23" t="str">
        <f>IFERROR(INDEX(vdata_regressors!$A$1:$L$2000,MATCH($A299,vdata_regressors!$A$2:$A$2000,0)+1,MATCH(J$2,vdata_regressors!$A$1:$R$1,0)),"")</f>
        <v/>
      </c>
      <c r="K299" s="23" t="str">
        <f>IFERROR(INDEX(vdata_regressors!$A$1:$L$2000,MATCH($A299,vdata_regressors!$A$2:$A$2000,0)+1,MATCH(K$2,vdata_regressors!$A$1:$R$1,0)),"")</f>
        <v/>
      </c>
      <c r="L299" s="23" t="str">
        <f>IFERROR(INDEX(vdata_regressors!$A$1:$L$2000,MATCH($A299,vdata_regressors!$A$2:$A$2000,0)+1,MATCH(L$2,vdata_regressors!$A$1:$R$1,0)),"")</f>
        <v/>
      </c>
      <c r="M299" s="23" t="str">
        <f>IFERROR(VLOOKUP(A299,vdata_hours!$A$2:$B$1000,2,FALSE),"")</f>
        <v/>
      </c>
    </row>
    <row r="300" spans="1:13" x14ac:dyDescent="0.25">
      <c r="A300" s="23" t="str">
        <f>IF(vdata_hours!A299=0,"",vdata_hours!A299)</f>
        <v/>
      </c>
      <c r="B300" s="23" t="str">
        <f>IFERROR(INDEX(vdata_regressors!$A$1:$L$2000,MATCH($A300,vdata_regressors!$A$2:$A$2000,0)+1,MATCH(B$2,vdata_regressors!$A$1:$R$1,0)),"")</f>
        <v/>
      </c>
      <c r="C300" s="23" t="str">
        <f>IFERROR(INDEX(vdata_regressors!$A$1:$L$2000,MATCH($A300,vdata_regressors!$A$2:$A$2000,0)+1,MATCH(C$2,vdata_regressors!$A$1:$R$1,0)),"")</f>
        <v/>
      </c>
      <c r="D300" s="23" t="str">
        <f>IFERROR(INDEX(vdata_regressors!$A$1:$L$2000,MATCH($A300,vdata_regressors!$A$2:$A$2000,0)+1,MATCH(D$2,vdata_regressors!$A$1:$R$1,0)),"")</f>
        <v/>
      </c>
      <c r="E300" s="23" t="str">
        <f>IFERROR(INDEX(vdata_regressors!$A$1:$L$2000,MATCH($A300,vdata_regressors!$A$2:$A$2000,0)+1,MATCH(E$2,vdata_regressors!$A$1:$R$1,0)),"")</f>
        <v/>
      </c>
      <c r="F300" s="23" t="str">
        <f>IFERROR(INDEX(vdata_regressors!$A$1:$L$2000,MATCH($A300,vdata_regressors!$A$2:$A$2000,0)+1,MATCH(F$2,vdata_regressors!$A$1:$R$1,0)),"")</f>
        <v/>
      </c>
      <c r="G300" s="23" t="str">
        <f>IFERROR(INDEX(vdata_regressors!$A$1:$L$2000,MATCH($A300,vdata_regressors!$A$2:$A$2000,0)+1,MATCH(G$2,vdata_regressors!$A$1:$R$1,0)),"")</f>
        <v/>
      </c>
      <c r="H300" s="23" t="str">
        <f>IFERROR(INDEX(vdata_regressors!$A$1:$L$2000,MATCH($A300,vdata_regressors!$A$2:$A$2000,0)+1,MATCH(H$2,vdata_regressors!$A$1:$R$1,0)),"")</f>
        <v/>
      </c>
      <c r="I300" s="23" t="str">
        <f>IFERROR(INDEX(vdata_regressors!$A$1:$L$2000,MATCH($A300,vdata_regressors!$A$2:$A$2000,0)+1,MATCH(I$2,vdata_regressors!$A$1:$R$1,0)),"")</f>
        <v/>
      </c>
      <c r="J300" s="23" t="str">
        <f>IFERROR(INDEX(vdata_regressors!$A$1:$L$2000,MATCH($A300,vdata_regressors!$A$2:$A$2000,0)+1,MATCH(J$2,vdata_regressors!$A$1:$R$1,0)),"")</f>
        <v/>
      </c>
      <c r="K300" s="23" t="str">
        <f>IFERROR(INDEX(vdata_regressors!$A$1:$L$2000,MATCH($A300,vdata_regressors!$A$2:$A$2000,0)+1,MATCH(K$2,vdata_regressors!$A$1:$R$1,0)),"")</f>
        <v/>
      </c>
      <c r="L300" s="23" t="str">
        <f>IFERROR(INDEX(vdata_regressors!$A$1:$L$2000,MATCH($A300,vdata_regressors!$A$2:$A$2000,0)+1,MATCH(L$2,vdata_regressors!$A$1:$R$1,0)),"")</f>
        <v/>
      </c>
      <c r="M300" s="23" t="str">
        <f>IFERROR(VLOOKUP(A300,vdata_hours!$A$2:$B$1000,2,FALSE),"")</f>
        <v/>
      </c>
    </row>
    <row r="301" spans="1:13" x14ac:dyDescent="0.25">
      <c r="A301" s="23" t="str">
        <f>IF(vdata_hours!A300=0,"",vdata_hours!A300)</f>
        <v/>
      </c>
      <c r="B301" s="23" t="str">
        <f>IFERROR(INDEX(vdata_regressors!$A$1:$L$2000,MATCH($A301,vdata_regressors!$A$2:$A$2000,0)+1,MATCH(B$2,vdata_regressors!$A$1:$R$1,0)),"")</f>
        <v/>
      </c>
      <c r="C301" s="23" t="str">
        <f>IFERROR(INDEX(vdata_regressors!$A$1:$L$2000,MATCH($A301,vdata_regressors!$A$2:$A$2000,0)+1,MATCH(C$2,vdata_regressors!$A$1:$R$1,0)),"")</f>
        <v/>
      </c>
      <c r="D301" s="23" t="str">
        <f>IFERROR(INDEX(vdata_regressors!$A$1:$L$2000,MATCH($A301,vdata_regressors!$A$2:$A$2000,0)+1,MATCH(D$2,vdata_regressors!$A$1:$R$1,0)),"")</f>
        <v/>
      </c>
      <c r="E301" s="23" t="str">
        <f>IFERROR(INDEX(vdata_regressors!$A$1:$L$2000,MATCH($A301,vdata_regressors!$A$2:$A$2000,0)+1,MATCH(E$2,vdata_regressors!$A$1:$R$1,0)),"")</f>
        <v/>
      </c>
      <c r="F301" s="23" t="str">
        <f>IFERROR(INDEX(vdata_regressors!$A$1:$L$2000,MATCH($A301,vdata_regressors!$A$2:$A$2000,0)+1,MATCH(F$2,vdata_regressors!$A$1:$R$1,0)),"")</f>
        <v/>
      </c>
      <c r="G301" s="23" t="str">
        <f>IFERROR(INDEX(vdata_regressors!$A$1:$L$2000,MATCH($A301,vdata_regressors!$A$2:$A$2000,0)+1,MATCH(G$2,vdata_regressors!$A$1:$R$1,0)),"")</f>
        <v/>
      </c>
      <c r="H301" s="23" t="str">
        <f>IFERROR(INDEX(vdata_regressors!$A$1:$L$2000,MATCH($A301,vdata_regressors!$A$2:$A$2000,0)+1,MATCH(H$2,vdata_regressors!$A$1:$R$1,0)),"")</f>
        <v/>
      </c>
      <c r="I301" s="23" t="str">
        <f>IFERROR(INDEX(vdata_regressors!$A$1:$L$2000,MATCH($A301,vdata_regressors!$A$2:$A$2000,0)+1,MATCH(I$2,vdata_regressors!$A$1:$R$1,0)),"")</f>
        <v/>
      </c>
      <c r="J301" s="23" t="str">
        <f>IFERROR(INDEX(vdata_regressors!$A$1:$L$2000,MATCH($A301,vdata_regressors!$A$2:$A$2000,0)+1,MATCH(J$2,vdata_regressors!$A$1:$R$1,0)),"")</f>
        <v/>
      </c>
      <c r="K301" s="23" t="str">
        <f>IFERROR(INDEX(vdata_regressors!$A$1:$L$2000,MATCH($A301,vdata_regressors!$A$2:$A$2000,0)+1,MATCH(K$2,vdata_regressors!$A$1:$R$1,0)),"")</f>
        <v/>
      </c>
      <c r="L301" s="23" t="str">
        <f>IFERROR(INDEX(vdata_regressors!$A$1:$L$2000,MATCH($A301,vdata_regressors!$A$2:$A$2000,0)+1,MATCH(L$2,vdata_regressors!$A$1:$R$1,0)),"")</f>
        <v/>
      </c>
      <c r="M301" s="23" t="str">
        <f>IFERROR(VLOOKUP(A301,vdata_hours!$A$2:$B$1000,2,FALSE),"")</f>
        <v/>
      </c>
    </row>
    <row r="302" spans="1:13" x14ac:dyDescent="0.25">
      <c r="A302" s="23" t="str">
        <f>IF(vdata_hours!A301=0,"",vdata_hours!A301)</f>
        <v/>
      </c>
      <c r="B302" s="23" t="str">
        <f>IFERROR(INDEX(vdata_regressors!$A$1:$L$2000,MATCH($A302,vdata_regressors!$A$2:$A$2000,0)+1,MATCH(B$2,vdata_regressors!$A$1:$R$1,0)),"")</f>
        <v/>
      </c>
      <c r="C302" s="23" t="str">
        <f>IFERROR(INDEX(vdata_regressors!$A$1:$L$2000,MATCH($A302,vdata_regressors!$A$2:$A$2000,0)+1,MATCH(C$2,vdata_regressors!$A$1:$R$1,0)),"")</f>
        <v/>
      </c>
      <c r="D302" s="23" t="str">
        <f>IFERROR(INDEX(vdata_regressors!$A$1:$L$2000,MATCH($A302,vdata_regressors!$A$2:$A$2000,0)+1,MATCH(D$2,vdata_regressors!$A$1:$R$1,0)),"")</f>
        <v/>
      </c>
      <c r="E302" s="23" t="str">
        <f>IFERROR(INDEX(vdata_regressors!$A$1:$L$2000,MATCH($A302,vdata_regressors!$A$2:$A$2000,0)+1,MATCH(E$2,vdata_regressors!$A$1:$R$1,0)),"")</f>
        <v/>
      </c>
      <c r="F302" s="23" t="str">
        <f>IFERROR(INDEX(vdata_regressors!$A$1:$L$2000,MATCH($A302,vdata_regressors!$A$2:$A$2000,0)+1,MATCH(F$2,vdata_regressors!$A$1:$R$1,0)),"")</f>
        <v/>
      </c>
      <c r="G302" s="23" t="str">
        <f>IFERROR(INDEX(vdata_regressors!$A$1:$L$2000,MATCH($A302,vdata_regressors!$A$2:$A$2000,0)+1,MATCH(G$2,vdata_regressors!$A$1:$R$1,0)),"")</f>
        <v/>
      </c>
      <c r="H302" s="23" t="str">
        <f>IFERROR(INDEX(vdata_regressors!$A$1:$L$2000,MATCH($A302,vdata_regressors!$A$2:$A$2000,0)+1,MATCH(H$2,vdata_regressors!$A$1:$R$1,0)),"")</f>
        <v/>
      </c>
      <c r="I302" s="23" t="str">
        <f>IFERROR(INDEX(vdata_regressors!$A$1:$L$2000,MATCH($A302,vdata_regressors!$A$2:$A$2000,0)+1,MATCH(I$2,vdata_regressors!$A$1:$R$1,0)),"")</f>
        <v/>
      </c>
      <c r="J302" s="23" t="str">
        <f>IFERROR(INDEX(vdata_regressors!$A$1:$L$2000,MATCH($A302,vdata_regressors!$A$2:$A$2000,0)+1,MATCH(J$2,vdata_regressors!$A$1:$R$1,0)),"")</f>
        <v/>
      </c>
      <c r="K302" s="23" t="str">
        <f>IFERROR(INDEX(vdata_regressors!$A$1:$L$2000,MATCH($A302,vdata_regressors!$A$2:$A$2000,0)+1,MATCH(K$2,vdata_regressors!$A$1:$R$1,0)),"")</f>
        <v/>
      </c>
      <c r="L302" s="23" t="str">
        <f>IFERROR(INDEX(vdata_regressors!$A$1:$L$2000,MATCH($A302,vdata_regressors!$A$2:$A$2000,0)+1,MATCH(L$2,vdata_regressors!$A$1:$R$1,0)),"")</f>
        <v/>
      </c>
      <c r="M302" s="23" t="str">
        <f>IFERROR(VLOOKUP(A302,vdata_hours!$A$2:$B$1000,2,FALSE),"")</f>
        <v/>
      </c>
    </row>
    <row r="303" spans="1:13" x14ac:dyDescent="0.25">
      <c r="A303" s="23" t="str">
        <f>IF(vdata_hours!A302=0,"",vdata_hours!A302)</f>
        <v/>
      </c>
      <c r="B303" s="23" t="str">
        <f>IFERROR(INDEX(vdata_regressors!$A$1:$L$2000,MATCH($A303,vdata_regressors!$A$2:$A$2000,0)+1,MATCH(B$2,vdata_regressors!$A$1:$R$1,0)),"")</f>
        <v/>
      </c>
      <c r="C303" s="23" t="str">
        <f>IFERROR(INDEX(vdata_regressors!$A$1:$L$2000,MATCH($A303,vdata_regressors!$A$2:$A$2000,0)+1,MATCH(C$2,vdata_regressors!$A$1:$R$1,0)),"")</f>
        <v/>
      </c>
      <c r="D303" s="23" t="str">
        <f>IFERROR(INDEX(vdata_regressors!$A$1:$L$2000,MATCH($A303,vdata_regressors!$A$2:$A$2000,0)+1,MATCH(D$2,vdata_regressors!$A$1:$R$1,0)),"")</f>
        <v/>
      </c>
      <c r="E303" s="23" t="str">
        <f>IFERROR(INDEX(vdata_regressors!$A$1:$L$2000,MATCH($A303,vdata_regressors!$A$2:$A$2000,0)+1,MATCH(E$2,vdata_regressors!$A$1:$R$1,0)),"")</f>
        <v/>
      </c>
      <c r="F303" s="23" t="str">
        <f>IFERROR(INDEX(vdata_regressors!$A$1:$L$2000,MATCH($A303,vdata_regressors!$A$2:$A$2000,0)+1,MATCH(F$2,vdata_regressors!$A$1:$R$1,0)),"")</f>
        <v/>
      </c>
      <c r="G303" s="23" t="str">
        <f>IFERROR(INDEX(vdata_regressors!$A$1:$L$2000,MATCH($A303,vdata_regressors!$A$2:$A$2000,0)+1,MATCH(G$2,vdata_regressors!$A$1:$R$1,0)),"")</f>
        <v/>
      </c>
      <c r="H303" s="23" t="str">
        <f>IFERROR(INDEX(vdata_regressors!$A$1:$L$2000,MATCH($A303,vdata_regressors!$A$2:$A$2000,0)+1,MATCH(H$2,vdata_regressors!$A$1:$R$1,0)),"")</f>
        <v/>
      </c>
      <c r="I303" s="23" t="str">
        <f>IFERROR(INDEX(vdata_regressors!$A$1:$L$2000,MATCH($A303,vdata_regressors!$A$2:$A$2000,0)+1,MATCH(I$2,vdata_regressors!$A$1:$R$1,0)),"")</f>
        <v/>
      </c>
      <c r="J303" s="23" t="str">
        <f>IFERROR(INDEX(vdata_regressors!$A$1:$L$2000,MATCH($A303,vdata_regressors!$A$2:$A$2000,0)+1,MATCH(J$2,vdata_regressors!$A$1:$R$1,0)),"")</f>
        <v/>
      </c>
      <c r="K303" s="23" t="str">
        <f>IFERROR(INDEX(vdata_regressors!$A$1:$L$2000,MATCH($A303,vdata_regressors!$A$2:$A$2000,0)+1,MATCH(K$2,vdata_regressors!$A$1:$R$1,0)),"")</f>
        <v/>
      </c>
      <c r="L303" s="23" t="str">
        <f>IFERROR(INDEX(vdata_regressors!$A$1:$L$2000,MATCH($A303,vdata_regressors!$A$2:$A$2000,0)+1,MATCH(L$2,vdata_regressors!$A$1:$R$1,0)),"")</f>
        <v/>
      </c>
      <c r="M303" s="23" t="str">
        <f>IFERROR(VLOOKUP(A303,vdata_hours!$A$2:$B$1000,2,FALSE),"")</f>
        <v/>
      </c>
    </row>
    <row r="304" spans="1:13" x14ac:dyDescent="0.25">
      <c r="A304" s="23" t="str">
        <f>IF(vdata_hours!A303=0,"",vdata_hours!A303)</f>
        <v/>
      </c>
      <c r="B304" s="23" t="str">
        <f>IFERROR(INDEX(vdata_regressors!$A$1:$L$2000,MATCH($A304,vdata_regressors!$A$2:$A$2000,0)+1,MATCH(B$2,vdata_regressors!$A$1:$R$1,0)),"")</f>
        <v/>
      </c>
      <c r="C304" s="23" t="str">
        <f>IFERROR(INDEX(vdata_regressors!$A$1:$L$2000,MATCH($A304,vdata_regressors!$A$2:$A$2000,0)+1,MATCH(C$2,vdata_regressors!$A$1:$R$1,0)),"")</f>
        <v/>
      </c>
      <c r="D304" s="23" t="str">
        <f>IFERROR(INDEX(vdata_regressors!$A$1:$L$2000,MATCH($A304,vdata_regressors!$A$2:$A$2000,0)+1,MATCH(D$2,vdata_regressors!$A$1:$R$1,0)),"")</f>
        <v/>
      </c>
      <c r="E304" s="23" t="str">
        <f>IFERROR(INDEX(vdata_regressors!$A$1:$L$2000,MATCH($A304,vdata_regressors!$A$2:$A$2000,0)+1,MATCH(E$2,vdata_regressors!$A$1:$R$1,0)),"")</f>
        <v/>
      </c>
      <c r="F304" s="23" t="str">
        <f>IFERROR(INDEX(vdata_regressors!$A$1:$L$2000,MATCH($A304,vdata_regressors!$A$2:$A$2000,0)+1,MATCH(F$2,vdata_regressors!$A$1:$R$1,0)),"")</f>
        <v/>
      </c>
      <c r="G304" s="23" t="str">
        <f>IFERROR(INDEX(vdata_regressors!$A$1:$L$2000,MATCH($A304,vdata_regressors!$A$2:$A$2000,0)+1,MATCH(G$2,vdata_regressors!$A$1:$R$1,0)),"")</f>
        <v/>
      </c>
      <c r="H304" s="23" t="str">
        <f>IFERROR(INDEX(vdata_regressors!$A$1:$L$2000,MATCH($A304,vdata_regressors!$A$2:$A$2000,0)+1,MATCH(H$2,vdata_regressors!$A$1:$R$1,0)),"")</f>
        <v/>
      </c>
      <c r="I304" s="23" t="str">
        <f>IFERROR(INDEX(vdata_regressors!$A$1:$L$2000,MATCH($A304,vdata_regressors!$A$2:$A$2000,0)+1,MATCH(I$2,vdata_regressors!$A$1:$R$1,0)),"")</f>
        <v/>
      </c>
      <c r="J304" s="23" t="str">
        <f>IFERROR(INDEX(vdata_regressors!$A$1:$L$2000,MATCH($A304,vdata_regressors!$A$2:$A$2000,0)+1,MATCH(J$2,vdata_regressors!$A$1:$R$1,0)),"")</f>
        <v/>
      </c>
      <c r="K304" s="23" t="str">
        <f>IFERROR(INDEX(vdata_regressors!$A$1:$L$2000,MATCH($A304,vdata_regressors!$A$2:$A$2000,0)+1,MATCH(K$2,vdata_regressors!$A$1:$R$1,0)),"")</f>
        <v/>
      </c>
      <c r="L304" s="23" t="str">
        <f>IFERROR(INDEX(vdata_regressors!$A$1:$L$2000,MATCH($A304,vdata_regressors!$A$2:$A$2000,0)+1,MATCH(L$2,vdata_regressors!$A$1:$R$1,0)),"")</f>
        <v/>
      </c>
      <c r="M304" s="23" t="str">
        <f>IFERROR(VLOOKUP(A304,vdata_hours!$A$2:$B$1000,2,FALSE),"")</f>
        <v/>
      </c>
    </row>
    <row r="305" spans="1:13" x14ac:dyDescent="0.25">
      <c r="A305" s="23" t="str">
        <f>IF(vdata_hours!A304=0,"",vdata_hours!A304)</f>
        <v/>
      </c>
      <c r="B305" s="23" t="str">
        <f>IFERROR(INDEX(vdata_regressors!$A$1:$L$2000,MATCH($A305,vdata_regressors!$A$2:$A$2000,0)+1,MATCH(B$2,vdata_regressors!$A$1:$R$1,0)),"")</f>
        <v/>
      </c>
      <c r="C305" s="23" t="str">
        <f>IFERROR(INDEX(vdata_regressors!$A$1:$L$2000,MATCH($A305,vdata_regressors!$A$2:$A$2000,0)+1,MATCH(C$2,vdata_regressors!$A$1:$R$1,0)),"")</f>
        <v/>
      </c>
      <c r="D305" s="23" t="str">
        <f>IFERROR(INDEX(vdata_regressors!$A$1:$L$2000,MATCH($A305,vdata_regressors!$A$2:$A$2000,0)+1,MATCH(D$2,vdata_regressors!$A$1:$R$1,0)),"")</f>
        <v/>
      </c>
      <c r="E305" s="23" t="str">
        <f>IFERROR(INDEX(vdata_regressors!$A$1:$L$2000,MATCH($A305,vdata_regressors!$A$2:$A$2000,0)+1,MATCH(E$2,vdata_regressors!$A$1:$R$1,0)),"")</f>
        <v/>
      </c>
      <c r="F305" s="23" t="str">
        <f>IFERROR(INDEX(vdata_regressors!$A$1:$L$2000,MATCH($A305,vdata_regressors!$A$2:$A$2000,0)+1,MATCH(F$2,vdata_regressors!$A$1:$R$1,0)),"")</f>
        <v/>
      </c>
      <c r="G305" s="23" t="str">
        <f>IFERROR(INDEX(vdata_regressors!$A$1:$L$2000,MATCH($A305,vdata_regressors!$A$2:$A$2000,0)+1,MATCH(G$2,vdata_regressors!$A$1:$R$1,0)),"")</f>
        <v/>
      </c>
      <c r="H305" s="23" t="str">
        <f>IFERROR(INDEX(vdata_regressors!$A$1:$L$2000,MATCH($A305,vdata_regressors!$A$2:$A$2000,0)+1,MATCH(H$2,vdata_regressors!$A$1:$R$1,0)),"")</f>
        <v/>
      </c>
      <c r="I305" s="23" t="str">
        <f>IFERROR(INDEX(vdata_regressors!$A$1:$L$2000,MATCH($A305,vdata_regressors!$A$2:$A$2000,0)+1,MATCH(I$2,vdata_regressors!$A$1:$R$1,0)),"")</f>
        <v/>
      </c>
      <c r="J305" s="23" t="str">
        <f>IFERROR(INDEX(vdata_regressors!$A$1:$L$2000,MATCH($A305,vdata_regressors!$A$2:$A$2000,0)+1,MATCH(J$2,vdata_regressors!$A$1:$R$1,0)),"")</f>
        <v/>
      </c>
      <c r="K305" s="23" t="str">
        <f>IFERROR(INDEX(vdata_regressors!$A$1:$L$2000,MATCH($A305,vdata_regressors!$A$2:$A$2000,0)+1,MATCH(K$2,vdata_regressors!$A$1:$R$1,0)),"")</f>
        <v/>
      </c>
      <c r="L305" s="23" t="str">
        <f>IFERROR(INDEX(vdata_regressors!$A$1:$L$2000,MATCH($A305,vdata_regressors!$A$2:$A$2000,0)+1,MATCH(L$2,vdata_regressors!$A$1:$R$1,0)),"")</f>
        <v/>
      </c>
      <c r="M305" s="23" t="str">
        <f>IFERROR(VLOOKUP(A305,vdata_hours!$A$2:$B$1000,2,FALSE),"")</f>
        <v/>
      </c>
    </row>
    <row r="306" spans="1:13" x14ac:dyDescent="0.25">
      <c r="A306" s="23" t="str">
        <f>IF(vdata_hours!A305=0,"",vdata_hours!A305)</f>
        <v/>
      </c>
      <c r="B306" s="23" t="str">
        <f>IFERROR(INDEX(vdata_regressors!$A$1:$L$2000,MATCH($A306,vdata_regressors!$A$2:$A$2000,0)+1,MATCH(B$2,vdata_regressors!$A$1:$R$1,0)),"")</f>
        <v/>
      </c>
      <c r="C306" s="23" t="str">
        <f>IFERROR(INDEX(vdata_regressors!$A$1:$L$2000,MATCH($A306,vdata_regressors!$A$2:$A$2000,0)+1,MATCH(C$2,vdata_regressors!$A$1:$R$1,0)),"")</f>
        <v/>
      </c>
      <c r="D306" s="23" t="str">
        <f>IFERROR(INDEX(vdata_regressors!$A$1:$L$2000,MATCH($A306,vdata_regressors!$A$2:$A$2000,0)+1,MATCH(D$2,vdata_regressors!$A$1:$R$1,0)),"")</f>
        <v/>
      </c>
      <c r="E306" s="23" t="str">
        <f>IFERROR(INDEX(vdata_regressors!$A$1:$L$2000,MATCH($A306,vdata_regressors!$A$2:$A$2000,0)+1,MATCH(E$2,vdata_regressors!$A$1:$R$1,0)),"")</f>
        <v/>
      </c>
      <c r="F306" s="23" t="str">
        <f>IFERROR(INDEX(vdata_regressors!$A$1:$L$2000,MATCH($A306,vdata_regressors!$A$2:$A$2000,0)+1,MATCH(F$2,vdata_regressors!$A$1:$R$1,0)),"")</f>
        <v/>
      </c>
      <c r="G306" s="23" t="str">
        <f>IFERROR(INDEX(vdata_regressors!$A$1:$L$2000,MATCH($A306,vdata_regressors!$A$2:$A$2000,0)+1,MATCH(G$2,vdata_regressors!$A$1:$R$1,0)),"")</f>
        <v/>
      </c>
      <c r="H306" s="23" t="str">
        <f>IFERROR(INDEX(vdata_regressors!$A$1:$L$2000,MATCH($A306,vdata_regressors!$A$2:$A$2000,0)+1,MATCH(H$2,vdata_regressors!$A$1:$R$1,0)),"")</f>
        <v/>
      </c>
      <c r="I306" s="23" t="str">
        <f>IFERROR(INDEX(vdata_regressors!$A$1:$L$2000,MATCH($A306,vdata_regressors!$A$2:$A$2000,0)+1,MATCH(I$2,vdata_regressors!$A$1:$R$1,0)),"")</f>
        <v/>
      </c>
      <c r="J306" s="23" t="str">
        <f>IFERROR(INDEX(vdata_regressors!$A$1:$L$2000,MATCH($A306,vdata_regressors!$A$2:$A$2000,0)+1,MATCH(J$2,vdata_regressors!$A$1:$R$1,0)),"")</f>
        <v/>
      </c>
      <c r="K306" s="23" t="str">
        <f>IFERROR(INDEX(vdata_regressors!$A$1:$L$2000,MATCH($A306,vdata_regressors!$A$2:$A$2000,0)+1,MATCH(K$2,vdata_regressors!$A$1:$R$1,0)),"")</f>
        <v/>
      </c>
      <c r="L306" s="23" t="str">
        <f>IFERROR(INDEX(vdata_regressors!$A$1:$L$2000,MATCH($A306,vdata_regressors!$A$2:$A$2000,0)+1,MATCH(L$2,vdata_regressors!$A$1:$R$1,0)),"")</f>
        <v/>
      </c>
      <c r="M306" s="23" t="str">
        <f>IFERROR(VLOOKUP(A306,vdata_hours!$A$2:$B$1000,2,FALSE),"")</f>
        <v/>
      </c>
    </row>
    <row r="307" spans="1:13" x14ac:dyDescent="0.25">
      <c r="A307" s="23" t="str">
        <f>IF(vdata_hours!A306=0,"",vdata_hours!A306)</f>
        <v/>
      </c>
      <c r="B307" s="23" t="str">
        <f>IFERROR(INDEX(vdata_regressors!$A$1:$L$2000,MATCH($A307,vdata_regressors!$A$2:$A$2000,0)+1,MATCH(B$2,vdata_regressors!$A$1:$R$1,0)),"")</f>
        <v/>
      </c>
      <c r="C307" s="23" t="str">
        <f>IFERROR(INDEX(vdata_regressors!$A$1:$L$2000,MATCH($A307,vdata_regressors!$A$2:$A$2000,0)+1,MATCH(C$2,vdata_regressors!$A$1:$R$1,0)),"")</f>
        <v/>
      </c>
      <c r="D307" s="23" t="str">
        <f>IFERROR(INDEX(vdata_regressors!$A$1:$L$2000,MATCH($A307,vdata_regressors!$A$2:$A$2000,0)+1,MATCH(D$2,vdata_regressors!$A$1:$R$1,0)),"")</f>
        <v/>
      </c>
      <c r="E307" s="23" t="str">
        <f>IFERROR(INDEX(vdata_regressors!$A$1:$L$2000,MATCH($A307,vdata_regressors!$A$2:$A$2000,0)+1,MATCH(E$2,vdata_regressors!$A$1:$R$1,0)),"")</f>
        <v/>
      </c>
      <c r="F307" s="23" t="str">
        <f>IFERROR(INDEX(vdata_regressors!$A$1:$L$2000,MATCH($A307,vdata_regressors!$A$2:$A$2000,0)+1,MATCH(F$2,vdata_regressors!$A$1:$R$1,0)),"")</f>
        <v/>
      </c>
      <c r="G307" s="23" t="str">
        <f>IFERROR(INDEX(vdata_regressors!$A$1:$L$2000,MATCH($A307,vdata_regressors!$A$2:$A$2000,0)+1,MATCH(G$2,vdata_regressors!$A$1:$R$1,0)),"")</f>
        <v/>
      </c>
      <c r="H307" s="23" t="str">
        <f>IFERROR(INDEX(vdata_regressors!$A$1:$L$2000,MATCH($A307,vdata_regressors!$A$2:$A$2000,0)+1,MATCH(H$2,vdata_regressors!$A$1:$R$1,0)),"")</f>
        <v/>
      </c>
      <c r="I307" s="23" t="str">
        <f>IFERROR(INDEX(vdata_regressors!$A$1:$L$2000,MATCH($A307,vdata_regressors!$A$2:$A$2000,0)+1,MATCH(I$2,vdata_regressors!$A$1:$R$1,0)),"")</f>
        <v/>
      </c>
      <c r="J307" s="23" t="str">
        <f>IFERROR(INDEX(vdata_regressors!$A$1:$L$2000,MATCH($A307,vdata_regressors!$A$2:$A$2000,0)+1,MATCH(J$2,vdata_regressors!$A$1:$R$1,0)),"")</f>
        <v/>
      </c>
      <c r="K307" s="23" t="str">
        <f>IFERROR(INDEX(vdata_regressors!$A$1:$L$2000,MATCH($A307,vdata_regressors!$A$2:$A$2000,0)+1,MATCH(K$2,vdata_regressors!$A$1:$R$1,0)),"")</f>
        <v/>
      </c>
      <c r="L307" s="23" t="str">
        <f>IFERROR(INDEX(vdata_regressors!$A$1:$L$2000,MATCH($A307,vdata_regressors!$A$2:$A$2000,0)+1,MATCH(L$2,vdata_regressors!$A$1:$R$1,0)),"")</f>
        <v/>
      </c>
      <c r="M307" s="23" t="str">
        <f>IFERROR(VLOOKUP(A307,vdata_hours!$A$2:$B$1000,2,FALSE),"")</f>
        <v/>
      </c>
    </row>
    <row r="308" spans="1:13" x14ac:dyDescent="0.25">
      <c r="A308" s="23" t="str">
        <f>IF(vdata_hours!A307=0,"",vdata_hours!A307)</f>
        <v/>
      </c>
      <c r="B308" s="23" t="str">
        <f>IFERROR(INDEX(vdata_regressors!$A$1:$L$2000,MATCH($A308,vdata_regressors!$A$2:$A$2000,0)+1,MATCH(B$2,vdata_regressors!$A$1:$R$1,0)),"")</f>
        <v/>
      </c>
      <c r="C308" s="23" t="str">
        <f>IFERROR(INDEX(vdata_regressors!$A$1:$L$2000,MATCH($A308,vdata_regressors!$A$2:$A$2000,0)+1,MATCH(C$2,vdata_regressors!$A$1:$R$1,0)),"")</f>
        <v/>
      </c>
      <c r="D308" s="23" t="str">
        <f>IFERROR(INDEX(vdata_regressors!$A$1:$L$2000,MATCH($A308,vdata_regressors!$A$2:$A$2000,0)+1,MATCH(D$2,vdata_regressors!$A$1:$R$1,0)),"")</f>
        <v/>
      </c>
      <c r="E308" s="23" t="str">
        <f>IFERROR(INDEX(vdata_regressors!$A$1:$L$2000,MATCH($A308,vdata_regressors!$A$2:$A$2000,0)+1,MATCH(E$2,vdata_regressors!$A$1:$R$1,0)),"")</f>
        <v/>
      </c>
      <c r="F308" s="23" t="str">
        <f>IFERROR(INDEX(vdata_regressors!$A$1:$L$2000,MATCH($A308,vdata_regressors!$A$2:$A$2000,0)+1,MATCH(F$2,vdata_regressors!$A$1:$R$1,0)),"")</f>
        <v/>
      </c>
      <c r="G308" s="23" t="str">
        <f>IFERROR(INDEX(vdata_regressors!$A$1:$L$2000,MATCH($A308,vdata_regressors!$A$2:$A$2000,0)+1,MATCH(G$2,vdata_regressors!$A$1:$R$1,0)),"")</f>
        <v/>
      </c>
      <c r="H308" s="23" t="str">
        <f>IFERROR(INDEX(vdata_regressors!$A$1:$L$2000,MATCH($A308,vdata_regressors!$A$2:$A$2000,0)+1,MATCH(H$2,vdata_regressors!$A$1:$R$1,0)),"")</f>
        <v/>
      </c>
      <c r="I308" s="23" t="str">
        <f>IFERROR(INDEX(vdata_regressors!$A$1:$L$2000,MATCH($A308,vdata_regressors!$A$2:$A$2000,0)+1,MATCH(I$2,vdata_regressors!$A$1:$R$1,0)),"")</f>
        <v/>
      </c>
      <c r="J308" s="23" t="str">
        <f>IFERROR(INDEX(vdata_regressors!$A$1:$L$2000,MATCH($A308,vdata_regressors!$A$2:$A$2000,0)+1,MATCH(J$2,vdata_regressors!$A$1:$R$1,0)),"")</f>
        <v/>
      </c>
      <c r="K308" s="23" t="str">
        <f>IFERROR(INDEX(vdata_regressors!$A$1:$L$2000,MATCH($A308,vdata_regressors!$A$2:$A$2000,0)+1,MATCH(K$2,vdata_regressors!$A$1:$R$1,0)),"")</f>
        <v/>
      </c>
      <c r="L308" s="23" t="str">
        <f>IFERROR(INDEX(vdata_regressors!$A$1:$L$2000,MATCH($A308,vdata_regressors!$A$2:$A$2000,0)+1,MATCH(L$2,vdata_regressors!$A$1:$R$1,0)),"")</f>
        <v/>
      </c>
      <c r="M308" s="23" t="str">
        <f>IFERROR(VLOOKUP(A308,vdata_hours!$A$2:$B$1000,2,FALSE),"")</f>
        <v/>
      </c>
    </row>
    <row r="309" spans="1:13" x14ac:dyDescent="0.25">
      <c r="A309" s="23" t="str">
        <f>IF(vdata_hours!A308=0,"",vdata_hours!A308)</f>
        <v/>
      </c>
      <c r="B309" s="23" t="str">
        <f>IFERROR(INDEX(vdata_regressors!$A$1:$L$2000,MATCH($A309,vdata_regressors!$A$2:$A$2000,0)+1,MATCH(B$2,vdata_regressors!$A$1:$R$1,0)),"")</f>
        <v/>
      </c>
      <c r="C309" s="23" t="str">
        <f>IFERROR(INDEX(vdata_regressors!$A$1:$L$2000,MATCH($A309,vdata_regressors!$A$2:$A$2000,0)+1,MATCH(C$2,vdata_regressors!$A$1:$R$1,0)),"")</f>
        <v/>
      </c>
      <c r="D309" s="23" t="str">
        <f>IFERROR(INDEX(vdata_regressors!$A$1:$L$2000,MATCH($A309,vdata_regressors!$A$2:$A$2000,0)+1,MATCH(D$2,vdata_regressors!$A$1:$R$1,0)),"")</f>
        <v/>
      </c>
      <c r="E309" s="23" t="str">
        <f>IFERROR(INDEX(vdata_regressors!$A$1:$L$2000,MATCH($A309,vdata_regressors!$A$2:$A$2000,0)+1,MATCH(E$2,vdata_regressors!$A$1:$R$1,0)),"")</f>
        <v/>
      </c>
      <c r="F309" s="23" t="str">
        <f>IFERROR(INDEX(vdata_regressors!$A$1:$L$2000,MATCH($A309,vdata_regressors!$A$2:$A$2000,0)+1,MATCH(F$2,vdata_regressors!$A$1:$R$1,0)),"")</f>
        <v/>
      </c>
      <c r="G309" s="23" t="str">
        <f>IFERROR(INDEX(vdata_regressors!$A$1:$L$2000,MATCH($A309,vdata_regressors!$A$2:$A$2000,0)+1,MATCH(G$2,vdata_regressors!$A$1:$R$1,0)),"")</f>
        <v/>
      </c>
      <c r="H309" s="23" t="str">
        <f>IFERROR(INDEX(vdata_regressors!$A$1:$L$2000,MATCH($A309,vdata_regressors!$A$2:$A$2000,0)+1,MATCH(H$2,vdata_regressors!$A$1:$R$1,0)),"")</f>
        <v/>
      </c>
      <c r="I309" s="23" t="str">
        <f>IFERROR(INDEX(vdata_regressors!$A$1:$L$2000,MATCH($A309,vdata_regressors!$A$2:$A$2000,0)+1,MATCH(I$2,vdata_regressors!$A$1:$R$1,0)),"")</f>
        <v/>
      </c>
      <c r="J309" s="23" t="str">
        <f>IFERROR(INDEX(vdata_regressors!$A$1:$L$2000,MATCH($A309,vdata_regressors!$A$2:$A$2000,0)+1,MATCH(J$2,vdata_regressors!$A$1:$R$1,0)),"")</f>
        <v/>
      </c>
      <c r="K309" s="23" t="str">
        <f>IFERROR(INDEX(vdata_regressors!$A$1:$L$2000,MATCH($A309,vdata_regressors!$A$2:$A$2000,0)+1,MATCH(K$2,vdata_regressors!$A$1:$R$1,0)),"")</f>
        <v/>
      </c>
      <c r="L309" s="23" t="str">
        <f>IFERROR(INDEX(vdata_regressors!$A$1:$L$2000,MATCH($A309,vdata_regressors!$A$2:$A$2000,0)+1,MATCH(L$2,vdata_regressors!$A$1:$R$1,0)),"")</f>
        <v/>
      </c>
      <c r="M309" s="23" t="str">
        <f>IFERROR(VLOOKUP(A309,vdata_hours!$A$2:$B$1000,2,FALSE),"")</f>
        <v/>
      </c>
    </row>
    <row r="310" spans="1:13" x14ac:dyDescent="0.25">
      <c r="A310" s="23" t="str">
        <f>IF(vdata_hours!A309=0,"",vdata_hours!A309)</f>
        <v/>
      </c>
      <c r="B310" s="23" t="str">
        <f>IFERROR(INDEX(vdata_regressors!$A$1:$L$2000,MATCH($A310,vdata_regressors!$A$2:$A$2000,0)+1,MATCH(B$2,vdata_regressors!$A$1:$R$1,0)),"")</f>
        <v/>
      </c>
      <c r="C310" s="23" t="str">
        <f>IFERROR(INDEX(vdata_regressors!$A$1:$L$2000,MATCH($A310,vdata_regressors!$A$2:$A$2000,0)+1,MATCH(C$2,vdata_regressors!$A$1:$R$1,0)),"")</f>
        <v/>
      </c>
      <c r="D310" s="23" t="str">
        <f>IFERROR(INDEX(vdata_regressors!$A$1:$L$2000,MATCH($A310,vdata_regressors!$A$2:$A$2000,0)+1,MATCH(D$2,vdata_regressors!$A$1:$R$1,0)),"")</f>
        <v/>
      </c>
      <c r="E310" s="23" t="str">
        <f>IFERROR(INDEX(vdata_regressors!$A$1:$L$2000,MATCH($A310,vdata_regressors!$A$2:$A$2000,0)+1,MATCH(E$2,vdata_regressors!$A$1:$R$1,0)),"")</f>
        <v/>
      </c>
      <c r="F310" s="23" t="str">
        <f>IFERROR(INDEX(vdata_regressors!$A$1:$L$2000,MATCH($A310,vdata_regressors!$A$2:$A$2000,0)+1,MATCH(F$2,vdata_regressors!$A$1:$R$1,0)),"")</f>
        <v/>
      </c>
      <c r="G310" s="23" t="str">
        <f>IFERROR(INDEX(vdata_regressors!$A$1:$L$2000,MATCH($A310,vdata_regressors!$A$2:$A$2000,0)+1,MATCH(G$2,vdata_regressors!$A$1:$R$1,0)),"")</f>
        <v/>
      </c>
      <c r="H310" s="23" t="str">
        <f>IFERROR(INDEX(vdata_regressors!$A$1:$L$2000,MATCH($A310,vdata_regressors!$A$2:$A$2000,0)+1,MATCH(H$2,vdata_regressors!$A$1:$R$1,0)),"")</f>
        <v/>
      </c>
      <c r="I310" s="23" t="str">
        <f>IFERROR(INDEX(vdata_regressors!$A$1:$L$2000,MATCH($A310,vdata_regressors!$A$2:$A$2000,0)+1,MATCH(I$2,vdata_regressors!$A$1:$R$1,0)),"")</f>
        <v/>
      </c>
      <c r="J310" s="23" t="str">
        <f>IFERROR(INDEX(vdata_regressors!$A$1:$L$2000,MATCH($A310,vdata_regressors!$A$2:$A$2000,0)+1,MATCH(J$2,vdata_regressors!$A$1:$R$1,0)),"")</f>
        <v/>
      </c>
      <c r="K310" s="23" t="str">
        <f>IFERROR(INDEX(vdata_regressors!$A$1:$L$2000,MATCH($A310,vdata_regressors!$A$2:$A$2000,0)+1,MATCH(K$2,vdata_regressors!$A$1:$R$1,0)),"")</f>
        <v/>
      </c>
      <c r="L310" s="23" t="str">
        <f>IFERROR(INDEX(vdata_regressors!$A$1:$L$2000,MATCH($A310,vdata_regressors!$A$2:$A$2000,0)+1,MATCH(L$2,vdata_regressors!$A$1:$R$1,0)),"")</f>
        <v/>
      </c>
      <c r="M310" s="23" t="str">
        <f>IFERROR(VLOOKUP(A310,vdata_hours!$A$2:$B$1000,2,FALSE),"")</f>
        <v/>
      </c>
    </row>
    <row r="311" spans="1:13" x14ac:dyDescent="0.25">
      <c r="A311" s="23" t="str">
        <f>IF(vdata_hours!A310=0,"",vdata_hours!A310)</f>
        <v/>
      </c>
      <c r="B311" s="23" t="str">
        <f>IFERROR(INDEX(vdata_regressors!$A$1:$L$2000,MATCH($A311,vdata_regressors!$A$2:$A$2000,0)+1,MATCH(B$2,vdata_regressors!$A$1:$R$1,0)),"")</f>
        <v/>
      </c>
      <c r="C311" s="23" t="str">
        <f>IFERROR(INDEX(vdata_regressors!$A$1:$L$2000,MATCH($A311,vdata_regressors!$A$2:$A$2000,0)+1,MATCH(C$2,vdata_regressors!$A$1:$R$1,0)),"")</f>
        <v/>
      </c>
      <c r="D311" s="23" t="str">
        <f>IFERROR(INDEX(vdata_regressors!$A$1:$L$2000,MATCH($A311,vdata_regressors!$A$2:$A$2000,0)+1,MATCH(D$2,vdata_regressors!$A$1:$R$1,0)),"")</f>
        <v/>
      </c>
      <c r="E311" s="23" t="str">
        <f>IFERROR(INDEX(vdata_regressors!$A$1:$L$2000,MATCH($A311,vdata_regressors!$A$2:$A$2000,0)+1,MATCH(E$2,vdata_regressors!$A$1:$R$1,0)),"")</f>
        <v/>
      </c>
      <c r="F311" s="23" t="str">
        <f>IFERROR(INDEX(vdata_regressors!$A$1:$L$2000,MATCH($A311,vdata_regressors!$A$2:$A$2000,0)+1,MATCH(F$2,vdata_regressors!$A$1:$R$1,0)),"")</f>
        <v/>
      </c>
      <c r="G311" s="23" t="str">
        <f>IFERROR(INDEX(vdata_regressors!$A$1:$L$2000,MATCH($A311,vdata_regressors!$A$2:$A$2000,0)+1,MATCH(G$2,vdata_regressors!$A$1:$R$1,0)),"")</f>
        <v/>
      </c>
      <c r="H311" s="23" t="str">
        <f>IFERROR(INDEX(vdata_regressors!$A$1:$L$2000,MATCH($A311,vdata_regressors!$A$2:$A$2000,0)+1,MATCH(H$2,vdata_regressors!$A$1:$R$1,0)),"")</f>
        <v/>
      </c>
      <c r="I311" s="23" t="str">
        <f>IFERROR(INDEX(vdata_regressors!$A$1:$L$2000,MATCH($A311,vdata_regressors!$A$2:$A$2000,0)+1,MATCH(I$2,vdata_regressors!$A$1:$R$1,0)),"")</f>
        <v/>
      </c>
      <c r="J311" s="23" t="str">
        <f>IFERROR(INDEX(vdata_regressors!$A$1:$L$2000,MATCH($A311,vdata_regressors!$A$2:$A$2000,0)+1,MATCH(J$2,vdata_regressors!$A$1:$R$1,0)),"")</f>
        <v/>
      </c>
      <c r="K311" s="23" t="str">
        <f>IFERROR(INDEX(vdata_regressors!$A$1:$L$2000,MATCH($A311,vdata_regressors!$A$2:$A$2000,0)+1,MATCH(K$2,vdata_regressors!$A$1:$R$1,0)),"")</f>
        <v/>
      </c>
      <c r="L311" s="23" t="str">
        <f>IFERROR(INDEX(vdata_regressors!$A$1:$L$2000,MATCH($A311,vdata_regressors!$A$2:$A$2000,0)+1,MATCH(L$2,vdata_regressors!$A$1:$R$1,0)),"")</f>
        <v/>
      </c>
      <c r="M311" s="23" t="str">
        <f>IFERROR(VLOOKUP(A311,vdata_hours!$A$2:$B$1000,2,FALSE),"")</f>
        <v/>
      </c>
    </row>
    <row r="312" spans="1:13" x14ac:dyDescent="0.25">
      <c r="A312" s="23" t="str">
        <f>IF(vdata_hours!A311=0,"",vdata_hours!A311)</f>
        <v/>
      </c>
      <c r="B312" s="23" t="str">
        <f>IFERROR(INDEX(vdata_regressors!$A$1:$L$2000,MATCH($A312,vdata_regressors!$A$2:$A$2000,0)+1,MATCH(B$2,vdata_regressors!$A$1:$R$1,0)),"")</f>
        <v/>
      </c>
      <c r="C312" s="23" t="str">
        <f>IFERROR(INDEX(vdata_regressors!$A$1:$L$2000,MATCH($A312,vdata_regressors!$A$2:$A$2000,0)+1,MATCH(C$2,vdata_regressors!$A$1:$R$1,0)),"")</f>
        <v/>
      </c>
      <c r="D312" s="23" t="str">
        <f>IFERROR(INDEX(vdata_regressors!$A$1:$L$2000,MATCH($A312,vdata_regressors!$A$2:$A$2000,0)+1,MATCH(D$2,vdata_regressors!$A$1:$R$1,0)),"")</f>
        <v/>
      </c>
      <c r="E312" s="23" t="str">
        <f>IFERROR(INDEX(vdata_regressors!$A$1:$L$2000,MATCH($A312,vdata_regressors!$A$2:$A$2000,0)+1,MATCH(E$2,vdata_regressors!$A$1:$R$1,0)),"")</f>
        <v/>
      </c>
      <c r="F312" s="23" t="str">
        <f>IFERROR(INDEX(vdata_regressors!$A$1:$L$2000,MATCH($A312,vdata_regressors!$A$2:$A$2000,0)+1,MATCH(F$2,vdata_regressors!$A$1:$R$1,0)),"")</f>
        <v/>
      </c>
      <c r="G312" s="23" t="str">
        <f>IFERROR(INDEX(vdata_regressors!$A$1:$L$2000,MATCH($A312,vdata_regressors!$A$2:$A$2000,0)+1,MATCH(G$2,vdata_regressors!$A$1:$R$1,0)),"")</f>
        <v/>
      </c>
      <c r="H312" s="23" t="str">
        <f>IFERROR(INDEX(vdata_regressors!$A$1:$L$2000,MATCH($A312,vdata_regressors!$A$2:$A$2000,0)+1,MATCH(H$2,vdata_regressors!$A$1:$R$1,0)),"")</f>
        <v/>
      </c>
      <c r="I312" s="23" t="str">
        <f>IFERROR(INDEX(vdata_regressors!$A$1:$L$2000,MATCH($A312,vdata_regressors!$A$2:$A$2000,0)+1,MATCH(I$2,vdata_regressors!$A$1:$R$1,0)),"")</f>
        <v/>
      </c>
      <c r="J312" s="23" t="str">
        <f>IFERROR(INDEX(vdata_regressors!$A$1:$L$2000,MATCH($A312,vdata_regressors!$A$2:$A$2000,0)+1,MATCH(J$2,vdata_regressors!$A$1:$R$1,0)),"")</f>
        <v/>
      </c>
      <c r="K312" s="23" t="str">
        <f>IFERROR(INDEX(vdata_regressors!$A$1:$L$2000,MATCH($A312,vdata_regressors!$A$2:$A$2000,0)+1,MATCH(K$2,vdata_regressors!$A$1:$R$1,0)),"")</f>
        <v/>
      </c>
      <c r="L312" s="23" t="str">
        <f>IFERROR(INDEX(vdata_regressors!$A$1:$L$2000,MATCH($A312,vdata_regressors!$A$2:$A$2000,0)+1,MATCH(L$2,vdata_regressors!$A$1:$R$1,0)),"")</f>
        <v/>
      </c>
      <c r="M312" s="23" t="str">
        <f>IFERROR(VLOOKUP(A312,vdata_hours!$A$2:$B$1000,2,FALSE),"")</f>
        <v/>
      </c>
    </row>
    <row r="313" spans="1:13" x14ac:dyDescent="0.25">
      <c r="A313" s="23" t="str">
        <f>IF(vdata_hours!A312=0,"",vdata_hours!A312)</f>
        <v/>
      </c>
      <c r="B313" s="23" t="str">
        <f>IFERROR(INDEX(vdata_regressors!$A$1:$L$2000,MATCH($A313,vdata_regressors!$A$2:$A$2000,0)+1,MATCH(B$2,vdata_regressors!$A$1:$R$1,0)),"")</f>
        <v/>
      </c>
      <c r="C313" s="23" t="str">
        <f>IFERROR(INDEX(vdata_regressors!$A$1:$L$2000,MATCH($A313,vdata_regressors!$A$2:$A$2000,0)+1,MATCH(C$2,vdata_regressors!$A$1:$R$1,0)),"")</f>
        <v/>
      </c>
      <c r="D313" s="23" t="str">
        <f>IFERROR(INDEX(vdata_regressors!$A$1:$L$2000,MATCH($A313,vdata_regressors!$A$2:$A$2000,0)+1,MATCH(D$2,vdata_regressors!$A$1:$R$1,0)),"")</f>
        <v/>
      </c>
      <c r="E313" s="23" t="str">
        <f>IFERROR(INDEX(vdata_regressors!$A$1:$L$2000,MATCH($A313,vdata_regressors!$A$2:$A$2000,0)+1,MATCH(E$2,vdata_regressors!$A$1:$R$1,0)),"")</f>
        <v/>
      </c>
      <c r="F313" s="23" t="str">
        <f>IFERROR(INDEX(vdata_regressors!$A$1:$L$2000,MATCH($A313,vdata_regressors!$A$2:$A$2000,0)+1,MATCH(F$2,vdata_regressors!$A$1:$R$1,0)),"")</f>
        <v/>
      </c>
      <c r="G313" s="23" t="str">
        <f>IFERROR(INDEX(vdata_regressors!$A$1:$L$2000,MATCH($A313,vdata_regressors!$A$2:$A$2000,0)+1,MATCH(G$2,vdata_regressors!$A$1:$R$1,0)),"")</f>
        <v/>
      </c>
      <c r="H313" s="23" t="str">
        <f>IFERROR(INDEX(vdata_regressors!$A$1:$L$2000,MATCH($A313,vdata_regressors!$A$2:$A$2000,0)+1,MATCH(H$2,vdata_regressors!$A$1:$R$1,0)),"")</f>
        <v/>
      </c>
      <c r="I313" s="23" t="str">
        <f>IFERROR(INDEX(vdata_regressors!$A$1:$L$2000,MATCH($A313,vdata_regressors!$A$2:$A$2000,0)+1,MATCH(I$2,vdata_regressors!$A$1:$R$1,0)),"")</f>
        <v/>
      </c>
      <c r="J313" s="23" t="str">
        <f>IFERROR(INDEX(vdata_regressors!$A$1:$L$2000,MATCH($A313,vdata_regressors!$A$2:$A$2000,0)+1,MATCH(J$2,vdata_regressors!$A$1:$R$1,0)),"")</f>
        <v/>
      </c>
      <c r="K313" s="23" t="str">
        <f>IFERROR(INDEX(vdata_regressors!$A$1:$L$2000,MATCH($A313,vdata_regressors!$A$2:$A$2000,0)+1,MATCH(K$2,vdata_regressors!$A$1:$R$1,0)),"")</f>
        <v/>
      </c>
      <c r="L313" s="23" t="str">
        <f>IFERROR(INDEX(vdata_regressors!$A$1:$L$2000,MATCH($A313,vdata_regressors!$A$2:$A$2000,0)+1,MATCH(L$2,vdata_regressors!$A$1:$R$1,0)),"")</f>
        <v/>
      </c>
      <c r="M313" s="23" t="str">
        <f>IFERROR(VLOOKUP(A313,vdata_hours!$A$2:$B$1000,2,FALSE),"")</f>
        <v/>
      </c>
    </row>
    <row r="314" spans="1:13" x14ac:dyDescent="0.25">
      <c r="A314" s="23" t="str">
        <f>IF(vdata_hours!A313=0,"",vdata_hours!A313)</f>
        <v/>
      </c>
      <c r="B314" s="23" t="str">
        <f>IFERROR(INDEX(vdata_regressors!$A$1:$L$2000,MATCH($A314,vdata_regressors!$A$2:$A$2000,0)+1,MATCH(B$2,vdata_regressors!$A$1:$R$1,0)),"")</f>
        <v/>
      </c>
      <c r="C314" s="23" t="str">
        <f>IFERROR(INDEX(vdata_regressors!$A$1:$L$2000,MATCH($A314,vdata_regressors!$A$2:$A$2000,0)+1,MATCH(C$2,vdata_regressors!$A$1:$R$1,0)),"")</f>
        <v/>
      </c>
      <c r="D314" s="23" t="str">
        <f>IFERROR(INDEX(vdata_regressors!$A$1:$L$2000,MATCH($A314,vdata_regressors!$A$2:$A$2000,0)+1,MATCH(D$2,vdata_regressors!$A$1:$R$1,0)),"")</f>
        <v/>
      </c>
      <c r="E314" s="23" t="str">
        <f>IFERROR(INDEX(vdata_regressors!$A$1:$L$2000,MATCH($A314,vdata_regressors!$A$2:$A$2000,0)+1,MATCH(E$2,vdata_regressors!$A$1:$R$1,0)),"")</f>
        <v/>
      </c>
      <c r="F314" s="23" t="str">
        <f>IFERROR(INDEX(vdata_regressors!$A$1:$L$2000,MATCH($A314,vdata_regressors!$A$2:$A$2000,0)+1,MATCH(F$2,vdata_regressors!$A$1:$R$1,0)),"")</f>
        <v/>
      </c>
      <c r="G314" s="23" t="str">
        <f>IFERROR(INDEX(vdata_regressors!$A$1:$L$2000,MATCH($A314,vdata_regressors!$A$2:$A$2000,0)+1,MATCH(G$2,vdata_regressors!$A$1:$R$1,0)),"")</f>
        <v/>
      </c>
      <c r="H314" s="23" t="str">
        <f>IFERROR(INDEX(vdata_regressors!$A$1:$L$2000,MATCH($A314,vdata_regressors!$A$2:$A$2000,0)+1,MATCH(H$2,vdata_regressors!$A$1:$R$1,0)),"")</f>
        <v/>
      </c>
      <c r="I314" s="23" t="str">
        <f>IFERROR(INDEX(vdata_regressors!$A$1:$L$2000,MATCH($A314,vdata_regressors!$A$2:$A$2000,0)+1,MATCH(I$2,vdata_regressors!$A$1:$R$1,0)),"")</f>
        <v/>
      </c>
      <c r="J314" s="23" t="str">
        <f>IFERROR(INDEX(vdata_regressors!$A$1:$L$2000,MATCH($A314,vdata_regressors!$A$2:$A$2000,0)+1,MATCH(J$2,vdata_regressors!$A$1:$R$1,0)),"")</f>
        <v/>
      </c>
      <c r="K314" s="23" t="str">
        <f>IFERROR(INDEX(vdata_regressors!$A$1:$L$2000,MATCH($A314,vdata_regressors!$A$2:$A$2000,0)+1,MATCH(K$2,vdata_regressors!$A$1:$R$1,0)),"")</f>
        <v/>
      </c>
      <c r="L314" s="23" t="str">
        <f>IFERROR(INDEX(vdata_regressors!$A$1:$L$2000,MATCH($A314,vdata_regressors!$A$2:$A$2000,0)+1,MATCH(L$2,vdata_regressors!$A$1:$R$1,0)),"")</f>
        <v/>
      </c>
      <c r="M314" s="23" t="str">
        <f>IFERROR(VLOOKUP(A314,vdata_hours!$A$2:$B$1000,2,FALSE),"")</f>
        <v/>
      </c>
    </row>
    <row r="315" spans="1:13" x14ac:dyDescent="0.25">
      <c r="A315" s="23" t="str">
        <f>IF(vdata_hours!A314=0,"",vdata_hours!A314)</f>
        <v/>
      </c>
      <c r="B315" s="23" t="str">
        <f>IFERROR(INDEX(vdata_regressors!$A$1:$L$2000,MATCH($A315,vdata_regressors!$A$2:$A$2000,0)+1,MATCH(B$2,vdata_regressors!$A$1:$R$1,0)),"")</f>
        <v/>
      </c>
      <c r="C315" s="23" t="str">
        <f>IFERROR(INDEX(vdata_regressors!$A$1:$L$2000,MATCH($A315,vdata_regressors!$A$2:$A$2000,0)+1,MATCH(C$2,vdata_regressors!$A$1:$R$1,0)),"")</f>
        <v/>
      </c>
      <c r="D315" s="23" t="str">
        <f>IFERROR(INDEX(vdata_regressors!$A$1:$L$2000,MATCH($A315,vdata_regressors!$A$2:$A$2000,0)+1,MATCH(D$2,vdata_regressors!$A$1:$R$1,0)),"")</f>
        <v/>
      </c>
      <c r="E315" s="23" t="str">
        <f>IFERROR(INDEX(vdata_regressors!$A$1:$L$2000,MATCH($A315,vdata_regressors!$A$2:$A$2000,0)+1,MATCH(E$2,vdata_regressors!$A$1:$R$1,0)),"")</f>
        <v/>
      </c>
      <c r="F315" s="23" t="str">
        <f>IFERROR(INDEX(vdata_regressors!$A$1:$L$2000,MATCH($A315,vdata_regressors!$A$2:$A$2000,0)+1,MATCH(F$2,vdata_regressors!$A$1:$R$1,0)),"")</f>
        <v/>
      </c>
      <c r="G315" s="23" t="str">
        <f>IFERROR(INDEX(vdata_regressors!$A$1:$L$2000,MATCH($A315,vdata_regressors!$A$2:$A$2000,0)+1,MATCH(G$2,vdata_regressors!$A$1:$R$1,0)),"")</f>
        <v/>
      </c>
      <c r="H315" s="23" t="str">
        <f>IFERROR(INDEX(vdata_regressors!$A$1:$L$2000,MATCH($A315,vdata_regressors!$A$2:$A$2000,0)+1,MATCH(H$2,vdata_regressors!$A$1:$R$1,0)),"")</f>
        <v/>
      </c>
      <c r="I315" s="23" t="str">
        <f>IFERROR(INDEX(vdata_regressors!$A$1:$L$2000,MATCH($A315,vdata_regressors!$A$2:$A$2000,0)+1,MATCH(I$2,vdata_regressors!$A$1:$R$1,0)),"")</f>
        <v/>
      </c>
      <c r="J315" s="23" t="str">
        <f>IFERROR(INDEX(vdata_regressors!$A$1:$L$2000,MATCH($A315,vdata_regressors!$A$2:$A$2000,0)+1,MATCH(J$2,vdata_regressors!$A$1:$R$1,0)),"")</f>
        <v/>
      </c>
      <c r="K315" s="23" t="str">
        <f>IFERROR(INDEX(vdata_regressors!$A$1:$L$2000,MATCH($A315,vdata_regressors!$A$2:$A$2000,0)+1,MATCH(K$2,vdata_regressors!$A$1:$R$1,0)),"")</f>
        <v/>
      </c>
      <c r="L315" s="23" t="str">
        <f>IFERROR(INDEX(vdata_regressors!$A$1:$L$2000,MATCH($A315,vdata_regressors!$A$2:$A$2000,0)+1,MATCH(L$2,vdata_regressors!$A$1:$R$1,0)),"")</f>
        <v/>
      </c>
      <c r="M315" s="23" t="str">
        <f>IFERROR(VLOOKUP(A315,vdata_hours!$A$2:$B$1000,2,FALSE),"")</f>
        <v/>
      </c>
    </row>
    <row r="316" spans="1:13" x14ac:dyDescent="0.25">
      <c r="A316" s="23" t="str">
        <f>IF(vdata_hours!A315=0,"",vdata_hours!A315)</f>
        <v/>
      </c>
      <c r="B316" s="23" t="str">
        <f>IFERROR(INDEX(vdata_regressors!$A$1:$L$2000,MATCH($A316,vdata_regressors!$A$2:$A$2000,0)+1,MATCH(B$2,vdata_regressors!$A$1:$R$1,0)),"")</f>
        <v/>
      </c>
      <c r="C316" s="23" t="str">
        <f>IFERROR(INDEX(vdata_regressors!$A$1:$L$2000,MATCH($A316,vdata_regressors!$A$2:$A$2000,0)+1,MATCH(C$2,vdata_regressors!$A$1:$R$1,0)),"")</f>
        <v/>
      </c>
      <c r="D316" s="23" t="str">
        <f>IFERROR(INDEX(vdata_regressors!$A$1:$L$2000,MATCH($A316,vdata_regressors!$A$2:$A$2000,0)+1,MATCH(D$2,vdata_regressors!$A$1:$R$1,0)),"")</f>
        <v/>
      </c>
      <c r="E316" s="23" t="str">
        <f>IFERROR(INDEX(vdata_regressors!$A$1:$L$2000,MATCH($A316,vdata_regressors!$A$2:$A$2000,0)+1,MATCH(E$2,vdata_regressors!$A$1:$R$1,0)),"")</f>
        <v/>
      </c>
      <c r="F316" s="23" t="str">
        <f>IFERROR(INDEX(vdata_regressors!$A$1:$L$2000,MATCH($A316,vdata_regressors!$A$2:$A$2000,0)+1,MATCH(F$2,vdata_regressors!$A$1:$R$1,0)),"")</f>
        <v/>
      </c>
      <c r="G316" s="23" t="str">
        <f>IFERROR(INDEX(vdata_regressors!$A$1:$L$2000,MATCH($A316,vdata_regressors!$A$2:$A$2000,0)+1,MATCH(G$2,vdata_regressors!$A$1:$R$1,0)),"")</f>
        <v/>
      </c>
      <c r="H316" s="23" t="str">
        <f>IFERROR(INDEX(vdata_regressors!$A$1:$L$2000,MATCH($A316,vdata_regressors!$A$2:$A$2000,0)+1,MATCH(H$2,vdata_regressors!$A$1:$R$1,0)),"")</f>
        <v/>
      </c>
      <c r="I316" s="23" t="str">
        <f>IFERROR(INDEX(vdata_regressors!$A$1:$L$2000,MATCH($A316,vdata_regressors!$A$2:$A$2000,0)+1,MATCH(I$2,vdata_regressors!$A$1:$R$1,0)),"")</f>
        <v/>
      </c>
      <c r="J316" s="23" t="str">
        <f>IFERROR(INDEX(vdata_regressors!$A$1:$L$2000,MATCH($A316,vdata_regressors!$A$2:$A$2000,0)+1,MATCH(J$2,vdata_regressors!$A$1:$R$1,0)),"")</f>
        <v/>
      </c>
      <c r="K316" s="23" t="str">
        <f>IFERROR(INDEX(vdata_regressors!$A$1:$L$2000,MATCH($A316,vdata_regressors!$A$2:$A$2000,0)+1,MATCH(K$2,vdata_regressors!$A$1:$R$1,0)),"")</f>
        <v/>
      </c>
      <c r="L316" s="23" t="str">
        <f>IFERROR(INDEX(vdata_regressors!$A$1:$L$2000,MATCH($A316,vdata_regressors!$A$2:$A$2000,0)+1,MATCH(L$2,vdata_regressors!$A$1:$R$1,0)),"")</f>
        <v/>
      </c>
      <c r="M316" s="23" t="str">
        <f>IFERROR(VLOOKUP(A316,vdata_hours!$A$2:$B$1000,2,FALSE),"")</f>
        <v/>
      </c>
    </row>
    <row r="317" spans="1:13" x14ac:dyDescent="0.25">
      <c r="A317" s="23" t="str">
        <f>IF(vdata_hours!A316=0,"",vdata_hours!A316)</f>
        <v/>
      </c>
      <c r="B317" s="23" t="str">
        <f>IFERROR(INDEX(vdata_regressors!$A$1:$L$2000,MATCH($A317,vdata_regressors!$A$2:$A$2000,0)+1,MATCH(B$2,vdata_regressors!$A$1:$R$1,0)),"")</f>
        <v/>
      </c>
      <c r="C317" s="23" t="str">
        <f>IFERROR(INDEX(vdata_regressors!$A$1:$L$2000,MATCH($A317,vdata_regressors!$A$2:$A$2000,0)+1,MATCH(C$2,vdata_regressors!$A$1:$R$1,0)),"")</f>
        <v/>
      </c>
      <c r="D317" s="23" t="str">
        <f>IFERROR(INDEX(vdata_regressors!$A$1:$L$2000,MATCH($A317,vdata_regressors!$A$2:$A$2000,0)+1,MATCH(D$2,vdata_regressors!$A$1:$R$1,0)),"")</f>
        <v/>
      </c>
      <c r="E317" s="23" t="str">
        <f>IFERROR(INDEX(vdata_regressors!$A$1:$L$2000,MATCH($A317,vdata_regressors!$A$2:$A$2000,0)+1,MATCH(E$2,vdata_regressors!$A$1:$R$1,0)),"")</f>
        <v/>
      </c>
      <c r="F317" s="23" t="str">
        <f>IFERROR(INDEX(vdata_regressors!$A$1:$L$2000,MATCH($A317,vdata_regressors!$A$2:$A$2000,0)+1,MATCH(F$2,vdata_regressors!$A$1:$R$1,0)),"")</f>
        <v/>
      </c>
      <c r="G317" s="23" t="str">
        <f>IFERROR(INDEX(vdata_regressors!$A$1:$L$2000,MATCH($A317,vdata_regressors!$A$2:$A$2000,0)+1,MATCH(G$2,vdata_regressors!$A$1:$R$1,0)),"")</f>
        <v/>
      </c>
      <c r="H317" s="23" t="str">
        <f>IFERROR(INDEX(vdata_regressors!$A$1:$L$2000,MATCH($A317,vdata_regressors!$A$2:$A$2000,0)+1,MATCH(H$2,vdata_regressors!$A$1:$R$1,0)),"")</f>
        <v/>
      </c>
      <c r="I317" s="23" t="str">
        <f>IFERROR(INDEX(vdata_regressors!$A$1:$L$2000,MATCH($A317,vdata_regressors!$A$2:$A$2000,0)+1,MATCH(I$2,vdata_regressors!$A$1:$R$1,0)),"")</f>
        <v/>
      </c>
      <c r="J317" s="23" t="str">
        <f>IFERROR(INDEX(vdata_regressors!$A$1:$L$2000,MATCH($A317,vdata_regressors!$A$2:$A$2000,0)+1,MATCH(J$2,vdata_regressors!$A$1:$R$1,0)),"")</f>
        <v/>
      </c>
      <c r="K317" s="23" t="str">
        <f>IFERROR(INDEX(vdata_regressors!$A$1:$L$2000,MATCH($A317,vdata_regressors!$A$2:$A$2000,0)+1,MATCH(K$2,vdata_regressors!$A$1:$R$1,0)),"")</f>
        <v/>
      </c>
      <c r="L317" s="23" t="str">
        <f>IFERROR(INDEX(vdata_regressors!$A$1:$L$2000,MATCH($A317,vdata_regressors!$A$2:$A$2000,0)+1,MATCH(L$2,vdata_regressors!$A$1:$R$1,0)),"")</f>
        <v/>
      </c>
      <c r="M317" s="23" t="str">
        <f>IFERROR(VLOOKUP(A317,vdata_hours!$A$2:$B$1000,2,FALSE),"")</f>
        <v/>
      </c>
    </row>
    <row r="318" spans="1:13" x14ac:dyDescent="0.25">
      <c r="A318" s="23" t="str">
        <f>IF(vdata_hours!A317=0,"",vdata_hours!A317)</f>
        <v/>
      </c>
      <c r="B318" s="23" t="str">
        <f>IFERROR(INDEX(vdata_regressors!$A$1:$L$2000,MATCH($A318,vdata_regressors!$A$2:$A$2000,0)+1,MATCH(B$2,vdata_regressors!$A$1:$R$1,0)),"")</f>
        <v/>
      </c>
      <c r="C318" s="23" t="str">
        <f>IFERROR(INDEX(vdata_regressors!$A$1:$L$2000,MATCH($A318,vdata_regressors!$A$2:$A$2000,0)+1,MATCH(C$2,vdata_regressors!$A$1:$R$1,0)),"")</f>
        <v/>
      </c>
      <c r="D318" s="23" t="str">
        <f>IFERROR(INDEX(vdata_regressors!$A$1:$L$2000,MATCH($A318,vdata_regressors!$A$2:$A$2000,0)+1,MATCH(D$2,vdata_regressors!$A$1:$R$1,0)),"")</f>
        <v/>
      </c>
      <c r="E318" s="23" t="str">
        <f>IFERROR(INDEX(vdata_regressors!$A$1:$L$2000,MATCH($A318,vdata_regressors!$A$2:$A$2000,0)+1,MATCH(E$2,vdata_regressors!$A$1:$R$1,0)),"")</f>
        <v/>
      </c>
      <c r="F318" s="23" t="str">
        <f>IFERROR(INDEX(vdata_regressors!$A$1:$L$2000,MATCH($A318,vdata_regressors!$A$2:$A$2000,0)+1,MATCH(F$2,vdata_regressors!$A$1:$R$1,0)),"")</f>
        <v/>
      </c>
      <c r="G318" s="23" t="str">
        <f>IFERROR(INDEX(vdata_regressors!$A$1:$L$2000,MATCH($A318,vdata_regressors!$A$2:$A$2000,0)+1,MATCH(G$2,vdata_regressors!$A$1:$R$1,0)),"")</f>
        <v/>
      </c>
      <c r="H318" s="23" t="str">
        <f>IFERROR(INDEX(vdata_regressors!$A$1:$L$2000,MATCH($A318,vdata_regressors!$A$2:$A$2000,0)+1,MATCH(H$2,vdata_regressors!$A$1:$R$1,0)),"")</f>
        <v/>
      </c>
      <c r="I318" s="23" t="str">
        <f>IFERROR(INDEX(vdata_regressors!$A$1:$L$2000,MATCH($A318,vdata_regressors!$A$2:$A$2000,0)+1,MATCH(I$2,vdata_regressors!$A$1:$R$1,0)),"")</f>
        <v/>
      </c>
      <c r="J318" s="23" t="str">
        <f>IFERROR(INDEX(vdata_regressors!$A$1:$L$2000,MATCH($A318,vdata_regressors!$A$2:$A$2000,0)+1,MATCH(J$2,vdata_regressors!$A$1:$R$1,0)),"")</f>
        <v/>
      </c>
      <c r="K318" s="23" t="str">
        <f>IFERROR(INDEX(vdata_regressors!$A$1:$L$2000,MATCH($A318,vdata_regressors!$A$2:$A$2000,0)+1,MATCH(K$2,vdata_regressors!$A$1:$R$1,0)),"")</f>
        <v/>
      </c>
      <c r="L318" s="23" t="str">
        <f>IFERROR(INDEX(vdata_regressors!$A$1:$L$2000,MATCH($A318,vdata_regressors!$A$2:$A$2000,0)+1,MATCH(L$2,vdata_regressors!$A$1:$R$1,0)),"")</f>
        <v/>
      </c>
      <c r="M318" s="23" t="str">
        <f>IFERROR(VLOOKUP(A318,vdata_hours!$A$2:$B$1000,2,FALSE),"")</f>
        <v/>
      </c>
    </row>
    <row r="319" spans="1:13" x14ac:dyDescent="0.25">
      <c r="A319" s="23" t="str">
        <f>IF(vdata_hours!A318=0,"",vdata_hours!A318)</f>
        <v/>
      </c>
      <c r="B319" s="23" t="str">
        <f>IFERROR(INDEX(vdata_regressors!$A$1:$L$2000,MATCH($A319,vdata_regressors!$A$2:$A$2000,0)+1,MATCH(B$2,vdata_regressors!$A$1:$R$1,0)),"")</f>
        <v/>
      </c>
      <c r="C319" s="23" t="str">
        <f>IFERROR(INDEX(vdata_regressors!$A$1:$L$2000,MATCH($A319,vdata_regressors!$A$2:$A$2000,0)+1,MATCH(C$2,vdata_regressors!$A$1:$R$1,0)),"")</f>
        <v/>
      </c>
      <c r="D319" s="23" t="str">
        <f>IFERROR(INDEX(vdata_regressors!$A$1:$L$2000,MATCH($A319,vdata_regressors!$A$2:$A$2000,0)+1,MATCH(D$2,vdata_regressors!$A$1:$R$1,0)),"")</f>
        <v/>
      </c>
      <c r="E319" s="23" t="str">
        <f>IFERROR(INDEX(vdata_regressors!$A$1:$L$2000,MATCH($A319,vdata_regressors!$A$2:$A$2000,0)+1,MATCH(E$2,vdata_regressors!$A$1:$R$1,0)),"")</f>
        <v/>
      </c>
      <c r="F319" s="23" t="str">
        <f>IFERROR(INDEX(vdata_regressors!$A$1:$L$2000,MATCH($A319,vdata_regressors!$A$2:$A$2000,0)+1,MATCH(F$2,vdata_regressors!$A$1:$R$1,0)),"")</f>
        <v/>
      </c>
      <c r="G319" s="23" t="str">
        <f>IFERROR(INDEX(vdata_regressors!$A$1:$L$2000,MATCH($A319,vdata_regressors!$A$2:$A$2000,0)+1,MATCH(G$2,vdata_regressors!$A$1:$R$1,0)),"")</f>
        <v/>
      </c>
      <c r="H319" s="23" t="str">
        <f>IFERROR(INDEX(vdata_regressors!$A$1:$L$2000,MATCH($A319,vdata_regressors!$A$2:$A$2000,0)+1,MATCH(H$2,vdata_regressors!$A$1:$R$1,0)),"")</f>
        <v/>
      </c>
      <c r="I319" s="23" t="str">
        <f>IFERROR(INDEX(vdata_regressors!$A$1:$L$2000,MATCH($A319,vdata_regressors!$A$2:$A$2000,0)+1,MATCH(I$2,vdata_regressors!$A$1:$R$1,0)),"")</f>
        <v/>
      </c>
      <c r="J319" s="23" t="str">
        <f>IFERROR(INDEX(vdata_regressors!$A$1:$L$2000,MATCH($A319,vdata_regressors!$A$2:$A$2000,0)+1,MATCH(J$2,vdata_regressors!$A$1:$R$1,0)),"")</f>
        <v/>
      </c>
      <c r="K319" s="23" t="str">
        <f>IFERROR(INDEX(vdata_regressors!$A$1:$L$2000,MATCH($A319,vdata_regressors!$A$2:$A$2000,0)+1,MATCH(K$2,vdata_regressors!$A$1:$R$1,0)),"")</f>
        <v/>
      </c>
      <c r="L319" s="23" t="str">
        <f>IFERROR(INDEX(vdata_regressors!$A$1:$L$2000,MATCH($A319,vdata_regressors!$A$2:$A$2000,0)+1,MATCH(L$2,vdata_regressors!$A$1:$R$1,0)),"")</f>
        <v/>
      </c>
      <c r="M319" s="23" t="str">
        <f>IFERROR(VLOOKUP(A319,vdata_hours!$A$2:$B$1000,2,FALSE),"")</f>
        <v/>
      </c>
    </row>
    <row r="320" spans="1:13" x14ac:dyDescent="0.25">
      <c r="A320" s="23" t="str">
        <f>IF(vdata_hours!A319=0,"",vdata_hours!A319)</f>
        <v/>
      </c>
      <c r="B320" s="23" t="str">
        <f>IFERROR(INDEX(vdata_regressors!$A$1:$L$2000,MATCH($A320,vdata_regressors!$A$2:$A$2000,0)+1,MATCH(B$2,vdata_regressors!$A$1:$R$1,0)),"")</f>
        <v/>
      </c>
      <c r="C320" s="23" t="str">
        <f>IFERROR(INDEX(vdata_regressors!$A$1:$L$2000,MATCH($A320,vdata_regressors!$A$2:$A$2000,0)+1,MATCH(C$2,vdata_regressors!$A$1:$R$1,0)),"")</f>
        <v/>
      </c>
      <c r="D320" s="23" t="str">
        <f>IFERROR(INDEX(vdata_regressors!$A$1:$L$2000,MATCH($A320,vdata_regressors!$A$2:$A$2000,0)+1,MATCH(D$2,vdata_regressors!$A$1:$R$1,0)),"")</f>
        <v/>
      </c>
      <c r="E320" s="23" t="str">
        <f>IFERROR(INDEX(vdata_regressors!$A$1:$L$2000,MATCH($A320,vdata_regressors!$A$2:$A$2000,0)+1,MATCH(E$2,vdata_regressors!$A$1:$R$1,0)),"")</f>
        <v/>
      </c>
      <c r="F320" s="23" t="str">
        <f>IFERROR(INDEX(vdata_regressors!$A$1:$L$2000,MATCH($A320,vdata_regressors!$A$2:$A$2000,0)+1,MATCH(F$2,vdata_regressors!$A$1:$R$1,0)),"")</f>
        <v/>
      </c>
      <c r="G320" s="23" t="str">
        <f>IFERROR(INDEX(vdata_regressors!$A$1:$L$2000,MATCH($A320,vdata_regressors!$A$2:$A$2000,0)+1,MATCH(G$2,vdata_regressors!$A$1:$R$1,0)),"")</f>
        <v/>
      </c>
      <c r="H320" s="23" t="str">
        <f>IFERROR(INDEX(vdata_regressors!$A$1:$L$2000,MATCH($A320,vdata_regressors!$A$2:$A$2000,0)+1,MATCH(H$2,vdata_regressors!$A$1:$R$1,0)),"")</f>
        <v/>
      </c>
      <c r="I320" s="23" t="str">
        <f>IFERROR(INDEX(vdata_regressors!$A$1:$L$2000,MATCH($A320,vdata_regressors!$A$2:$A$2000,0)+1,MATCH(I$2,vdata_regressors!$A$1:$R$1,0)),"")</f>
        <v/>
      </c>
      <c r="J320" s="23" t="str">
        <f>IFERROR(INDEX(vdata_regressors!$A$1:$L$2000,MATCH($A320,vdata_regressors!$A$2:$A$2000,0)+1,MATCH(J$2,vdata_regressors!$A$1:$R$1,0)),"")</f>
        <v/>
      </c>
      <c r="K320" s="23" t="str">
        <f>IFERROR(INDEX(vdata_regressors!$A$1:$L$2000,MATCH($A320,vdata_regressors!$A$2:$A$2000,0)+1,MATCH(K$2,vdata_regressors!$A$1:$R$1,0)),"")</f>
        <v/>
      </c>
      <c r="L320" s="23" t="str">
        <f>IFERROR(INDEX(vdata_regressors!$A$1:$L$2000,MATCH($A320,vdata_regressors!$A$2:$A$2000,0)+1,MATCH(L$2,vdata_regressors!$A$1:$R$1,0)),"")</f>
        <v/>
      </c>
      <c r="M320" s="23" t="str">
        <f>IFERROR(VLOOKUP(A320,vdata_hours!$A$2:$B$1000,2,FALSE),"")</f>
        <v/>
      </c>
    </row>
    <row r="321" spans="1:13" x14ac:dyDescent="0.25">
      <c r="A321" s="23" t="str">
        <f>IF(vdata_hours!A320=0,"",vdata_hours!A320)</f>
        <v/>
      </c>
      <c r="B321" s="23" t="str">
        <f>IFERROR(INDEX(vdata_regressors!$A$1:$L$2000,MATCH($A321,vdata_regressors!$A$2:$A$2000,0)+1,MATCH(B$2,vdata_regressors!$A$1:$R$1,0)),"")</f>
        <v/>
      </c>
      <c r="C321" s="23" t="str">
        <f>IFERROR(INDEX(vdata_regressors!$A$1:$L$2000,MATCH($A321,vdata_regressors!$A$2:$A$2000,0)+1,MATCH(C$2,vdata_regressors!$A$1:$R$1,0)),"")</f>
        <v/>
      </c>
      <c r="D321" s="23" t="str">
        <f>IFERROR(INDEX(vdata_regressors!$A$1:$L$2000,MATCH($A321,vdata_regressors!$A$2:$A$2000,0)+1,MATCH(D$2,vdata_regressors!$A$1:$R$1,0)),"")</f>
        <v/>
      </c>
      <c r="E321" s="23" t="str">
        <f>IFERROR(INDEX(vdata_regressors!$A$1:$L$2000,MATCH($A321,vdata_regressors!$A$2:$A$2000,0)+1,MATCH(E$2,vdata_regressors!$A$1:$R$1,0)),"")</f>
        <v/>
      </c>
      <c r="F321" s="23" t="str">
        <f>IFERROR(INDEX(vdata_regressors!$A$1:$L$2000,MATCH($A321,vdata_regressors!$A$2:$A$2000,0)+1,MATCH(F$2,vdata_regressors!$A$1:$R$1,0)),"")</f>
        <v/>
      </c>
      <c r="G321" s="23" t="str">
        <f>IFERROR(INDEX(vdata_regressors!$A$1:$L$2000,MATCH($A321,vdata_regressors!$A$2:$A$2000,0)+1,MATCH(G$2,vdata_regressors!$A$1:$R$1,0)),"")</f>
        <v/>
      </c>
      <c r="H321" s="23" t="str">
        <f>IFERROR(INDEX(vdata_regressors!$A$1:$L$2000,MATCH($A321,vdata_regressors!$A$2:$A$2000,0)+1,MATCH(H$2,vdata_regressors!$A$1:$R$1,0)),"")</f>
        <v/>
      </c>
      <c r="I321" s="23" t="str">
        <f>IFERROR(INDEX(vdata_regressors!$A$1:$L$2000,MATCH($A321,vdata_regressors!$A$2:$A$2000,0)+1,MATCH(I$2,vdata_regressors!$A$1:$R$1,0)),"")</f>
        <v/>
      </c>
      <c r="J321" s="23" t="str">
        <f>IFERROR(INDEX(vdata_regressors!$A$1:$L$2000,MATCH($A321,vdata_regressors!$A$2:$A$2000,0)+1,MATCH(J$2,vdata_regressors!$A$1:$R$1,0)),"")</f>
        <v/>
      </c>
      <c r="K321" s="23" t="str">
        <f>IFERROR(INDEX(vdata_regressors!$A$1:$L$2000,MATCH($A321,vdata_regressors!$A$2:$A$2000,0)+1,MATCH(K$2,vdata_regressors!$A$1:$R$1,0)),"")</f>
        <v/>
      </c>
      <c r="L321" s="23" t="str">
        <f>IFERROR(INDEX(vdata_regressors!$A$1:$L$2000,MATCH($A321,vdata_regressors!$A$2:$A$2000,0)+1,MATCH(L$2,vdata_regressors!$A$1:$R$1,0)),"")</f>
        <v/>
      </c>
      <c r="M321" s="23" t="str">
        <f>IFERROR(VLOOKUP(A321,vdata_hours!$A$2:$B$1000,2,FALSE),"")</f>
        <v/>
      </c>
    </row>
    <row r="322" spans="1:13" x14ac:dyDescent="0.25">
      <c r="A322" s="23" t="str">
        <f>IF(vdata_hours!A321=0,"",vdata_hours!A321)</f>
        <v/>
      </c>
      <c r="B322" s="23" t="str">
        <f>IFERROR(INDEX(vdata_regressors!$A$1:$L$2000,MATCH($A322,vdata_regressors!$A$2:$A$2000,0)+1,MATCH(B$2,vdata_regressors!$A$1:$R$1,0)),"")</f>
        <v/>
      </c>
      <c r="C322" s="23" t="str">
        <f>IFERROR(INDEX(vdata_regressors!$A$1:$L$2000,MATCH($A322,vdata_regressors!$A$2:$A$2000,0)+1,MATCH(C$2,vdata_regressors!$A$1:$R$1,0)),"")</f>
        <v/>
      </c>
      <c r="D322" s="23" t="str">
        <f>IFERROR(INDEX(vdata_regressors!$A$1:$L$2000,MATCH($A322,vdata_regressors!$A$2:$A$2000,0)+1,MATCH(D$2,vdata_regressors!$A$1:$R$1,0)),"")</f>
        <v/>
      </c>
      <c r="E322" s="23" t="str">
        <f>IFERROR(INDEX(vdata_regressors!$A$1:$L$2000,MATCH($A322,vdata_regressors!$A$2:$A$2000,0)+1,MATCH(E$2,vdata_regressors!$A$1:$R$1,0)),"")</f>
        <v/>
      </c>
      <c r="F322" s="23" t="str">
        <f>IFERROR(INDEX(vdata_regressors!$A$1:$L$2000,MATCH($A322,vdata_regressors!$A$2:$A$2000,0)+1,MATCH(F$2,vdata_regressors!$A$1:$R$1,0)),"")</f>
        <v/>
      </c>
      <c r="G322" s="23" t="str">
        <f>IFERROR(INDEX(vdata_regressors!$A$1:$L$2000,MATCH($A322,vdata_regressors!$A$2:$A$2000,0)+1,MATCH(G$2,vdata_regressors!$A$1:$R$1,0)),"")</f>
        <v/>
      </c>
      <c r="H322" s="23" t="str">
        <f>IFERROR(INDEX(vdata_regressors!$A$1:$L$2000,MATCH($A322,vdata_regressors!$A$2:$A$2000,0)+1,MATCH(H$2,vdata_regressors!$A$1:$R$1,0)),"")</f>
        <v/>
      </c>
      <c r="I322" s="23" t="str">
        <f>IFERROR(INDEX(vdata_regressors!$A$1:$L$2000,MATCH($A322,vdata_regressors!$A$2:$A$2000,0)+1,MATCH(I$2,vdata_regressors!$A$1:$R$1,0)),"")</f>
        <v/>
      </c>
      <c r="J322" s="23" t="str">
        <f>IFERROR(INDEX(vdata_regressors!$A$1:$L$2000,MATCH($A322,vdata_regressors!$A$2:$A$2000,0)+1,MATCH(J$2,vdata_regressors!$A$1:$R$1,0)),"")</f>
        <v/>
      </c>
      <c r="K322" s="23" t="str">
        <f>IFERROR(INDEX(vdata_regressors!$A$1:$L$2000,MATCH($A322,vdata_regressors!$A$2:$A$2000,0)+1,MATCH(K$2,vdata_regressors!$A$1:$R$1,0)),"")</f>
        <v/>
      </c>
      <c r="L322" s="23" t="str">
        <f>IFERROR(INDEX(vdata_regressors!$A$1:$L$2000,MATCH($A322,vdata_regressors!$A$2:$A$2000,0)+1,MATCH(L$2,vdata_regressors!$A$1:$R$1,0)),"")</f>
        <v/>
      </c>
      <c r="M322" s="23" t="str">
        <f>IFERROR(VLOOKUP(A322,vdata_hours!$A$2:$B$1000,2,FALSE),"")</f>
        <v/>
      </c>
    </row>
    <row r="323" spans="1:13" x14ac:dyDescent="0.25">
      <c r="A323" s="23" t="str">
        <f>IF(vdata_hours!A322=0,"",vdata_hours!A322)</f>
        <v/>
      </c>
      <c r="B323" s="23" t="str">
        <f>IFERROR(INDEX(vdata_regressors!$A$1:$L$2000,MATCH($A323,vdata_regressors!$A$2:$A$2000,0)+1,MATCH(B$2,vdata_regressors!$A$1:$R$1,0)),"")</f>
        <v/>
      </c>
      <c r="C323" s="23" t="str">
        <f>IFERROR(INDEX(vdata_regressors!$A$1:$L$2000,MATCH($A323,vdata_regressors!$A$2:$A$2000,0)+1,MATCH(C$2,vdata_regressors!$A$1:$R$1,0)),"")</f>
        <v/>
      </c>
      <c r="D323" s="23" t="str">
        <f>IFERROR(INDEX(vdata_regressors!$A$1:$L$2000,MATCH($A323,vdata_regressors!$A$2:$A$2000,0)+1,MATCH(D$2,vdata_regressors!$A$1:$R$1,0)),"")</f>
        <v/>
      </c>
      <c r="E323" s="23" t="str">
        <f>IFERROR(INDEX(vdata_regressors!$A$1:$L$2000,MATCH($A323,vdata_regressors!$A$2:$A$2000,0)+1,MATCH(E$2,vdata_regressors!$A$1:$R$1,0)),"")</f>
        <v/>
      </c>
      <c r="F323" s="23" t="str">
        <f>IFERROR(INDEX(vdata_regressors!$A$1:$L$2000,MATCH($A323,vdata_regressors!$A$2:$A$2000,0)+1,MATCH(F$2,vdata_regressors!$A$1:$R$1,0)),"")</f>
        <v/>
      </c>
      <c r="G323" s="23" t="str">
        <f>IFERROR(INDEX(vdata_regressors!$A$1:$L$2000,MATCH($A323,vdata_regressors!$A$2:$A$2000,0)+1,MATCH(G$2,vdata_regressors!$A$1:$R$1,0)),"")</f>
        <v/>
      </c>
      <c r="H323" s="23" t="str">
        <f>IFERROR(INDEX(vdata_regressors!$A$1:$L$2000,MATCH($A323,vdata_regressors!$A$2:$A$2000,0)+1,MATCH(H$2,vdata_regressors!$A$1:$R$1,0)),"")</f>
        <v/>
      </c>
      <c r="I323" s="23" t="str">
        <f>IFERROR(INDEX(vdata_regressors!$A$1:$L$2000,MATCH($A323,vdata_regressors!$A$2:$A$2000,0)+1,MATCH(I$2,vdata_regressors!$A$1:$R$1,0)),"")</f>
        <v/>
      </c>
      <c r="J323" s="23" t="str">
        <f>IFERROR(INDEX(vdata_regressors!$A$1:$L$2000,MATCH($A323,vdata_regressors!$A$2:$A$2000,0)+1,MATCH(J$2,vdata_regressors!$A$1:$R$1,0)),"")</f>
        <v/>
      </c>
      <c r="K323" s="23" t="str">
        <f>IFERROR(INDEX(vdata_regressors!$A$1:$L$2000,MATCH($A323,vdata_regressors!$A$2:$A$2000,0)+1,MATCH(K$2,vdata_regressors!$A$1:$R$1,0)),"")</f>
        <v/>
      </c>
      <c r="L323" s="23" t="str">
        <f>IFERROR(INDEX(vdata_regressors!$A$1:$L$2000,MATCH($A323,vdata_regressors!$A$2:$A$2000,0)+1,MATCH(L$2,vdata_regressors!$A$1:$R$1,0)),"")</f>
        <v/>
      </c>
      <c r="M323" s="23" t="str">
        <f>IFERROR(VLOOKUP(A323,vdata_hours!$A$2:$B$1000,2,FALSE),"")</f>
        <v/>
      </c>
    </row>
    <row r="324" spans="1:13" x14ac:dyDescent="0.25">
      <c r="A324" s="23" t="str">
        <f>IF(vdata_hours!A323=0,"",vdata_hours!A323)</f>
        <v/>
      </c>
      <c r="B324" s="23" t="str">
        <f>IFERROR(INDEX(vdata_regressors!$A$1:$L$2000,MATCH($A324,vdata_regressors!$A$2:$A$2000,0)+1,MATCH(B$2,vdata_regressors!$A$1:$R$1,0)),"")</f>
        <v/>
      </c>
      <c r="C324" s="23" t="str">
        <f>IFERROR(INDEX(vdata_regressors!$A$1:$L$2000,MATCH($A324,vdata_regressors!$A$2:$A$2000,0)+1,MATCH(C$2,vdata_regressors!$A$1:$R$1,0)),"")</f>
        <v/>
      </c>
      <c r="D324" s="23" t="str">
        <f>IFERROR(INDEX(vdata_regressors!$A$1:$L$2000,MATCH($A324,vdata_regressors!$A$2:$A$2000,0)+1,MATCH(D$2,vdata_regressors!$A$1:$R$1,0)),"")</f>
        <v/>
      </c>
      <c r="E324" s="23" t="str">
        <f>IFERROR(INDEX(vdata_regressors!$A$1:$L$2000,MATCH($A324,vdata_regressors!$A$2:$A$2000,0)+1,MATCH(E$2,vdata_regressors!$A$1:$R$1,0)),"")</f>
        <v/>
      </c>
      <c r="F324" s="23" t="str">
        <f>IFERROR(INDEX(vdata_regressors!$A$1:$L$2000,MATCH($A324,vdata_regressors!$A$2:$A$2000,0)+1,MATCH(F$2,vdata_regressors!$A$1:$R$1,0)),"")</f>
        <v/>
      </c>
      <c r="G324" s="23" t="str">
        <f>IFERROR(INDEX(vdata_regressors!$A$1:$L$2000,MATCH($A324,vdata_regressors!$A$2:$A$2000,0)+1,MATCH(G$2,vdata_regressors!$A$1:$R$1,0)),"")</f>
        <v/>
      </c>
      <c r="H324" s="23" t="str">
        <f>IFERROR(INDEX(vdata_regressors!$A$1:$L$2000,MATCH($A324,vdata_regressors!$A$2:$A$2000,0)+1,MATCH(H$2,vdata_regressors!$A$1:$R$1,0)),"")</f>
        <v/>
      </c>
      <c r="I324" s="23" t="str">
        <f>IFERROR(INDEX(vdata_regressors!$A$1:$L$2000,MATCH($A324,vdata_regressors!$A$2:$A$2000,0)+1,MATCH(I$2,vdata_regressors!$A$1:$R$1,0)),"")</f>
        <v/>
      </c>
      <c r="J324" s="23" t="str">
        <f>IFERROR(INDEX(vdata_regressors!$A$1:$L$2000,MATCH($A324,vdata_regressors!$A$2:$A$2000,0)+1,MATCH(J$2,vdata_regressors!$A$1:$R$1,0)),"")</f>
        <v/>
      </c>
      <c r="K324" s="23" t="str">
        <f>IFERROR(INDEX(vdata_regressors!$A$1:$L$2000,MATCH($A324,vdata_regressors!$A$2:$A$2000,0)+1,MATCH(K$2,vdata_regressors!$A$1:$R$1,0)),"")</f>
        <v/>
      </c>
      <c r="L324" s="23" t="str">
        <f>IFERROR(INDEX(vdata_regressors!$A$1:$L$2000,MATCH($A324,vdata_regressors!$A$2:$A$2000,0)+1,MATCH(L$2,vdata_regressors!$A$1:$R$1,0)),"")</f>
        <v/>
      </c>
      <c r="M324" s="23" t="str">
        <f>IFERROR(VLOOKUP(A324,vdata_hours!$A$2:$B$1000,2,FALSE),"")</f>
        <v/>
      </c>
    </row>
    <row r="325" spans="1:13" x14ac:dyDescent="0.25">
      <c r="A325" s="23" t="str">
        <f>IF(vdata_hours!A324=0,"",vdata_hours!A324)</f>
        <v/>
      </c>
      <c r="B325" s="23" t="str">
        <f>IFERROR(INDEX(vdata_regressors!$A$1:$L$2000,MATCH($A325,vdata_regressors!$A$2:$A$2000,0)+1,MATCH(B$2,vdata_regressors!$A$1:$R$1,0)),"")</f>
        <v/>
      </c>
      <c r="C325" s="23" t="str">
        <f>IFERROR(INDEX(vdata_regressors!$A$1:$L$2000,MATCH($A325,vdata_regressors!$A$2:$A$2000,0)+1,MATCH(C$2,vdata_regressors!$A$1:$R$1,0)),"")</f>
        <v/>
      </c>
      <c r="D325" s="23" t="str">
        <f>IFERROR(INDEX(vdata_regressors!$A$1:$L$2000,MATCH($A325,vdata_regressors!$A$2:$A$2000,0)+1,MATCH(D$2,vdata_regressors!$A$1:$R$1,0)),"")</f>
        <v/>
      </c>
      <c r="E325" s="23" t="str">
        <f>IFERROR(INDEX(vdata_regressors!$A$1:$L$2000,MATCH($A325,vdata_regressors!$A$2:$A$2000,0)+1,MATCH(E$2,vdata_regressors!$A$1:$R$1,0)),"")</f>
        <v/>
      </c>
      <c r="F325" s="23" t="str">
        <f>IFERROR(INDEX(vdata_regressors!$A$1:$L$2000,MATCH($A325,vdata_regressors!$A$2:$A$2000,0)+1,MATCH(F$2,vdata_regressors!$A$1:$R$1,0)),"")</f>
        <v/>
      </c>
      <c r="G325" s="23" t="str">
        <f>IFERROR(INDEX(vdata_regressors!$A$1:$L$2000,MATCH($A325,vdata_regressors!$A$2:$A$2000,0)+1,MATCH(G$2,vdata_regressors!$A$1:$R$1,0)),"")</f>
        <v/>
      </c>
      <c r="H325" s="23" t="str">
        <f>IFERROR(INDEX(vdata_regressors!$A$1:$L$2000,MATCH($A325,vdata_regressors!$A$2:$A$2000,0)+1,MATCH(H$2,vdata_regressors!$A$1:$R$1,0)),"")</f>
        <v/>
      </c>
      <c r="I325" s="23" t="str">
        <f>IFERROR(INDEX(vdata_regressors!$A$1:$L$2000,MATCH($A325,vdata_regressors!$A$2:$A$2000,0)+1,MATCH(I$2,vdata_regressors!$A$1:$R$1,0)),"")</f>
        <v/>
      </c>
      <c r="J325" s="23" t="str">
        <f>IFERROR(INDEX(vdata_regressors!$A$1:$L$2000,MATCH($A325,vdata_regressors!$A$2:$A$2000,0)+1,MATCH(J$2,vdata_regressors!$A$1:$R$1,0)),"")</f>
        <v/>
      </c>
      <c r="K325" s="23" t="str">
        <f>IFERROR(INDEX(vdata_regressors!$A$1:$L$2000,MATCH($A325,vdata_regressors!$A$2:$A$2000,0)+1,MATCH(K$2,vdata_regressors!$A$1:$R$1,0)),"")</f>
        <v/>
      </c>
      <c r="L325" s="23" t="str">
        <f>IFERROR(INDEX(vdata_regressors!$A$1:$L$2000,MATCH($A325,vdata_regressors!$A$2:$A$2000,0)+1,MATCH(L$2,vdata_regressors!$A$1:$R$1,0)),"")</f>
        <v/>
      </c>
      <c r="M325" s="23" t="str">
        <f>IFERROR(VLOOKUP(A325,vdata_hours!$A$2:$B$1000,2,FALSE),"")</f>
        <v/>
      </c>
    </row>
    <row r="326" spans="1:13" x14ac:dyDescent="0.25">
      <c r="A326" s="23" t="str">
        <f>IF(vdata_hours!A325=0,"",vdata_hours!A325)</f>
        <v/>
      </c>
      <c r="B326" s="23" t="str">
        <f>IFERROR(INDEX(vdata_regressors!$A$1:$L$2000,MATCH($A326,vdata_regressors!$A$2:$A$2000,0)+1,MATCH(B$2,vdata_regressors!$A$1:$R$1,0)),"")</f>
        <v/>
      </c>
      <c r="C326" s="23" t="str">
        <f>IFERROR(INDEX(vdata_regressors!$A$1:$L$2000,MATCH($A326,vdata_regressors!$A$2:$A$2000,0)+1,MATCH(C$2,vdata_regressors!$A$1:$R$1,0)),"")</f>
        <v/>
      </c>
      <c r="D326" s="23" t="str">
        <f>IFERROR(INDEX(vdata_regressors!$A$1:$L$2000,MATCH($A326,vdata_regressors!$A$2:$A$2000,0)+1,MATCH(D$2,vdata_regressors!$A$1:$R$1,0)),"")</f>
        <v/>
      </c>
      <c r="E326" s="23" t="str">
        <f>IFERROR(INDEX(vdata_regressors!$A$1:$L$2000,MATCH($A326,vdata_regressors!$A$2:$A$2000,0)+1,MATCH(E$2,vdata_regressors!$A$1:$R$1,0)),"")</f>
        <v/>
      </c>
      <c r="F326" s="23" t="str">
        <f>IFERROR(INDEX(vdata_regressors!$A$1:$L$2000,MATCH($A326,vdata_regressors!$A$2:$A$2000,0)+1,MATCH(F$2,vdata_regressors!$A$1:$R$1,0)),"")</f>
        <v/>
      </c>
      <c r="G326" s="23" t="str">
        <f>IFERROR(INDEX(vdata_regressors!$A$1:$L$2000,MATCH($A326,vdata_regressors!$A$2:$A$2000,0)+1,MATCH(G$2,vdata_regressors!$A$1:$R$1,0)),"")</f>
        <v/>
      </c>
      <c r="H326" s="23" t="str">
        <f>IFERROR(INDEX(vdata_regressors!$A$1:$L$2000,MATCH($A326,vdata_regressors!$A$2:$A$2000,0)+1,MATCH(H$2,vdata_regressors!$A$1:$R$1,0)),"")</f>
        <v/>
      </c>
      <c r="I326" s="23" t="str">
        <f>IFERROR(INDEX(vdata_regressors!$A$1:$L$2000,MATCH($A326,vdata_regressors!$A$2:$A$2000,0)+1,MATCH(I$2,vdata_regressors!$A$1:$R$1,0)),"")</f>
        <v/>
      </c>
      <c r="J326" s="23" t="str">
        <f>IFERROR(INDEX(vdata_regressors!$A$1:$L$2000,MATCH($A326,vdata_regressors!$A$2:$A$2000,0)+1,MATCH(J$2,vdata_regressors!$A$1:$R$1,0)),"")</f>
        <v/>
      </c>
      <c r="K326" s="23" t="str">
        <f>IFERROR(INDEX(vdata_regressors!$A$1:$L$2000,MATCH($A326,vdata_regressors!$A$2:$A$2000,0)+1,MATCH(K$2,vdata_regressors!$A$1:$R$1,0)),"")</f>
        <v/>
      </c>
      <c r="L326" s="23" t="str">
        <f>IFERROR(INDEX(vdata_regressors!$A$1:$L$2000,MATCH($A326,vdata_regressors!$A$2:$A$2000,0)+1,MATCH(L$2,vdata_regressors!$A$1:$R$1,0)),"")</f>
        <v/>
      </c>
      <c r="M326" s="23" t="str">
        <f>IFERROR(VLOOKUP(A326,vdata_hours!$A$2:$B$1000,2,FALSE),"")</f>
        <v/>
      </c>
    </row>
    <row r="327" spans="1:13" x14ac:dyDescent="0.25">
      <c r="A327" s="23" t="str">
        <f>IF(vdata_hours!A326=0,"",vdata_hours!A326)</f>
        <v/>
      </c>
      <c r="B327" s="23" t="str">
        <f>IFERROR(INDEX(vdata_regressors!$A$1:$L$2000,MATCH($A327,vdata_regressors!$A$2:$A$2000,0)+1,MATCH(B$2,vdata_regressors!$A$1:$R$1,0)),"")</f>
        <v/>
      </c>
      <c r="C327" s="23" t="str">
        <f>IFERROR(INDEX(vdata_regressors!$A$1:$L$2000,MATCH($A327,vdata_regressors!$A$2:$A$2000,0)+1,MATCH(C$2,vdata_regressors!$A$1:$R$1,0)),"")</f>
        <v/>
      </c>
      <c r="D327" s="23" t="str">
        <f>IFERROR(INDEX(vdata_regressors!$A$1:$L$2000,MATCH($A327,vdata_regressors!$A$2:$A$2000,0)+1,MATCH(D$2,vdata_regressors!$A$1:$R$1,0)),"")</f>
        <v/>
      </c>
      <c r="E327" s="23" t="str">
        <f>IFERROR(INDEX(vdata_regressors!$A$1:$L$2000,MATCH($A327,vdata_regressors!$A$2:$A$2000,0)+1,MATCH(E$2,vdata_regressors!$A$1:$R$1,0)),"")</f>
        <v/>
      </c>
      <c r="F327" s="23" t="str">
        <f>IFERROR(INDEX(vdata_regressors!$A$1:$L$2000,MATCH($A327,vdata_regressors!$A$2:$A$2000,0)+1,MATCH(F$2,vdata_regressors!$A$1:$R$1,0)),"")</f>
        <v/>
      </c>
      <c r="G327" s="23" t="str">
        <f>IFERROR(INDEX(vdata_regressors!$A$1:$L$2000,MATCH($A327,vdata_regressors!$A$2:$A$2000,0)+1,MATCH(G$2,vdata_regressors!$A$1:$R$1,0)),"")</f>
        <v/>
      </c>
      <c r="H327" s="23" t="str">
        <f>IFERROR(INDEX(vdata_regressors!$A$1:$L$2000,MATCH($A327,vdata_regressors!$A$2:$A$2000,0)+1,MATCH(H$2,vdata_regressors!$A$1:$R$1,0)),"")</f>
        <v/>
      </c>
      <c r="I327" s="23" t="str">
        <f>IFERROR(INDEX(vdata_regressors!$A$1:$L$2000,MATCH($A327,vdata_regressors!$A$2:$A$2000,0)+1,MATCH(I$2,vdata_regressors!$A$1:$R$1,0)),"")</f>
        <v/>
      </c>
      <c r="J327" s="23" t="str">
        <f>IFERROR(INDEX(vdata_regressors!$A$1:$L$2000,MATCH($A327,vdata_regressors!$A$2:$A$2000,0)+1,MATCH(J$2,vdata_regressors!$A$1:$R$1,0)),"")</f>
        <v/>
      </c>
      <c r="K327" s="23" t="str">
        <f>IFERROR(INDEX(vdata_regressors!$A$1:$L$2000,MATCH($A327,vdata_regressors!$A$2:$A$2000,0)+1,MATCH(K$2,vdata_regressors!$A$1:$R$1,0)),"")</f>
        <v/>
      </c>
      <c r="L327" s="23" t="str">
        <f>IFERROR(INDEX(vdata_regressors!$A$1:$L$2000,MATCH($A327,vdata_regressors!$A$2:$A$2000,0)+1,MATCH(L$2,vdata_regressors!$A$1:$R$1,0)),"")</f>
        <v/>
      </c>
      <c r="M327" s="23" t="str">
        <f>IFERROR(VLOOKUP(A327,vdata_hours!$A$2:$B$1000,2,FALSE),"")</f>
        <v/>
      </c>
    </row>
    <row r="328" spans="1:13" x14ac:dyDescent="0.25">
      <c r="A328" s="23" t="str">
        <f>IF(vdata_hours!A327=0,"",vdata_hours!A327)</f>
        <v/>
      </c>
      <c r="B328" s="23" t="str">
        <f>IFERROR(INDEX(vdata_regressors!$A$1:$L$2000,MATCH($A328,vdata_regressors!$A$2:$A$2000,0)+1,MATCH(B$2,vdata_regressors!$A$1:$R$1,0)),"")</f>
        <v/>
      </c>
      <c r="C328" s="23" t="str">
        <f>IFERROR(INDEX(vdata_regressors!$A$1:$L$2000,MATCH($A328,vdata_regressors!$A$2:$A$2000,0)+1,MATCH(C$2,vdata_regressors!$A$1:$R$1,0)),"")</f>
        <v/>
      </c>
      <c r="D328" s="23" t="str">
        <f>IFERROR(INDEX(vdata_regressors!$A$1:$L$2000,MATCH($A328,vdata_regressors!$A$2:$A$2000,0)+1,MATCH(D$2,vdata_regressors!$A$1:$R$1,0)),"")</f>
        <v/>
      </c>
      <c r="E328" s="23" t="str">
        <f>IFERROR(INDEX(vdata_regressors!$A$1:$L$2000,MATCH($A328,vdata_regressors!$A$2:$A$2000,0)+1,MATCH(E$2,vdata_regressors!$A$1:$R$1,0)),"")</f>
        <v/>
      </c>
      <c r="F328" s="23" t="str">
        <f>IFERROR(INDEX(vdata_regressors!$A$1:$L$2000,MATCH($A328,vdata_regressors!$A$2:$A$2000,0)+1,MATCH(F$2,vdata_regressors!$A$1:$R$1,0)),"")</f>
        <v/>
      </c>
      <c r="G328" s="23" t="str">
        <f>IFERROR(INDEX(vdata_regressors!$A$1:$L$2000,MATCH($A328,vdata_regressors!$A$2:$A$2000,0)+1,MATCH(G$2,vdata_regressors!$A$1:$R$1,0)),"")</f>
        <v/>
      </c>
      <c r="H328" s="23" t="str">
        <f>IFERROR(INDEX(vdata_regressors!$A$1:$L$2000,MATCH($A328,vdata_regressors!$A$2:$A$2000,0)+1,MATCH(H$2,vdata_regressors!$A$1:$R$1,0)),"")</f>
        <v/>
      </c>
      <c r="I328" s="23" t="str">
        <f>IFERROR(INDEX(vdata_regressors!$A$1:$L$2000,MATCH($A328,vdata_regressors!$A$2:$A$2000,0)+1,MATCH(I$2,vdata_regressors!$A$1:$R$1,0)),"")</f>
        <v/>
      </c>
      <c r="J328" s="23" t="str">
        <f>IFERROR(INDEX(vdata_regressors!$A$1:$L$2000,MATCH($A328,vdata_regressors!$A$2:$A$2000,0)+1,MATCH(J$2,vdata_regressors!$A$1:$R$1,0)),"")</f>
        <v/>
      </c>
      <c r="K328" s="23" t="str">
        <f>IFERROR(INDEX(vdata_regressors!$A$1:$L$2000,MATCH($A328,vdata_regressors!$A$2:$A$2000,0)+1,MATCH(K$2,vdata_regressors!$A$1:$R$1,0)),"")</f>
        <v/>
      </c>
      <c r="L328" s="23" t="str">
        <f>IFERROR(INDEX(vdata_regressors!$A$1:$L$2000,MATCH($A328,vdata_regressors!$A$2:$A$2000,0)+1,MATCH(L$2,vdata_regressors!$A$1:$R$1,0)),"")</f>
        <v/>
      </c>
      <c r="M328" s="23" t="str">
        <f>IFERROR(VLOOKUP(A328,vdata_hours!$A$2:$B$1000,2,FALSE),"")</f>
        <v/>
      </c>
    </row>
    <row r="329" spans="1:13" x14ac:dyDescent="0.25">
      <c r="A329" s="23" t="str">
        <f>IF(vdata_hours!A328=0,"",vdata_hours!A328)</f>
        <v/>
      </c>
      <c r="B329" s="23" t="str">
        <f>IFERROR(INDEX(vdata_regressors!$A$1:$L$2000,MATCH($A329,vdata_regressors!$A$2:$A$2000,0)+1,MATCH(B$2,vdata_regressors!$A$1:$R$1,0)),"")</f>
        <v/>
      </c>
      <c r="C329" s="23" t="str">
        <f>IFERROR(INDEX(vdata_regressors!$A$1:$L$2000,MATCH($A329,vdata_regressors!$A$2:$A$2000,0)+1,MATCH(C$2,vdata_regressors!$A$1:$R$1,0)),"")</f>
        <v/>
      </c>
      <c r="D329" s="23" t="str">
        <f>IFERROR(INDEX(vdata_regressors!$A$1:$L$2000,MATCH($A329,vdata_regressors!$A$2:$A$2000,0)+1,MATCH(D$2,vdata_regressors!$A$1:$R$1,0)),"")</f>
        <v/>
      </c>
      <c r="E329" s="23" t="str">
        <f>IFERROR(INDEX(vdata_regressors!$A$1:$L$2000,MATCH($A329,vdata_regressors!$A$2:$A$2000,0)+1,MATCH(E$2,vdata_regressors!$A$1:$R$1,0)),"")</f>
        <v/>
      </c>
      <c r="F329" s="23" t="str">
        <f>IFERROR(INDEX(vdata_regressors!$A$1:$L$2000,MATCH($A329,vdata_regressors!$A$2:$A$2000,0)+1,MATCH(F$2,vdata_regressors!$A$1:$R$1,0)),"")</f>
        <v/>
      </c>
      <c r="G329" s="23" t="str">
        <f>IFERROR(INDEX(vdata_regressors!$A$1:$L$2000,MATCH($A329,vdata_regressors!$A$2:$A$2000,0)+1,MATCH(G$2,vdata_regressors!$A$1:$R$1,0)),"")</f>
        <v/>
      </c>
      <c r="H329" s="23" t="str">
        <f>IFERROR(INDEX(vdata_regressors!$A$1:$L$2000,MATCH($A329,vdata_regressors!$A$2:$A$2000,0)+1,MATCH(H$2,vdata_regressors!$A$1:$R$1,0)),"")</f>
        <v/>
      </c>
      <c r="I329" s="23" t="str">
        <f>IFERROR(INDEX(vdata_regressors!$A$1:$L$2000,MATCH($A329,vdata_regressors!$A$2:$A$2000,0)+1,MATCH(I$2,vdata_regressors!$A$1:$R$1,0)),"")</f>
        <v/>
      </c>
      <c r="J329" s="23" t="str">
        <f>IFERROR(INDEX(vdata_regressors!$A$1:$L$2000,MATCH($A329,vdata_regressors!$A$2:$A$2000,0)+1,MATCH(J$2,vdata_regressors!$A$1:$R$1,0)),"")</f>
        <v/>
      </c>
      <c r="K329" s="23" t="str">
        <f>IFERROR(INDEX(vdata_regressors!$A$1:$L$2000,MATCH($A329,vdata_regressors!$A$2:$A$2000,0)+1,MATCH(K$2,vdata_regressors!$A$1:$R$1,0)),"")</f>
        <v/>
      </c>
      <c r="L329" s="23" t="str">
        <f>IFERROR(INDEX(vdata_regressors!$A$1:$L$2000,MATCH($A329,vdata_regressors!$A$2:$A$2000,0)+1,MATCH(L$2,vdata_regressors!$A$1:$R$1,0)),"")</f>
        <v/>
      </c>
      <c r="M329" s="23" t="str">
        <f>IFERROR(VLOOKUP(A329,vdata_hours!$A$2:$B$1000,2,FALSE),"")</f>
        <v/>
      </c>
    </row>
    <row r="330" spans="1:13" x14ac:dyDescent="0.25">
      <c r="A330" s="23" t="str">
        <f>IF(vdata_hours!A329=0,"",vdata_hours!A329)</f>
        <v/>
      </c>
      <c r="B330" s="23" t="str">
        <f>IFERROR(INDEX(vdata_regressors!$A$1:$L$2000,MATCH($A330,vdata_regressors!$A$2:$A$2000,0)+1,MATCH(B$2,vdata_regressors!$A$1:$R$1,0)),"")</f>
        <v/>
      </c>
      <c r="C330" s="23" t="str">
        <f>IFERROR(INDEX(vdata_regressors!$A$1:$L$2000,MATCH($A330,vdata_regressors!$A$2:$A$2000,0)+1,MATCH(C$2,vdata_regressors!$A$1:$R$1,0)),"")</f>
        <v/>
      </c>
      <c r="D330" s="23" t="str">
        <f>IFERROR(INDEX(vdata_regressors!$A$1:$L$2000,MATCH($A330,vdata_regressors!$A$2:$A$2000,0)+1,MATCH(D$2,vdata_regressors!$A$1:$R$1,0)),"")</f>
        <v/>
      </c>
      <c r="E330" s="23" t="str">
        <f>IFERROR(INDEX(vdata_regressors!$A$1:$L$2000,MATCH($A330,vdata_regressors!$A$2:$A$2000,0)+1,MATCH(E$2,vdata_regressors!$A$1:$R$1,0)),"")</f>
        <v/>
      </c>
      <c r="F330" s="23" t="str">
        <f>IFERROR(INDEX(vdata_regressors!$A$1:$L$2000,MATCH($A330,vdata_regressors!$A$2:$A$2000,0)+1,MATCH(F$2,vdata_regressors!$A$1:$R$1,0)),"")</f>
        <v/>
      </c>
      <c r="G330" s="23" t="str">
        <f>IFERROR(INDEX(vdata_regressors!$A$1:$L$2000,MATCH($A330,vdata_regressors!$A$2:$A$2000,0)+1,MATCH(G$2,vdata_regressors!$A$1:$R$1,0)),"")</f>
        <v/>
      </c>
      <c r="H330" s="23" t="str">
        <f>IFERROR(INDEX(vdata_regressors!$A$1:$L$2000,MATCH($A330,vdata_regressors!$A$2:$A$2000,0)+1,MATCH(H$2,vdata_regressors!$A$1:$R$1,0)),"")</f>
        <v/>
      </c>
      <c r="I330" s="23" t="str">
        <f>IFERROR(INDEX(vdata_regressors!$A$1:$L$2000,MATCH($A330,vdata_regressors!$A$2:$A$2000,0)+1,MATCH(I$2,vdata_regressors!$A$1:$R$1,0)),"")</f>
        <v/>
      </c>
      <c r="J330" s="23" t="str">
        <f>IFERROR(INDEX(vdata_regressors!$A$1:$L$2000,MATCH($A330,vdata_regressors!$A$2:$A$2000,0)+1,MATCH(J$2,vdata_regressors!$A$1:$R$1,0)),"")</f>
        <v/>
      </c>
      <c r="K330" s="23" t="str">
        <f>IFERROR(INDEX(vdata_regressors!$A$1:$L$2000,MATCH($A330,vdata_regressors!$A$2:$A$2000,0)+1,MATCH(K$2,vdata_regressors!$A$1:$R$1,0)),"")</f>
        <v/>
      </c>
      <c r="L330" s="23" t="str">
        <f>IFERROR(INDEX(vdata_regressors!$A$1:$L$2000,MATCH($A330,vdata_regressors!$A$2:$A$2000,0)+1,MATCH(L$2,vdata_regressors!$A$1:$R$1,0)),"")</f>
        <v/>
      </c>
      <c r="M330" s="23" t="str">
        <f>IFERROR(VLOOKUP(A330,vdata_hours!$A$2:$B$1000,2,FALSE),"")</f>
        <v/>
      </c>
    </row>
    <row r="331" spans="1:13" x14ac:dyDescent="0.25">
      <c r="A331" s="23" t="str">
        <f>IF(vdata_hours!A330=0,"",vdata_hours!A330)</f>
        <v/>
      </c>
      <c r="B331" s="23" t="str">
        <f>IFERROR(INDEX(vdata_regressors!$A$1:$L$2000,MATCH($A331,vdata_regressors!$A$2:$A$2000,0)+1,MATCH(B$2,vdata_regressors!$A$1:$R$1,0)),"")</f>
        <v/>
      </c>
      <c r="C331" s="23" t="str">
        <f>IFERROR(INDEX(vdata_regressors!$A$1:$L$2000,MATCH($A331,vdata_regressors!$A$2:$A$2000,0)+1,MATCH(C$2,vdata_regressors!$A$1:$R$1,0)),"")</f>
        <v/>
      </c>
      <c r="D331" s="23" t="str">
        <f>IFERROR(INDEX(vdata_regressors!$A$1:$L$2000,MATCH($A331,vdata_regressors!$A$2:$A$2000,0)+1,MATCH(D$2,vdata_regressors!$A$1:$R$1,0)),"")</f>
        <v/>
      </c>
      <c r="E331" s="23" t="str">
        <f>IFERROR(INDEX(vdata_regressors!$A$1:$L$2000,MATCH($A331,vdata_regressors!$A$2:$A$2000,0)+1,MATCH(E$2,vdata_regressors!$A$1:$R$1,0)),"")</f>
        <v/>
      </c>
      <c r="F331" s="23" t="str">
        <f>IFERROR(INDEX(vdata_regressors!$A$1:$L$2000,MATCH($A331,vdata_regressors!$A$2:$A$2000,0)+1,MATCH(F$2,vdata_regressors!$A$1:$R$1,0)),"")</f>
        <v/>
      </c>
      <c r="G331" s="23" t="str">
        <f>IFERROR(INDEX(vdata_regressors!$A$1:$L$2000,MATCH($A331,vdata_regressors!$A$2:$A$2000,0)+1,MATCH(G$2,vdata_regressors!$A$1:$R$1,0)),"")</f>
        <v/>
      </c>
      <c r="H331" s="23" t="str">
        <f>IFERROR(INDEX(vdata_regressors!$A$1:$L$2000,MATCH($A331,vdata_regressors!$A$2:$A$2000,0)+1,MATCH(H$2,vdata_regressors!$A$1:$R$1,0)),"")</f>
        <v/>
      </c>
      <c r="I331" s="23" t="str">
        <f>IFERROR(INDEX(vdata_regressors!$A$1:$L$2000,MATCH($A331,vdata_regressors!$A$2:$A$2000,0)+1,MATCH(I$2,vdata_regressors!$A$1:$R$1,0)),"")</f>
        <v/>
      </c>
      <c r="J331" s="23" t="str">
        <f>IFERROR(INDEX(vdata_regressors!$A$1:$L$2000,MATCH($A331,vdata_regressors!$A$2:$A$2000,0)+1,MATCH(J$2,vdata_regressors!$A$1:$R$1,0)),"")</f>
        <v/>
      </c>
      <c r="K331" s="23" t="str">
        <f>IFERROR(INDEX(vdata_regressors!$A$1:$L$2000,MATCH($A331,vdata_regressors!$A$2:$A$2000,0)+1,MATCH(K$2,vdata_regressors!$A$1:$R$1,0)),"")</f>
        <v/>
      </c>
      <c r="L331" s="23" t="str">
        <f>IFERROR(INDEX(vdata_regressors!$A$1:$L$2000,MATCH($A331,vdata_regressors!$A$2:$A$2000,0)+1,MATCH(L$2,vdata_regressors!$A$1:$R$1,0)),"")</f>
        <v/>
      </c>
      <c r="M331" s="23" t="str">
        <f>IFERROR(VLOOKUP(A331,vdata_hours!$A$2:$B$1000,2,FALSE),"")</f>
        <v/>
      </c>
    </row>
    <row r="332" spans="1:13" x14ac:dyDescent="0.25">
      <c r="A332" s="23" t="str">
        <f>IF(vdata_hours!A331=0,"",vdata_hours!A331)</f>
        <v/>
      </c>
      <c r="B332" s="23" t="str">
        <f>IFERROR(INDEX(vdata_regressors!$A$1:$L$2000,MATCH($A332,vdata_regressors!$A$2:$A$2000,0)+1,MATCH(B$2,vdata_regressors!$A$1:$R$1,0)),"")</f>
        <v/>
      </c>
      <c r="C332" s="23" t="str">
        <f>IFERROR(INDEX(vdata_regressors!$A$1:$L$2000,MATCH($A332,vdata_regressors!$A$2:$A$2000,0)+1,MATCH(C$2,vdata_regressors!$A$1:$R$1,0)),"")</f>
        <v/>
      </c>
      <c r="D332" s="23" t="str">
        <f>IFERROR(INDEX(vdata_regressors!$A$1:$L$2000,MATCH($A332,vdata_regressors!$A$2:$A$2000,0)+1,MATCH(D$2,vdata_regressors!$A$1:$R$1,0)),"")</f>
        <v/>
      </c>
      <c r="E332" s="23" t="str">
        <f>IFERROR(INDEX(vdata_regressors!$A$1:$L$2000,MATCH($A332,vdata_regressors!$A$2:$A$2000,0)+1,MATCH(E$2,vdata_regressors!$A$1:$R$1,0)),"")</f>
        <v/>
      </c>
      <c r="F332" s="23" t="str">
        <f>IFERROR(INDEX(vdata_regressors!$A$1:$L$2000,MATCH($A332,vdata_regressors!$A$2:$A$2000,0)+1,MATCH(F$2,vdata_regressors!$A$1:$R$1,0)),"")</f>
        <v/>
      </c>
      <c r="G332" s="23" t="str">
        <f>IFERROR(INDEX(vdata_regressors!$A$1:$L$2000,MATCH($A332,vdata_regressors!$A$2:$A$2000,0)+1,MATCH(G$2,vdata_regressors!$A$1:$R$1,0)),"")</f>
        <v/>
      </c>
      <c r="H332" s="23" t="str">
        <f>IFERROR(INDEX(vdata_regressors!$A$1:$L$2000,MATCH($A332,vdata_regressors!$A$2:$A$2000,0)+1,MATCH(H$2,vdata_regressors!$A$1:$R$1,0)),"")</f>
        <v/>
      </c>
      <c r="I332" s="23" t="str">
        <f>IFERROR(INDEX(vdata_regressors!$A$1:$L$2000,MATCH($A332,vdata_regressors!$A$2:$A$2000,0)+1,MATCH(I$2,vdata_regressors!$A$1:$R$1,0)),"")</f>
        <v/>
      </c>
      <c r="J332" s="23" t="str">
        <f>IFERROR(INDEX(vdata_regressors!$A$1:$L$2000,MATCH($A332,vdata_regressors!$A$2:$A$2000,0)+1,MATCH(J$2,vdata_regressors!$A$1:$R$1,0)),"")</f>
        <v/>
      </c>
      <c r="K332" s="23" t="str">
        <f>IFERROR(INDEX(vdata_regressors!$A$1:$L$2000,MATCH($A332,vdata_regressors!$A$2:$A$2000,0)+1,MATCH(K$2,vdata_regressors!$A$1:$R$1,0)),"")</f>
        <v/>
      </c>
      <c r="L332" s="23" t="str">
        <f>IFERROR(INDEX(vdata_regressors!$A$1:$L$2000,MATCH($A332,vdata_regressors!$A$2:$A$2000,0)+1,MATCH(L$2,vdata_regressors!$A$1:$R$1,0)),"")</f>
        <v/>
      </c>
      <c r="M332" s="23" t="str">
        <f>IFERROR(VLOOKUP(A332,vdata_hours!$A$2:$B$1000,2,FALSE),"")</f>
        <v/>
      </c>
    </row>
    <row r="333" spans="1:13" x14ac:dyDescent="0.25">
      <c r="A333" s="23" t="str">
        <f>IF(vdata_hours!A332=0,"",vdata_hours!A332)</f>
        <v/>
      </c>
      <c r="B333" s="23" t="str">
        <f>IFERROR(INDEX(vdata_regressors!$A$1:$L$2000,MATCH($A333,vdata_regressors!$A$2:$A$2000,0)+1,MATCH(B$2,vdata_regressors!$A$1:$R$1,0)),"")</f>
        <v/>
      </c>
      <c r="C333" s="23" t="str">
        <f>IFERROR(INDEX(vdata_regressors!$A$1:$L$2000,MATCH($A333,vdata_regressors!$A$2:$A$2000,0)+1,MATCH(C$2,vdata_regressors!$A$1:$R$1,0)),"")</f>
        <v/>
      </c>
      <c r="D333" s="23" t="str">
        <f>IFERROR(INDEX(vdata_regressors!$A$1:$L$2000,MATCH($A333,vdata_regressors!$A$2:$A$2000,0)+1,MATCH(D$2,vdata_regressors!$A$1:$R$1,0)),"")</f>
        <v/>
      </c>
      <c r="E333" s="23" t="str">
        <f>IFERROR(INDEX(vdata_regressors!$A$1:$L$2000,MATCH($A333,vdata_regressors!$A$2:$A$2000,0)+1,MATCH(E$2,vdata_regressors!$A$1:$R$1,0)),"")</f>
        <v/>
      </c>
      <c r="F333" s="23" t="str">
        <f>IFERROR(INDEX(vdata_regressors!$A$1:$L$2000,MATCH($A333,vdata_regressors!$A$2:$A$2000,0)+1,MATCH(F$2,vdata_regressors!$A$1:$R$1,0)),"")</f>
        <v/>
      </c>
      <c r="G333" s="23" t="str">
        <f>IFERROR(INDEX(vdata_regressors!$A$1:$L$2000,MATCH($A333,vdata_regressors!$A$2:$A$2000,0)+1,MATCH(G$2,vdata_regressors!$A$1:$R$1,0)),"")</f>
        <v/>
      </c>
      <c r="H333" s="23" t="str">
        <f>IFERROR(INDEX(vdata_regressors!$A$1:$L$2000,MATCH($A333,vdata_regressors!$A$2:$A$2000,0)+1,MATCH(H$2,vdata_regressors!$A$1:$R$1,0)),"")</f>
        <v/>
      </c>
      <c r="I333" s="23" t="str">
        <f>IFERROR(INDEX(vdata_regressors!$A$1:$L$2000,MATCH($A333,vdata_regressors!$A$2:$A$2000,0)+1,MATCH(I$2,vdata_regressors!$A$1:$R$1,0)),"")</f>
        <v/>
      </c>
      <c r="J333" s="23" t="str">
        <f>IFERROR(INDEX(vdata_regressors!$A$1:$L$2000,MATCH($A333,vdata_regressors!$A$2:$A$2000,0)+1,MATCH(J$2,vdata_regressors!$A$1:$R$1,0)),"")</f>
        <v/>
      </c>
      <c r="K333" s="23" t="str">
        <f>IFERROR(INDEX(vdata_regressors!$A$1:$L$2000,MATCH($A333,vdata_regressors!$A$2:$A$2000,0)+1,MATCH(K$2,vdata_regressors!$A$1:$R$1,0)),"")</f>
        <v/>
      </c>
      <c r="L333" s="23" t="str">
        <f>IFERROR(INDEX(vdata_regressors!$A$1:$L$2000,MATCH($A333,vdata_regressors!$A$2:$A$2000,0)+1,MATCH(L$2,vdata_regressors!$A$1:$R$1,0)),"")</f>
        <v/>
      </c>
      <c r="M333" s="23" t="str">
        <f>IFERROR(VLOOKUP(A333,vdata_hours!$A$2:$B$1000,2,FALSE),"")</f>
        <v/>
      </c>
    </row>
    <row r="334" spans="1:13" x14ac:dyDescent="0.25">
      <c r="A334" s="23" t="str">
        <f>IF(vdata_hours!A333=0,"",vdata_hours!A333)</f>
        <v/>
      </c>
      <c r="B334" s="23" t="str">
        <f>IFERROR(INDEX(vdata_regressors!$A$1:$L$2000,MATCH($A334,vdata_regressors!$A$2:$A$2000,0)+1,MATCH(B$2,vdata_regressors!$A$1:$R$1,0)),"")</f>
        <v/>
      </c>
      <c r="C334" s="23" t="str">
        <f>IFERROR(INDEX(vdata_regressors!$A$1:$L$2000,MATCH($A334,vdata_regressors!$A$2:$A$2000,0)+1,MATCH(C$2,vdata_regressors!$A$1:$R$1,0)),"")</f>
        <v/>
      </c>
      <c r="D334" s="23" t="str">
        <f>IFERROR(INDEX(vdata_regressors!$A$1:$L$2000,MATCH($A334,vdata_regressors!$A$2:$A$2000,0)+1,MATCH(D$2,vdata_regressors!$A$1:$R$1,0)),"")</f>
        <v/>
      </c>
      <c r="E334" s="23" t="str">
        <f>IFERROR(INDEX(vdata_regressors!$A$1:$L$2000,MATCH($A334,vdata_regressors!$A$2:$A$2000,0)+1,MATCH(E$2,vdata_regressors!$A$1:$R$1,0)),"")</f>
        <v/>
      </c>
      <c r="F334" s="23" t="str">
        <f>IFERROR(INDEX(vdata_regressors!$A$1:$L$2000,MATCH($A334,vdata_regressors!$A$2:$A$2000,0)+1,MATCH(F$2,vdata_regressors!$A$1:$R$1,0)),"")</f>
        <v/>
      </c>
      <c r="G334" s="23" t="str">
        <f>IFERROR(INDEX(vdata_regressors!$A$1:$L$2000,MATCH($A334,vdata_regressors!$A$2:$A$2000,0)+1,MATCH(G$2,vdata_regressors!$A$1:$R$1,0)),"")</f>
        <v/>
      </c>
      <c r="H334" s="23" t="str">
        <f>IFERROR(INDEX(vdata_regressors!$A$1:$L$2000,MATCH($A334,vdata_regressors!$A$2:$A$2000,0)+1,MATCH(H$2,vdata_regressors!$A$1:$R$1,0)),"")</f>
        <v/>
      </c>
      <c r="I334" s="23" t="str">
        <f>IFERROR(INDEX(vdata_regressors!$A$1:$L$2000,MATCH($A334,vdata_regressors!$A$2:$A$2000,0)+1,MATCH(I$2,vdata_regressors!$A$1:$R$1,0)),"")</f>
        <v/>
      </c>
      <c r="J334" s="23" t="str">
        <f>IFERROR(INDEX(vdata_regressors!$A$1:$L$2000,MATCH($A334,vdata_regressors!$A$2:$A$2000,0)+1,MATCH(J$2,vdata_regressors!$A$1:$R$1,0)),"")</f>
        <v/>
      </c>
      <c r="K334" s="23" t="str">
        <f>IFERROR(INDEX(vdata_regressors!$A$1:$L$2000,MATCH($A334,vdata_regressors!$A$2:$A$2000,0)+1,MATCH(K$2,vdata_regressors!$A$1:$R$1,0)),"")</f>
        <v/>
      </c>
      <c r="L334" s="23" t="str">
        <f>IFERROR(INDEX(vdata_regressors!$A$1:$L$2000,MATCH($A334,vdata_regressors!$A$2:$A$2000,0)+1,MATCH(L$2,vdata_regressors!$A$1:$R$1,0)),"")</f>
        <v/>
      </c>
      <c r="M334" s="23" t="str">
        <f>IFERROR(VLOOKUP(A334,vdata_hours!$A$2:$B$1000,2,FALSE),"")</f>
        <v/>
      </c>
    </row>
    <row r="335" spans="1:13" x14ac:dyDescent="0.25">
      <c r="A335" s="23" t="str">
        <f>IF(vdata_hours!A334=0,"",vdata_hours!A334)</f>
        <v/>
      </c>
      <c r="B335" s="23" t="str">
        <f>IFERROR(INDEX(vdata_regressors!$A$1:$L$2000,MATCH($A335,vdata_regressors!$A$2:$A$2000,0)+1,MATCH(B$2,vdata_regressors!$A$1:$R$1,0)),"")</f>
        <v/>
      </c>
      <c r="C335" s="23" t="str">
        <f>IFERROR(INDEX(vdata_regressors!$A$1:$L$2000,MATCH($A335,vdata_regressors!$A$2:$A$2000,0)+1,MATCH(C$2,vdata_regressors!$A$1:$R$1,0)),"")</f>
        <v/>
      </c>
      <c r="D335" s="23" t="str">
        <f>IFERROR(INDEX(vdata_regressors!$A$1:$L$2000,MATCH($A335,vdata_regressors!$A$2:$A$2000,0)+1,MATCH(D$2,vdata_regressors!$A$1:$R$1,0)),"")</f>
        <v/>
      </c>
      <c r="E335" s="23" t="str">
        <f>IFERROR(INDEX(vdata_regressors!$A$1:$L$2000,MATCH($A335,vdata_regressors!$A$2:$A$2000,0)+1,MATCH(E$2,vdata_regressors!$A$1:$R$1,0)),"")</f>
        <v/>
      </c>
      <c r="F335" s="23" t="str">
        <f>IFERROR(INDEX(vdata_regressors!$A$1:$L$2000,MATCH($A335,vdata_regressors!$A$2:$A$2000,0)+1,MATCH(F$2,vdata_regressors!$A$1:$R$1,0)),"")</f>
        <v/>
      </c>
      <c r="G335" s="23" t="str">
        <f>IFERROR(INDEX(vdata_regressors!$A$1:$L$2000,MATCH($A335,vdata_regressors!$A$2:$A$2000,0)+1,MATCH(G$2,vdata_regressors!$A$1:$R$1,0)),"")</f>
        <v/>
      </c>
      <c r="H335" s="23" t="str">
        <f>IFERROR(INDEX(vdata_regressors!$A$1:$L$2000,MATCH($A335,vdata_regressors!$A$2:$A$2000,0)+1,MATCH(H$2,vdata_regressors!$A$1:$R$1,0)),"")</f>
        <v/>
      </c>
      <c r="I335" s="23" t="str">
        <f>IFERROR(INDEX(vdata_regressors!$A$1:$L$2000,MATCH($A335,vdata_regressors!$A$2:$A$2000,0)+1,MATCH(I$2,vdata_regressors!$A$1:$R$1,0)),"")</f>
        <v/>
      </c>
      <c r="J335" s="23" t="str">
        <f>IFERROR(INDEX(vdata_regressors!$A$1:$L$2000,MATCH($A335,vdata_regressors!$A$2:$A$2000,0)+1,MATCH(J$2,vdata_regressors!$A$1:$R$1,0)),"")</f>
        <v/>
      </c>
      <c r="K335" s="23" t="str">
        <f>IFERROR(INDEX(vdata_regressors!$A$1:$L$2000,MATCH($A335,vdata_regressors!$A$2:$A$2000,0)+1,MATCH(K$2,vdata_regressors!$A$1:$R$1,0)),"")</f>
        <v/>
      </c>
      <c r="L335" s="23" t="str">
        <f>IFERROR(INDEX(vdata_regressors!$A$1:$L$2000,MATCH($A335,vdata_regressors!$A$2:$A$2000,0)+1,MATCH(L$2,vdata_regressors!$A$1:$R$1,0)),"")</f>
        <v/>
      </c>
      <c r="M335" s="23" t="str">
        <f>IFERROR(VLOOKUP(A335,vdata_hours!$A$2:$B$1000,2,FALSE),"")</f>
        <v/>
      </c>
    </row>
    <row r="336" spans="1:13" x14ac:dyDescent="0.25">
      <c r="A336" s="23" t="str">
        <f>IF(vdata_hours!A335=0,"",vdata_hours!A335)</f>
        <v/>
      </c>
      <c r="B336" s="23" t="str">
        <f>IFERROR(INDEX(vdata_regressors!$A$1:$L$2000,MATCH($A336,vdata_regressors!$A$2:$A$2000,0)+1,MATCH(B$2,vdata_regressors!$A$1:$R$1,0)),"")</f>
        <v/>
      </c>
      <c r="C336" s="23" t="str">
        <f>IFERROR(INDEX(vdata_regressors!$A$1:$L$2000,MATCH($A336,vdata_regressors!$A$2:$A$2000,0)+1,MATCH(C$2,vdata_regressors!$A$1:$R$1,0)),"")</f>
        <v/>
      </c>
      <c r="D336" s="23" t="str">
        <f>IFERROR(INDEX(vdata_regressors!$A$1:$L$2000,MATCH($A336,vdata_regressors!$A$2:$A$2000,0)+1,MATCH(D$2,vdata_regressors!$A$1:$R$1,0)),"")</f>
        <v/>
      </c>
      <c r="E336" s="23" t="str">
        <f>IFERROR(INDEX(vdata_regressors!$A$1:$L$2000,MATCH($A336,vdata_regressors!$A$2:$A$2000,0)+1,MATCH(E$2,vdata_regressors!$A$1:$R$1,0)),"")</f>
        <v/>
      </c>
      <c r="F336" s="23" t="str">
        <f>IFERROR(INDEX(vdata_regressors!$A$1:$L$2000,MATCH($A336,vdata_regressors!$A$2:$A$2000,0)+1,MATCH(F$2,vdata_regressors!$A$1:$R$1,0)),"")</f>
        <v/>
      </c>
      <c r="G336" s="23" t="str">
        <f>IFERROR(INDEX(vdata_regressors!$A$1:$L$2000,MATCH($A336,vdata_regressors!$A$2:$A$2000,0)+1,MATCH(G$2,vdata_regressors!$A$1:$R$1,0)),"")</f>
        <v/>
      </c>
      <c r="H336" s="23" t="str">
        <f>IFERROR(INDEX(vdata_regressors!$A$1:$L$2000,MATCH($A336,vdata_regressors!$A$2:$A$2000,0)+1,MATCH(H$2,vdata_regressors!$A$1:$R$1,0)),"")</f>
        <v/>
      </c>
      <c r="I336" s="23" t="str">
        <f>IFERROR(INDEX(vdata_regressors!$A$1:$L$2000,MATCH($A336,vdata_regressors!$A$2:$A$2000,0)+1,MATCH(I$2,vdata_regressors!$A$1:$R$1,0)),"")</f>
        <v/>
      </c>
      <c r="J336" s="23" t="str">
        <f>IFERROR(INDEX(vdata_regressors!$A$1:$L$2000,MATCH($A336,vdata_regressors!$A$2:$A$2000,0)+1,MATCH(J$2,vdata_regressors!$A$1:$R$1,0)),"")</f>
        <v/>
      </c>
      <c r="K336" s="23" t="str">
        <f>IFERROR(INDEX(vdata_regressors!$A$1:$L$2000,MATCH($A336,vdata_regressors!$A$2:$A$2000,0)+1,MATCH(K$2,vdata_regressors!$A$1:$R$1,0)),"")</f>
        <v/>
      </c>
      <c r="L336" s="23" t="str">
        <f>IFERROR(INDEX(vdata_regressors!$A$1:$L$2000,MATCH($A336,vdata_regressors!$A$2:$A$2000,0)+1,MATCH(L$2,vdata_regressors!$A$1:$R$1,0)),"")</f>
        <v/>
      </c>
      <c r="M336" s="23" t="str">
        <f>IFERROR(VLOOKUP(A336,vdata_hours!$A$2:$B$1000,2,FALSE),"")</f>
        <v/>
      </c>
    </row>
    <row r="337" spans="1:13" x14ac:dyDescent="0.25">
      <c r="A337" s="23" t="str">
        <f>IF(vdata_hours!A336=0,"",vdata_hours!A336)</f>
        <v/>
      </c>
      <c r="B337" s="23" t="str">
        <f>IFERROR(INDEX(vdata_regressors!$A$1:$L$2000,MATCH($A337,vdata_regressors!$A$2:$A$2000,0)+1,MATCH(B$2,vdata_regressors!$A$1:$R$1,0)),"")</f>
        <v/>
      </c>
      <c r="C337" s="23" t="str">
        <f>IFERROR(INDEX(vdata_regressors!$A$1:$L$2000,MATCH($A337,vdata_regressors!$A$2:$A$2000,0)+1,MATCH(C$2,vdata_regressors!$A$1:$R$1,0)),"")</f>
        <v/>
      </c>
      <c r="D337" s="23" t="str">
        <f>IFERROR(INDEX(vdata_regressors!$A$1:$L$2000,MATCH($A337,vdata_regressors!$A$2:$A$2000,0)+1,MATCH(D$2,vdata_regressors!$A$1:$R$1,0)),"")</f>
        <v/>
      </c>
      <c r="E337" s="23" t="str">
        <f>IFERROR(INDEX(vdata_regressors!$A$1:$L$2000,MATCH($A337,vdata_regressors!$A$2:$A$2000,0)+1,MATCH(E$2,vdata_regressors!$A$1:$R$1,0)),"")</f>
        <v/>
      </c>
      <c r="F337" s="23" t="str">
        <f>IFERROR(INDEX(vdata_regressors!$A$1:$L$2000,MATCH($A337,vdata_regressors!$A$2:$A$2000,0)+1,MATCH(F$2,vdata_regressors!$A$1:$R$1,0)),"")</f>
        <v/>
      </c>
      <c r="G337" s="23" t="str">
        <f>IFERROR(INDEX(vdata_regressors!$A$1:$L$2000,MATCH($A337,vdata_regressors!$A$2:$A$2000,0)+1,MATCH(G$2,vdata_regressors!$A$1:$R$1,0)),"")</f>
        <v/>
      </c>
      <c r="H337" s="23" t="str">
        <f>IFERROR(INDEX(vdata_regressors!$A$1:$L$2000,MATCH($A337,vdata_regressors!$A$2:$A$2000,0)+1,MATCH(H$2,vdata_regressors!$A$1:$R$1,0)),"")</f>
        <v/>
      </c>
      <c r="I337" s="23" t="str">
        <f>IFERROR(INDEX(vdata_regressors!$A$1:$L$2000,MATCH($A337,vdata_regressors!$A$2:$A$2000,0)+1,MATCH(I$2,vdata_regressors!$A$1:$R$1,0)),"")</f>
        <v/>
      </c>
      <c r="J337" s="23" t="str">
        <f>IFERROR(INDEX(vdata_regressors!$A$1:$L$2000,MATCH($A337,vdata_regressors!$A$2:$A$2000,0)+1,MATCH(J$2,vdata_regressors!$A$1:$R$1,0)),"")</f>
        <v/>
      </c>
      <c r="K337" s="23" t="str">
        <f>IFERROR(INDEX(vdata_regressors!$A$1:$L$2000,MATCH($A337,vdata_regressors!$A$2:$A$2000,0)+1,MATCH(K$2,vdata_regressors!$A$1:$R$1,0)),"")</f>
        <v/>
      </c>
      <c r="L337" s="23" t="str">
        <f>IFERROR(INDEX(vdata_regressors!$A$1:$L$2000,MATCH($A337,vdata_regressors!$A$2:$A$2000,0)+1,MATCH(L$2,vdata_regressors!$A$1:$R$1,0)),"")</f>
        <v/>
      </c>
      <c r="M337" s="23" t="str">
        <f>IFERROR(VLOOKUP(A337,vdata_hours!$A$2:$B$1000,2,FALSE),"")</f>
        <v/>
      </c>
    </row>
    <row r="338" spans="1:13" x14ac:dyDescent="0.25">
      <c r="A338" s="23" t="str">
        <f>IF(vdata_hours!A337=0,"",vdata_hours!A337)</f>
        <v/>
      </c>
      <c r="B338" s="23" t="str">
        <f>IFERROR(INDEX(vdata_regressors!$A$1:$L$2000,MATCH($A338,vdata_regressors!$A$2:$A$2000,0)+1,MATCH(B$2,vdata_regressors!$A$1:$R$1,0)),"")</f>
        <v/>
      </c>
      <c r="C338" s="23" t="str">
        <f>IFERROR(INDEX(vdata_regressors!$A$1:$L$2000,MATCH($A338,vdata_regressors!$A$2:$A$2000,0)+1,MATCH(C$2,vdata_regressors!$A$1:$R$1,0)),"")</f>
        <v/>
      </c>
      <c r="D338" s="23" t="str">
        <f>IFERROR(INDEX(vdata_regressors!$A$1:$L$2000,MATCH($A338,vdata_regressors!$A$2:$A$2000,0)+1,MATCH(D$2,vdata_regressors!$A$1:$R$1,0)),"")</f>
        <v/>
      </c>
      <c r="E338" s="23" t="str">
        <f>IFERROR(INDEX(vdata_regressors!$A$1:$L$2000,MATCH($A338,vdata_regressors!$A$2:$A$2000,0)+1,MATCH(E$2,vdata_regressors!$A$1:$R$1,0)),"")</f>
        <v/>
      </c>
      <c r="F338" s="23" t="str">
        <f>IFERROR(INDEX(vdata_regressors!$A$1:$L$2000,MATCH($A338,vdata_regressors!$A$2:$A$2000,0)+1,MATCH(F$2,vdata_regressors!$A$1:$R$1,0)),"")</f>
        <v/>
      </c>
      <c r="G338" s="23" t="str">
        <f>IFERROR(INDEX(vdata_regressors!$A$1:$L$2000,MATCH($A338,vdata_regressors!$A$2:$A$2000,0)+1,MATCH(G$2,vdata_regressors!$A$1:$R$1,0)),"")</f>
        <v/>
      </c>
      <c r="H338" s="23" t="str">
        <f>IFERROR(INDEX(vdata_regressors!$A$1:$L$2000,MATCH($A338,vdata_regressors!$A$2:$A$2000,0)+1,MATCH(H$2,vdata_regressors!$A$1:$R$1,0)),"")</f>
        <v/>
      </c>
      <c r="I338" s="23" t="str">
        <f>IFERROR(INDEX(vdata_regressors!$A$1:$L$2000,MATCH($A338,vdata_regressors!$A$2:$A$2000,0)+1,MATCH(I$2,vdata_regressors!$A$1:$R$1,0)),"")</f>
        <v/>
      </c>
      <c r="J338" s="23" t="str">
        <f>IFERROR(INDEX(vdata_regressors!$A$1:$L$2000,MATCH($A338,vdata_regressors!$A$2:$A$2000,0)+1,MATCH(J$2,vdata_regressors!$A$1:$R$1,0)),"")</f>
        <v/>
      </c>
      <c r="K338" s="23" t="str">
        <f>IFERROR(INDEX(vdata_regressors!$A$1:$L$2000,MATCH($A338,vdata_regressors!$A$2:$A$2000,0)+1,MATCH(K$2,vdata_regressors!$A$1:$R$1,0)),"")</f>
        <v/>
      </c>
      <c r="L338" s="23" t="str">
        <f>IFERROR(INDEX(vdata_regressors!$A$1:$L$2000,MATCH($A338,vdata_regressors!$A$2:$A$2000,0)+1,MATCH(L$2,vdata_regressors!$A$1:$R$1,0)),"")</f>
        <v/>
      </c>
      <c r="M338" s="23" t="str">
        <f>IFERROR(VLOOKUP(A338,vdata_hours!$A$2:$B$1000,2,FALSE),"")</f>
        <v/>
      </c>
    </row>
    <row r="339" spans="1:13" x14ac:dyDescent="0.25">
      <c r="A339" s="23" t="str">
        <f>IF(vdata_hours!A338=0,"",vdata_hours!A338)</f>
        <v/>
      </c>
      <c r="B339" s="23" t="str">
        <f>IFERROR(INDEX(vdata_regressors!$A$1:$L$2000,MATCH($A339,vdata_regressors!$A$2:$A$2000,0)+1,MATCH(B$2,vdata_regressors!$A$1:$R$1,0)),"")</f>
        <v/>
      </c>
      <c r="C339" s="23" t="str">
        <f>IFERROR(INDEX(vdata_regressors!$A$1:$L$2000,MATCH($A339,vdata_regressors!$A$2:$A$2000,0)+1,MATCH(C$2,vdata_regressors!$A$1:$R$1,0)),"")</f>
        <v/>
      </c>
      <c r="D339" s="23" t="str">
        <f>IFERROR(INDEX(vdata_regressors!$A$1:$L$2000,MATCH($A339,vdata_regressors!$A$2:$A$2000,0)+1,MATCH(D$2,vdata_regressors!$A$1:$R$1,0)),"")</f>
        <v/>
      </c>
      <c r="E339" s="23" t="str">
        <f>IFERROR(INDEX(vdata_regressors!$A$1:$L$2000,MATCH($A339,vdata_regressors!$A$2:$A$2000,0)+1,MATCH(E$2,vdata_regressors!$A$1:$R$1,0)),"")</f>
        <v/>
      </c>
      <c r="F339" s="23" t="str">
        <f>IFERROR(INDEX(vdata_regressors!$A$1:$L$2000,MATCH($A339,vdata_regressors!$A$2:$A$2000,0)+1,MATCH(F$2,vdata_regressors!$A$1:$R$1,0)),"")</f>
        <v/>
      </c>
      <c r="G339" s="23" t="str">
        <f>IFERROR(INDEX(vdata_regressors!$A$1:$L$2000,MATCH($A339,vdata_regressors!$A$2:$A$2000,0)+1,MATCH(G$2,vdata_regressors!$A$1:$R$1,0)),"")</f>
        <v/>
      </c>
      <c r="H339" s="23" t="str">
        <f>IFERROR(INDEX(vdata_regressors!$A$1:$L$2000,MATCH($A339,vdata_regressors!$A$2:$A$2000,0)+1,MATCH(H$2,vdata_regressors!$A$1:$R$1,0)),"")</f>
        <v/>
      </c>
      <c r="I339" s="23" t="str">
        <f>IFERROR(INDEX(vdata_regressors!$A$1:$L$2000,MATCH($A339,vdata_regressors!$A$2:$A$2000,0)+1,MATCH(I$2,vdata_regressors!$A$1:$R$1,0)),"")</f>
        <v/>
      </c>
      <c r="J339" s="23" t="str">
        <f>IFERROR(INDEX(vdata_regressors!$A$1:$L$2000,MATCH($A339,vdata_regressors!$A$2:$A$2000,0)+1,MATCH(J$2,vdata_regressors!$A$1:$R$1,0)),"")</f>
        <v/>
      </c>
      <c r="K339" s="23" t="str">
        <f>IFERROR(INDEX(vdata_regressors!$A$1:$L$2000,MATCH($A339,vdata_regressors!$A$2:$A$2000,0)+1,MATCH(K$2,vdata_regressors!$A$1:$R$1,0)),"")</f>
        <v/>
      </c>
      <c r="L339" s="23" t="str">
        <f>IFERROR(INDEX(vdata_regressors!$A$1:$L$2000,MATCH($A339,vdata_regressors!$A$2:$A$2000,0)+1,MATCH(L$2,vdata_regressors!$A$1:$R$1,0)),"")</f>
        <v/>
      </c>
      <c r="M339" s="23" t="str">
        <f>IFERROR(VLOOKUP(A339,vdata_hours!$A$2:$B$1000,2,FALSE),"")</f>
        <v/>
      </c>
    </row>
    <row r="340" spans="1:13" x14ac:dyDescent="0.25">
      <c r="A340" s="23" t="str">
        <f>IF(vdata_hours!A339=0,"",vdata_hours!A339)</f>
        <v/>
      </c>
      <c r="B340" s="23" t="str">
        <f>IFERROR(INDEX(vdata_regressors!$A$1:$L$2000,MATCH($A340,vdata_regressors!$A$2:$A$2000,0)+1,MATCH(B$2,vdata_regressors!$A$1:$R$1,0)),"")</f>
        <v/>
      </c>
      <c r="C340" s="23" t="str">
        <f>IFERROR(INDEX(vdata_regressors!$A$1:$L$2000,MATCH($A340,vdata_regressors!$A$2:$A$2000,0)+1,MATCH(C$2,vdata_regressors!$A$1:$R$1,0)),"")</f>
        <v/>
      </c>
      <c r="D340" s="23" t="str">
        <f>IFERROR(INDEX(vdata_regressors!$A$1:$L$2000,MATCH($A340,vdata_regressors!$A$2:$A$2000,0)+1,MATCH(D$2,vdata_regressors!$A$1:$R$1,0)),"")</f>
        <v/>
      </c>
      <c r="E340" s="23" t="str">
        <f>IFERROR(INDEX(vdata_regressors!$A$1:$L$2000,MATCH($A340,vdata_regressors!$A$2:$A$2000,0)+1,MATCH(E$2,vdata_regressors!$A$1:$R$1,0)),"")</f>
        <v/>
      </c>
      <c r="F340" s="23" t="str">
        <f>IFERROR(INDEX(vdata_regressors!$A$1:$L$2000,MATCH($A340,vdata_regressors!$A$2:$A$2000,0)+1,MATCH(F$2,vdata_regressors!$A$1:$R$1,0)),"")</f>
        <v/>
      </c>
      <c r="G340" s="23" t="str">
        <f>IFERROR(INDEX(vdata_regressors!$A$1:$L$2000,MATCH($A340,vdata_regressors!$A$2:$A$2000,0)+1,MATCH(G$2,vdata_regressors!$A$1:$R$1,0)),"")</f>
        <v/>
      </c>
      <c r="H340" s="23" t="str">
        <f>IFERROR(INDEX(vdata_regressors!$A$1:$L$2000,MATCH($A340,vdata_regressors!$A$2:$A$2000,0)+1,MATCH(H$2,vdata_regressors!$A$1:$R$1,0)),"")</f>
        <v/>
      </c>
      <c r="I340" s="23" t="str">
        <f>IFERROR(INDEX(vdata_regressors!$A$1:$L$2000,MATCH($A340,vdata_regressors!$A$2:$A$2000,0)+1,MATCH(I$2,vdata_regressors!$A$1:$R$1,0)),"")</f>
        <v/>
      </c>
      <c r="J340" s="23" t="str">
        <f>IFERROR(INDEX(vdata_regressors!$A$1:$L$2000,MATCH($A340,vdata_regressors!$A$2:$A$2000,0)+1,MATCH(J$2,vdata_regressors!$A$1:$R$1,0)),"")</f>
        <v/>
      </c>
      <c r="K340" s="23" t="str">
        <f>IFERROR(INDEX(vdata_regressors!$A$1:$L$2000,MATCH($A340,vdata_regressors!$A$2:$A$2000,0)+1,MATCH(K$2,vdata_regressors!$A$1:$R$1,0)),"")</f>
        <v/>
      </c>
      <c r="L340" s="23" t="str">
        <f>IFERROR(INDEX(vdata_regressors!$A$1:$L$2000,MATCH($A340,vdata_regressors!$A$2:$A$2000,0)+1,MATCH(L$2,vdata_regressors!$A$1:$R$1,0)),"")</f>
        <v/>
      </c>
      <c r="M340" s="23" t="str">
        <f>IFERROR(VLOOKUP(A340,vdata_hours!$A$2:$B$1000,2,FALSE),"")</f>
        <v/>
      </c>
    </row>
    <row r="341" spans="1:13" x14ac:dyDescent="0.25">
      <c r="A341" s="23" t="str">
        <f>IF(vdata_hours!A340=0,"",vdata_hours!A340)</f>
        <v/>
      </c>
      <c r="B341" s="23" t="str">
        <f>IFERROR(INDEX(vdata_regressors!$A$1:$L$2000,MATCH($A341,vdata_regressors!$A$2:$A$2000,0)+1,MATCH(B$2,vdata_regressors!$A$1:$R$1,0)),"")</f>
        <v/>
      </c>
      <c r="C341" s="23" t="str">
        <f>IFERROR(INDEX(vdata_regressors!$A$1:$L$2000,MATCH($A341,vdata_regressors!$A$2:$A$2000,0)+1,MATCH(C$2,vdata_regressors!$A$1:$R$1,0)),"")</f>
        <v/>
      </c>
      <c r="D341" s="23" t="str">
        <f>IFERROR(INDEX(vdata_regressors!$A$1:$L$2000,MATCH($A341,vdata_regressors!$A$2:$A$2000,0)+1,MATCH(D$2,vdata_regressors!$A$1:$R$1,0)),"")</f>
        <v/>
      </c>
      <c r="E341" s="23" t="str">
        <f>IFERROR(INDEX(vdata_regressors!$A$1:$L$2000,MATCH($A341,vdata_regressors!$A$2:$A$2000,0)+1,MATCH(E$2,vdata_regressors!$A$1:$R$1,0)),"")</f>
        <v/>
      </c>
      <c r="F341" s="23" t="str">
        <f>IFERROR(INDEX(vdata_regressors!$A$1:$L$2000,MATCH($A341,vdata_regressors!$A$2:$A$2000,0)+1,MATCH(F$2,vdata_regressors!$A$1:$R$1,0)),"")</f>
        <v/>
      </c>
      <c r="G341" s="23" t="str">
        <f>IFERROR(INDEX(vdata_regressors!$A$1:$L$2000,MATCH($A341,vdata_regressors!$A$2:$A$2000,0)+1,MATCH(G$2,vdata_regressors!$A$1:$R$1,0)),"")</f>
        <v/>
      </c>
      <c r="H341" s="23" t="str">
        <f>IFERROR(INDEX(vdata_regressors!$A$1:$L$2000,MATCH($A341,vdata_regressors!$A$2:$A$2000,0)+1,MATCH(H$2,vdata_regressors!$A$1:$R$1,0)),"")</f>
        <v/>
      </c>
      <c r="I341" s="23" t="str">
        <f>IFERROR(INDEX(vdata_regressors!$A$1:$L$2000,MATCH($A341,vdata_regressors!$A$2:$A$2000,0)+1,MATCH(I$2,vdata_regressors!$A$1:$R$1,0)),"")</f>
        <v/>
      </c>
      <c r="J341" s="23" t="str">
        <f>IFERROR(INDEX(vdata_regressors!$A$1:$L$2000,MATCH($A341,vdata_regressors!$A$2:$A$2000,0)+1,MATCH(J$2,vdata_regressors!$A$1:$R$1,0)),"")</f>
        <v/>
      </c>
      <c r="K341" s="23" t="str">
        <f>IFERROR(INDEX(vdata_regressors!$A$1:$L$2000,MATCH($A341,vdata_regressors!$A$2:$A$2000,0)+1,MATCH(K$2,vdata_regressors!$A$1:$R$1,0)),"")</f>
        <v/>
      </c>
      <c r="L341" s="23" t="str">
        <f>IFERROR(INDEX(vdata_regressors!$A$1:$L$2000,MATCH($A341,vdata_regressors!$A$2:$A$2000,0)+1,MATCH(L$2,vdata_regressors!$A$1:$R$1,0)),"")</f>
        <v/>
      </c>
      <c r="M341" s="23" t="str">
        <f>IFERROR(VLOOKUP(A341,vdata_hours!$A$2:$B$1000,2,FALSE),"")</f>
        <v/>
      </c>
    </row>
    <row r="342" spans="1:13" x14ac:dyDescent="0.25">
      <c r="A342" s="23" t="str">
        <f>IF(vdata_hours!A341=0,"",vdata_hours!A341)</f>
        <v/>
      </c>
      <c r="B342" s="23" t="str">
        <f>IFERROR(INDEX(vdata_regressors!$A$1:$L$2000,MATCH($A342,vdata_regressors!$A$2:$A$2000,0)+1,MATCH(B$2,vdata_regressors!$A$1:$R$1,0)),"")</f>
        <v/>
      </c>
      <c r="C342" s="23" t="str">
        <f>IFERROR(INDEX(vdata_regressors!$A$1:$L$2000,MATCH($A342,vdata_regressors!$A$2:$A$2000,0)+1,MATCH(C$2,vdata_regressors!$A$1:$R$1,0)),"")</f>
        <v/>
      </c>
      <c r="D342" s="23" t="str">
        <f>IFERROR(INDEX(vdata_regressors!$A$1:$L$2000,MATCH($A342,vdata_regressors!$A$2:$A$2000,0)+1,MATCH(D$2,vdata_regressors!$A$1:$R$1,0)),"")</f>
        <v/>
      </c>
      <c r="E342" s="23" t="str">
        <f>IFERROR(INDEX(vdata_regressors!$A$1:$L$2000,MATCH($A342,vdata_regressors!$A$2:$A$2000,0)+1,MATCH(E$2,vdata_regressors!$A$1:$R$1,0)),"")</f>
        <v/>
      </c>
      <c r="F342" s="23" t="str">
        <f>IFERROR(INDEX(vdata_regressors!$A$1:$L$2000,MATCH($A342,vdata_regressors!$A$2:$A$2000,0)+1,MATCH(F$2,vdata_regressors!$A$1:$R$1,0)),"")</f>
        <v/>
      </c>
      <c r="G342" s="23" t="str">
        <f>IFERROR(INDEX(vdata_regressors!$A$1:$L$2000,MATCH($A342,vdata_regressors!$A$2:$A$2000,0)+1,MATCH(G$2,vdata_regressors!$A$1:$R$1,0)),"")</f>
        <v/>
      </c>
      <c r="H342" s="23" t="str">
        <f>IFERROR(INDEX(vdata_regressors!$A$1:$L$2000,MATCH($A342,vdata_regressors!$A$2:$A$2000,0)+1,MATCH(H$2,vdata_regressors!$A$1:$R$1,0)),"")</f>
        <v/>
      </c>
      <c r="I342" s="23" t="str">
        <f>IFERROR(INDEX(vdata_regressors!$A$1:$L$2000,MATCH($A342,vdata_regressors!$A$2:$A$2000,0)+1,MATCH(I$2,vdata_regressors!$A$1:$R$1,0)),"")</f>
        <v/>
      </c>
      <c r="J342" s="23" t="str">
        <f>IFERROR(INDEX(vdata_regressors!$A$1:$L$2000,MATCH($A342,vdata_regressors!$A$2:$A$2000,0)+1,MATCH(J$2,vdata_regressors!$A$1:$R$1,0)),"")</f>
        <v/>
      </c>
      <c r="K342" s="23" t="str">
        <f>IFERROR(INDEX(vdata_regressors!$A$1:$L$2000,MATCH($A342,vdata_regressors!$A$2:$A$2000,0)+1,MATCH(K$2,vdata_regressors!$A$1:$R$1,0)),"")</f>
        <v/>
      </c>
      <c r="L342" s="23" t="str">
        <f>IFERROR(INDEX(vdata_regressors!$A$1:$L$2000,MATCH($A342,vdata_regressors!$A$2:$A$2000,0)+1,MATCH(L$2,vdata_regressors!$A$1:$R$1,0)),"")</f>
        <v/>
      </c>
      <c r="M342" s="23" t="str">
        <f>IFERROR(VLOOKUP(A342,vdata_hours!$A$2:$B$1000,2,FALSE),"")</f>
        <v/>
      </c>
    </row>
    <row r="343" spans="1:13" x14ac:dyDescent="0.25">
      <c r="A343" s="23" t="str">
        <f>IF(vdata_hours!A342=0,"",vdata_hours!A342)</f>
        <v/>
      </c>
      <c r="B343" s="23" t="str">
        <f>IFERROR(INDEX(vdata_regressors!$A$1:$L$2000,MATCH($A343,vdata_regressors!$A$2:$A$2000,0)+1,MATCH(B$2,vdata_regressors!$A$1:$R$1,0)),"")</f>
        <v/>
      </c>
      <c r="C343" s="23" t="str">
        <f>IFERROR(INDEX(vdata_regressors!$A$1:$L$2000,MATCH($A343,vdata_regressors!$A$2:$A$2000,0)+1,MATCH(C$2,vdata_regressors!$A$1:$R$1,0)),"")</f>
        <v/>
      </c>
      <c r="D343" s="23" t="str">
        <f>IFERROR(INDEX(vdata_regressors!$A$1:$L$2000,MATCH($A343,vdata_regressors!$A$2:$A$2000,0)+1,MATCH(D$2,vdata_regressors!$A$1:$R$1,0)),"")</f>
        <v/>
      </c>
      <c r="E343" s="23" t="str">
        <f>IFERROR(INDEX(vdata_regressors!$A$1:$L$2000,MATCH($A343,vdata_regressors!$A$2:$A$2000,0)+1,MATCH(E$2,vdata_regressors!$A$1:$R$1,0)),"")</f>
        <v/>
      </c>
      <c r="F343" s="23" t="str">
        <f>IFERROR(INDEX(vdata_regressors!$A$1:$L$2000,MATCH($A343,vdata_regressors!$A$2:$A$2000,0)+1,MATCH(F$2,vdata_regressors!$A$1:$R$1,0)),"")</f>
        <v/>
      </c>
      <c r="G343" s="23" t="str">
        <f>IFERROR(INDEX(vdata_regressors!$A$1:$L$2000,MATCH($A343,vdata_regressors!$A$2:$A$2000,0)+1,MATCH(G$2,vdata_regressors!$A$1:$R$1,0)),"")</f>
        <v/>
      </c>
      <c r="H343" s="23" t="str">
        <f>IFERROR(INDEX(vdata_regressors!$A$1:$L$2000,MATCH($A343,vdata_regressors!$A$2:$A$2000,0)+1,MATCH(H$2,vdata_regressors!$A$1:$R$1,0)),"")</f>
        <v/>
      </c>
      <c r="I343" s="23" t="str">
        <f>IFERROR(INDEX(vdata_regressors!$A$1:$L$2000,MATCH($A343,vdata_regressors!$A$2:$A$2000,0)+1,MATCH(I$2,vdata_regressors!$A$1:$R$1,0)),"")</f>
        <v/>
      </c>
      <c r="J343" s="23" t="str">
        <f>IFERROR(INDEX(vdata_regressors!$A$1:$L$2000,MATCH($A343,vdata_regressors!$A$2:$A$2000,0)+1,MATCH(J$2,vdata_regressors!$A$1:$R$1,0)),"")</f>
        <v/>
      </c>
      <c r="K343" s="23" t="str">
        <f>IFERROR(INDEX(vdata_regressors!$A$1:$L$2000,MATCH($A343,vdata_regressors!$A$2:$A$2000,0)+1,MATCH(K$2,vdata_regressors!$A$1:$R$1,0)),"")</f>
        <v/>
      </c>
      <c r="L343" s="23" t="str">
        <f>IFERROR(INDEX(vdata_regressors!$A$1:$L$2000,MATCH($A343,vdata_regressors!$A$2:$A$2000,0)+1,MATCH(L$2,vdata_regressors!$A$1:$R$1,0)),"")</f>
        <v/>
      </c>
      <c r="M343" s="23" t="str">
        <f>IFERROR(VLOOKUP(A343,vdata_hours!$A$2:$B$1000,2,FALSE),"")</f>
        <v/>
      </c>
    </row>
    <row r="344" spans="1:13" x14ac:dyDescent="0.25">
      <c r="A344" s="23" t="str">
        <f>IF(vdata_hours!A343=0,"",vdata_hours!A343)</f>
        <v/>
      </c>
      <c r="B344" s="23" t="str">
        <f>IFERROR(INDEX(vdata_regressors!$A$1:$L$2000,MATCH($A344,vdata_regressors!$A$2:$A$2000,0)+1,MATCH(B$2,vdata_regressors!$A$1:$R$1,0)),"")</f>
        <v/>
      </c>
      <c r="C344" s="23" t="str">
        <f>IFERROR(INDEX(vdata_regressors!$A$1:$L$2000,MATCH($A344,vdata_regressors!$A$2:$A$2000,0)+1,MATCH(C$2,vdata_regressors!$A$1:$R$1,0)),"")</f>
        <v/>
      </c>
      <c r="D344" s="23" t="str">
        <f>IFERROR(INDEX(vdata_regressors!$A$1:$L$2000,MATCH($A344,vdata_regressors!$A$2:$A$2000,0)+1,MATCH(D$2,vdata_regressors!$A$1:$R$1,0)),"")</f>
        <v/>
      </c>
      <c r="E344" s="23" t="str">
        <f>IFERROR(INDEX(vdata_regressors!$A$1:$L$2000,MATCH($A344,vdata_regressors!$A$2:$A$2000,0)+1,MATCH(E$2,vdata_regressors!$A$1:$R$1,0)),"")</f>
        <v/>
      </c>
      <c r="F344" s="23" t="str">
        <f>IFERROR(INDEX(vdata_regressors!$A$1:$L$2000,MATCH($A344,vdata_regressors!$A$2:$A$2000,0)+1,MATCH(F$2,vdata_regressors!$A$1:$R$1,0)),"")</f>
        <v/>
      </c>
      <c r="G344" s="23" t="str">
        <f>IFERROR(INDEX(vdata_regressors!$A$1:$L$2000,MATCH($A344,vdata_regressors!$A$2:$A$2000,0)+1,MATCH(G$2,vdata_regressors!$A$1:$R$1,0)),"")</f>
        <v/>
      </c>
      <c r="H344" s="23" t="str">
        <f>IFERROR(INDEX(vdata_regressors!$A$1:$L$2000,MATCH($A344,vdata_regressors!$A$2:$A$2000,0)+1,MATCH(H$2,vdata_regressors!$A$1:$R$1,0)),"")</f>
        <v/>
      </c>
      <c r="I344" s="23" t="str">
        <f>IFERROR(INDEX(vdata_regressors!$A$1:$L$2000,MATCH($A344,vdata_regressors!$A$2:$A$2000,0)+1,MATCH(I$2,vdata_regressors!$A$1:$R$1,0)),"")</f>
        <v/>
      </c>
      <c r="J344" s="23" t="str">
        <f>IFERROR(INDEX(vdata_regressors!$A$1:$L$2000,MATCH($A344,vdata_regressors!$A$2:$A$2000,0)+1,MATCH(J$2,vdata_regressors!$A$1:$R$1,0)),"")</f>
        <v/>
      </c>
      <c r="K344" s="23" t="str">
        <f>IFERROR(INDEX(vdata_regressors!$A$1:$L$2000,MATCH($A344,vdata_regressors!$A$2:$A$2000,0)+1,MATCH(K$2,vdata_regressors!$A$1:$R$1,0)),"")</f>
        <v/>
      </c>
      <c r="L344" s="23" t="str">
        <f>IFERROR(INDEX(vdata_regressors!$A$1:$L$2000,MATCH($A344,vdata_regressors!$A$2:$A$2000,0)+1,MATCH(L$2,vdata_regressors!$A$1:$R$1,0)),"")</f>
        <v/>
      </c>
      <c r="M344" s="23" t="str">
        <f>IFERROR(VLOOKUP(A344,vdata_hours!$A$2:$B$1000,2,FALSE),"")</f>
        <v/>
      </c>
    </row>
    <row r="345" spans="1:13" x14ac:dyDescent="0.25">
      <c r="A345" s="23" t="str">
        <f>IF(vdata_hours!A344=0,"",vdata_hours!A344)</f>
        <v/>
      </c>
      <c r="B345" s="23" t="str">
        <f>IFERROR(INDEX(vdata_regressors!$A$1:$L$2000,MATCH($A345,vdata_regressors!$A$2:$A$2000,0)+1,MATCH(B$2,vdata_regressors!$A$1:$R$1,0)),"")</f>
        <v/>
      </c>
      <c r="C345" s="23" t="str">
        <f>IFERROR(INDEX(vdata_regressors!$A$1:$L$2000,MATCH($A345,vdata_regressors!$A$2:$A$2000,0)+1,MATCH(C$2,vdata_regressors!$A$1:$R$1,0)),"")</f>
        <v/>
      </c>
      <c r="D345" s="23" t="str">
        <f>IFERROR(INDEX(vdata_regressors!$A$1:$L$2000,MATCH($A345,vdata_regressors!$A$2:$A$2000,0)+1,MATCH(D$2,vdata_regressors!$A$1:$R$1,0)),"")</f>
        <v/>
      </c>
      <c r="E345" s="23" t="str">
        <f>IFERROR(INDEX(vdata_regressors!$A$1:$L$2000,MATCH($A345,vdata_regressors!$A$2:$A$2000,0)+1,MATCH(E$2,vdata_regressors!$A$1:$R$1,0)),"")</f>
        <v/>
      </c>
      <c r="F345" s="23" t="str">
        <f>IFERROR(INDEX(vdata_regressors!$A$1:$L$2000,MATCH($A345,vdata_regressors!$A$2:$A$2000,0)+1,MATCH(F$2,vdata_regressors!$A$1:$R$1,0)),"")</f>
        <v/>
      </c>
      <c r="G345" s="23" t="str">
        <f>IFERROR(INDEX(vdata_regressors!$A$1:$L$2000,MATCH($A345,vdata_regressors!$A$2:$A$2000,0)+1,MATCH(G$2,vdata_regressors!$A$1:$R$1,0)),"")</f>
        <v/>
      </c>
      <c r="H345" s="23" t="str">
        <f>IFERROR(INDEX(vdata_regressors!$A$1:$L$2000,MATCH($A345,vdata_regressors!$A$2:$A$2000,0)+1,MATCH(H$2,vdata_regressors!$A$1:$R$1,0)),"")</f>
        <v/>
      </c>
      <c r="I345" s="23" t="str">
        <f>IFERROR(INDEX(vdata_regressors!$A$1:$L$2000,MATCH($A345,vdata_regressors!$A$2:$A$2000,0)+1,MATCH(I$2,vdata_regressors!$A$1:$R$1,0)),"")</f>
        <v/>
      </c>
      <c r="J345" s="23" t="str">
        <f>IFERROR(INDEX(vdata_regressors!$A$1:$L$2000,MATCH($A345,vdata_regressors!$A$2:$A$2000,0)+1,MATCH(J$2,vdata_regressors!$A$1:$R$1,0)),"")</f>
        <v/>
      </c>
      <c r="K345" s="23" t="str">
        <f>IFERROR(INDEX(vdata_regressors!$A$1:$L$2000,MATCH($A345,vdata_regressors!$A$2:$A$2000,0)+1,MATCH(K$2,vdata_regressors!$A$1:$R$1,0)),"")</f>
        <v/>
      </c>
      <c r="L345" s="23" t="str">
        <f>IFERROR(INDEX(vdata_regressors!$A$1:$L$2000,MATCH($A345,vdata_regressors!$A$2:$A$2000,0)+1,MATCH(L$2,vdata_regressors!$A$1:$R$1,0)),"")</f>
        <v/>
      </c>
      <c r="M345" s="23" t="str">
        <f>IFERROR(VLOOKUP(A345,vdata_hours!$A$2:$B$1000,2,FALSE),"")</f>
        <v/>
      </c>
    </row>
    <row r="346" spans="1:13" x14ac:dyDescent="0.25">
      <c r="A346" s="23" t="str">
        <f>IF(vdata_hours!A345=0,"",vdata_hours!A345)</f>
        <v/>
      </c>
      <c r="B346" s="23" t="str">
        <f>IFERROR(INDEX(vdata_regressors!$A$1:$L$2000,MATCH($A346,vdata_regressors!$A$2:$A$2000,0)+1,MATCH(B$2,vdata_regressors!$A$1:$R$1,0)),"")</f>
        <v/>
      </c>
      <c r="C346" s="23" t="str">
        <f>IFERROR(INDEX(vdata_regressors!$A$1:$L$2000,MATCH($A346,vdata_regressors!$A$2:$A$2000,0)+1,MATCH(C$2,vdata_regressors!$A$1:$R$1,0)),"")</f>
        <v/>
      </c>
      <c r="D346" s="23" t="str">
        <f>IFERROR(INDEX(vdata_regressors!$A$1:$L$2000,MATCH($A346,vdata_regressors!$A$2:$A$2000,0)+1,MATCH(D$2,vdata_regressors!$A$1:$R$1,0)),"")</f>
        <v/>
      </c>
      <c r="E346" s="23" t="str">
        <f>IFERROR(INDEX(vdata_regressors!$A$1:$L$2000,MATCH($A346,vdata_regressors!$A$2:$A$2000,0)+1,MATCH(E$2,vdata_regressors!$A$1:$R$1,0)),"")</f>
        <v/>
      </c>
      <c r="F346" s="23" t="str">
        <f>IFERROR(INDEX(vdata_regressors!$A$1:$L$2000,MATCH($A346,vdata_regressors!$A$2:$A$2000,0)+1,MATCH(F$2,vdata_regressors!$A$1:$R$1,0)),"")</f>
        <v/>
      </c>
      <c r="G346" s="23" t="str">
        <f>IFERROR(INDEX(vdata_regressors!$A$1:$L$2000,MATCH($A346,vdata_regressors!$A$2:$A$2000,0)+1,MATCH(G$2,vdata_regressors!$A$1:$R$1,0)),"")</f>
        <v/>
      </c>
      <c r="H346" s="23" t="str">
        <f>IFERROR(INDEX(vdata_regressors!$A$1:$L$2000,MATCH($A346,vdata_regressors!$A$2:$A$2000,0)+1,MATCH(H$2,vdata_regressors!$A$1:$R$1,0)),"")</f>
        <v/>
      </c>
      <c r="I346" s="23" t="str">
        <f>IFERROR(INDEX(vdata_regressors!$A$1:$L$2000,MATCH($A346,vdata_regressors!$A$2:$A$2000,0)+1,MATCH(I$2,vdata_regressors!$A$1:$R$1,0)),"")</f>
        <v/>
      </c>
      <c r="J346" s="23" t="str">
        <f>IFERROR(INDEX(vdata_regressors!$A$1:$L$2000,MATCH($A346,vdata_regressors!$A$2:$A$2000,0)+1,MATCH(J$2,vdata_regressors!$A$1:$R$1,0)),"")</f>
        <v/>
      </c>
      <c r="K346" s="23" t="str">
        <f>IFERROR(INDEX(vdata_regressors!$A$1:$L$2000,MATCH($A346,vdata_regressors!$A$2:$A$2000,0)+1,MATCH(K$2,vdata_regressors!$A$1:$R$1,0)),"")</f>
        <v/>
      </c>
      <c r="L346" s="23" t="str">
        <f>IFERROR(INDEX(vdata_regressors!$A$1:$L$2000,MATCH($A346,vdata_regressors!$A$2:$A$2000,0)+1,MATCH(L$2,vdata_regressors!$A$1:$R$1,0)),"")</f>
        <v/>
      </c>
      <c r="M346" s="23" t="str">
        <f>IFERROR(VLOOKUP(A346,vdata_hours!$A$2:$B$1000,2,FALSE),"")</f>
        <v/>
      </c>
    </row>
    <row r="347" spans="1:13" x14ac:dyDescent="0.25">
      <c r="A347" s="23" t="str">
        <f>IF(vdata_hours!A346=0,"",vdata_hours!A346)</f>
        <v/>
      </c>
      <c r="B347" s="23" t="str">
        <f>IFERROR(INDEX(vdata_regressors!$A$1:$L$2000,MATCH($A347,vdata_regressors!$A$2:$A$2000,0)+1,MATCH(B$2,vdata_regressors!$A$1:$R$1,0)),"")</f>
        <v/>
      </c>
      <c r="C347" s="23" t="str">
        <f>IFERROR(INDEX(vdata_regressors!$A$1:$L$2000,MATCH($A347,vdata_regressors!$A$2:$A$2000,0)+1,MATCH(C$2,vdata_regressors!$A$1:$R$1,0)),"")</f>
        <v/>
      </c>
      <c r="D347" s="23" t="str">
        <f>IFERROR(INDEX(vdata_regressors!$A$1:$L$2000,MATCH($A347,vdata_regressors!$A$2:$A$2000,0)+1,MATCH(D$2,vdata_regressors!$A$1:$R$1,0)),"")</f>
        <v/>
      </c>
      <c r="E347" s="23" t="str">
        <f>IFERROR(INDEX(vdata_regressors!$A$1:$L$2000,MATCH($A347,vdata_regressors!$A$2:$A$2000,0)+1,MATCH(E$2,vdata_regressors!$A$1:$R$1,0)),"")</f>
        <v/>
      </c>
      <c r="F347" s="23" t="str">
        <f>IFERROR(INDEX(vdata_regressors!$A$1:$L$2000,MATCH($A347,vdata_regressors!$A$2:$A$2000,0)+1,MATCH(F$2,vdata_regressors!$A$1:$R$1,0)),"")</f>
        <v/>
      </c>
      <c r="G347" s="23" t="str">
        <f>IFERROR(INDEX(vdata_regressors!$A$1:$L$2000,MATCH($A347,vdata_regressors!$A$2:$A$2000,0)+1,MATCH(G$2,vdata_regressors!$A$1:$R$1,0)),"")</f>
        <v/>
      </c>
      <c r="H347" s="23" t="str">
        <f>IFERROR(INDEX(vdata_regressors!$A$1:$L$2000,MATCH($A347,vdata_regressors!$A$2:$A$2000,0)+1,MATCH(H$2,vdata_regressors!$A$1:$R$1,0)),"")</f>
        <v/>
      </c>
      <c r="I347" s="23" t="str">
        <f>IFERROR(INDEX(vdata_regressors!$A$1:$L$2000,MATCH($A347,vdata_regressors!$A$2:$A$2000,0)+1,MATCH(I$2,vdata_regressors!$A$1:$R$1,0)),"")</f>
        <v/>
      </c>
      <c r="J347" s="23" t="str">
        <f>IFERROR(INDEX(vdata_regressors!$A$1:$L$2000,MATCH($A347,vdata_regressors!$A$2:$A$2000,0)+1,MATCH(J$2,vdata_regressors!$A$1:$R$1,0)),"")</f>
        <v/>
      </c>
      <c r="K347" s="23" t="str">
        <f>IFERROR(INDEX(vdata_regressors!$A$1:$L$2000,MATCH($A347,vdata_regressors!$A$2:$A$2000,0)+1,MATCH(K$2,vdata_regressors!$A$1:$R$1,0)),"")</f>
        <v/>
      </c>
      <c r="L347" s="23" t="str">
        <f>IFERROR(INDEX(vdata_regressors!$A$1:$L$2000,MATCH($A347,vdata_regressors!$A$2:$A$2000,0)+1,MATCH(L$2,vdata_regressors!$A$1:$R$1,0)),"")</f>
        <v/>
      </c>
      <c r="M347" s="23" t="str">
        <f>IFERROR(VLOOKUP(A347,vdata_hours!$A$2:$B$1000,2,FALSE),"")</f>
        <v/>
      </c>
    </row>
    <row r="348" spans="1:13" x14ac:dyDescent="0.25">
      <c r="A348" s="23" t="str">
        <f>IF(vdata_hours!A347=0,"",vdata_hours!A347)</f>
        <v/>
      </c>
      <c r="B348" s="23" t="str">
        <f>IFERROR(INDEX(vdata_regressors!$A$1:$L$2000,MATCH($A348,vdata_regressors!$A$2:$A$2000,0)+1,MATCH(B$2,vdata_regressors!$A$1:$R$1,0)),"")</f>
        <v/>
      </c>
      <c r="C348" s="23" t="str">
        <f>IFERROR(INDEX(vdata_regressors!$A$1:$L$2000,MATCH($A348,vdata_regressors!$A$2:$A$2000,0)+1,MATCH(C$2,vdata_regressors!$A$1:$R$1,0)),"")</f>
        <v/>
      </c>
      <c r="D348" s="23" t="str">
        <f>IFERROR(INDEX(vdata_regressors!$A$1:$L$2000,MATCH($A348,vdata_regressors!$A$2:$A$2000,0)+1,MATCH(D$2,vdata_regressors!$A$1:$R$1,0)),"")</f>
        <v/>
      </c>
      <c r="E348" s="23" t="str">
        <f>IFERROR(INDEX(vdata_regressors!$A$1:$L$2000,MATCH($A348,vdata_regressors!$A$2:$A$2000,0)+1,MATCH(E$2,vdata_regressors!$A$1:$R$1,0)),"")</f>
        <v/>
      </c>
      <c r="F348" s="23" t="str">
        <f>IFERROR(INDEX(vdata_regressors!$A$1:$L$2000,MATCH($A348,vdata_regressors!$A$2:$A$2000,0)+1,MATCH(F$2,vdata_regressors!$A$1:$R$1,0)),"")</f>
        <v/>
      </c>
      <c r="G348" s="23" t="str">
        <f>IFERROR(INDEX(vdata_regressors!$A$1:$L$2000,MATCH($A348,vdata_regressors!$A$2:$A$2000,0)+1,MATCH(G$2,vdata_regressors!$A$1:$R$1,0)),"")</f>
        <v/>
      </c>
      <c r="H348" s="23" t="str">
        <f>IFERROR(INDEX(vdata_regressors!$A$1:$L$2000,MATCH($A348,vdata_regressors!$A$2:$A$2000,0)+1,MATCH(H$2,vdata_regressors!$A$1:$R$1,0)),"")</f>
        <v/>
      </c>
      <c r="I348" s="23" t="str">
        <f>IFERROR(INDEX(vdata_regressors!$A$1:$L$2000,MATCH($A348,vdata_regressors!$A$2:$A$2000,0)+1,MATCH(I$2,vdata_regressors!$A$1:$R$1,0)),"")</f>
        <v/>
      </c>
      <c r="J348" s="23" t="str">
        <f>IFERROR(INDEX(vdata_regressors!$A$1:$L$2000,MATCH($A348,vdata_regressors!$A$2:$A$2000,0)+1,MATCH(J$2,vdata_regressors!$A$1:$R$1,0)),"")</f>
        <v/>
      </c>
      <c r="K348" s="23" t="str">
        <f>IFERROR(INDEX(vdata_regressors!$A$1:$L$2000,MATCH($A348,vdata_regressors!$A$2:$A$2000,0)+1,MATCH(K$2,vdata_regressors!$A$1:$R$1,0)),"")</f>
        <v/>
      </c>
      <c r="L348" s="23" t="str">
        <f>IFERROR(INDEX(vdata_regressors!$A$1:$L$2000,MATCH($A348,vdata_regressors!$A$2:$A$2000,0)+1,MATCH(L$2,vdata_regressors!$A$1:$R$1,0)),"")</f>
        <v/>
      </c>
      <c r="M348" s="23" t="str">
        <f>IFERROR(VLOOKUP(A348,vdata_hours!$A$2:$B$1000,2,FALSE),"")</f>
        <v/>
      </c>
    </row>
    <row r="349" spans="1:13" x14ac:dyDescent="0.25">
      <c r="A349" s="23" t="str">
        <f>IF(vdata_hours!A348=0,"",vdata_hours!A348)</f>
        <v/>
      </c>
      <c r="B349" s="23" t="str">
        <f>IFERROR(INDEX(vdata_regressors!$A$1:$L$2000,MATCH($A349,vdata_regressors!$A$2:$A$2000,0)+1,MATCH(B$2,vdata_regressors!$A$1:$R$1,0)),"")</f>
        <v/>
      </c>
      <c r="C349" s="23" t="str">
        <f>IFERROR(INDEX(vdata_regressors!$A$1:$L$2000,MATCH($A349,vdata_regressors!$A$2:$A$2000,0)+1,MATCH(C$2,vdata_regressors!$A$1:$R$1,0)),"")</f>
        <v/>
      </c>
      <c r="D349" s="23" t="str">
        <f>IFERROR(INDEX(vdata_regressors!$A$1:$L$2000,MATCH($A349,vdata_regressors!$A$2:$A$2000,0)+1,MATCH(D$2,vdata_regressors!$A$1:$R$1,0)),"")</f>
        <v/>
      </c>
      <c r="E349" s="23" t="str">
        <f>IFERROR(INDEX(vdata_regressors!$A$1:$L$2000,MATCH($A349,vdata_regressors!$A$2:$A$2000,0)+1,MATCH(E$2,vdata_regressors!$A$1:$R$1,0)),"")</f>
        <v/>
      </c>
      <c r="F349" s="23" t="str">
        <f>IFERROR(INDEX(vdata_regressors!$A$1:$L$2000,MATCH($A349,vdata_regressors!$A$2:$A$2000,0)+1,MATCH(F$2,vdata_regressors!$A$1:$R$1,0)),"")</f>
        <v/>
      </c>
      <c r="G349" s="23" t="str">
        <f>IFERROR(INDEX(vdata_regressors!$A$1:$L$2000,MATCH($A349,vdata_regressors!$A$2:$A$2000,0)+1,MATCH(G$2,vdata_regressors!$A$1:$R$1,0)),"")</f>
        <v/>
      </c>
      <c r="H349" s="23" t="str">
        <f>IFERROR(INDEX(vdata_regressors!$A$1:$L$2000,MATCH($A349,vdata_regressors!$A$2:$A$2000,0)+1,MATCH(H$2,vdata_regressors!$A$1:$R$1,0)),"")</f>
        <v/>
      </c>
      <c r="I349" s="23" t="str">
        <f>IFERROR(INDEX(vdata_regressors!$A$1:$L$2000,MATCH($A349,vdata_regressors!$A$2:$A$2000,0)+1,MATCH(I$2,vdata_regressors!$A$1:$R$1,0)),"")</f>
        <v/>
      </c>
      <c r="J349" s="23" t="str">
        <f>IFERROR(INDEX(vdata_regressors!$A$1:$L$2000,MATCH($A349,vdata_regressors!$A$2:$A$2000,0)+1,MATCH(J$2,vdata_regressors!$A$1:$R$1,0)),"")</f>
        <v/>
      </c>
      <c r="K349" s="23" t="str">
        <f>IFERROR(INDEX(vdata_regressors!$A$1:$L$2000,MATCH($A349,vdata_regressors!$A$2:$A$2000,0)+1,MATCH(K$2,vdata_regressors!$A$1:$R$1,0)),"")</f>
        <v/>
      </c>
      <c r="L349" s="23" t="str">
        <f>IFERROR(INDEX(vdata_regressors!$A$1:$L$2000,MATCH($A349,vdata_regressors!$A$2:$A$2000,0)+1,MATCH(L$2,vdata_regressors!$A$1:$R$1,0)),"")</f>
        <v/>
      </c>
      <c r="M349" s="23" t="str">
        <f>IFERROR(VLOOKUP(A349,vdata_hours!$A$2:$B$1000,2,FALSE),"")</f>
        <v/>
      </c>
    </row>
    <row r="350" spans="1:13" x14ac:dyDescent="0.25">
      <c r="A350" s="23" t="str">
        <f>IF(vdata_hours!A349=0,"",vdata_hours!A349)</f>
        <v/>
      </c>
      <c r="B350" s="23" t="str">
        <f>IFERROR(INDEX(vdata_regressors!$A$1:$L$2000,MATCH($A350,vdata_regressors!$A$2:$A$2000,0)+1,MATCH(B$2,vdata_regressors!$A$1:$R$1,0)),"")</f>
        <v/>
      </c>
      <c r="C350" s="23" t="str">
        <f>IFERROR(INDEX(vdata_regressors!$A$1:$L$2000,MATCH($A350,vdata_regressors!$A$2:$A$2000,0)+1,MATCH(C$2,vdata_regressors!$A$1:$R$1,0)),"")</f>
        <v/>
      </c>
      <c r="D350" s="23" t="str">
        <f>IFERROR(INDEX(vdata_regressors!$A$1:$L$2000,MATCH($A350,vdata_regressors!$A$2:$A$2000,0)+1,MATCH(D$2,vdata_regressors!$A$1:$R$1,0)),"")</f>
        <v/>
      </c>
      <c r="E350" s="23" t="str">
        <f>IFERROR(INDEX(vdata_regressors!$A$1:$L$2000,MATCH($A350,vdata_regressors!$A$2:$A$2000,0)+1,MATCH(E$2,vdata_regressors!$A$1:$R$1,0)),"")</f>
        <v/>
      </c>
      <c r="F350" s="23" t="str">
        <f>IFERROR(INDEX(vdata_regressors!$A$1:$L$2000,MATCH($A350,vdata_regressors!$A$2:$A$2000,0)+1,MATCH(F$2,vdata_regressors!$A$1:$R$1,0)),"")</f>
        <v/>
      </c>
      <c r="G350" s="23" t="str">
        <f>IFERROR(INDEX(vdata_regressors!$A$1:$L$2000,MATCH($A350,vdata_regressors!$A$2:$A$2000,0)+1,MATCH(G$2,vdata_regressors!$A$1:$R$1,0)),"")</f>
        <v/>
      </c>
      <c r="H350" s="23" t="str">
        <f>IFERROR(INDEX(vdata_regressors!$A$1:$L$2000,MATCH($A350,vdata_regressors!$A$2:$A$2000,0)+1,MATCH(H$2,vdata_regressors!$A$1:$R$1,0)),"")</f>
        <v/>
      </c>
      <c r="I350" s="23" t="str">
        <f>IFERROR(INDEX(vdata_regressors!$A$1:$L$2000,MATCH($A350,vdata_regressors!$A$2:$A$2000,0)+1,MATCH(I$2,vdata_regressors!$A$1:$R$1,0)),"")</f>
        <v/>
      </c>
      <c r="J350" s="23" t="str">
        <f>IFERROR(INDEX(vdata_regressors!$A$1:$L$2000,MATCH($A350,vdata_regressors!$A$2:$A$2000,0)+1,MATCH(J$2,vdata_regressors!$A$1:$R$1,0)),"")</f>
        <v/>
      </c>
      <c r="K350" s="23" t="str">
        <f>IFERROR(INDEX(vdata_regressors!$A$1:$L$2000,MATCH($A350,vdata_regressors!$A$2:$A$2000,0)+1,MATCH(K$2,vdata_regressors!$A$1:$R$1,0)),"")</f>
        <v/>
      </c>
      <c r="L350" s="23" t="str">
        <f>IFERROR(INDEX(vdata_regressors!$A$1:$L$2000,MATCH($A350,vdata_regressors!$A$2:$A$2000,0)+1,MATCH(L$2,vdata_regressors!$A$1:$R$1,0)),"")</f>
        <v/>
      </c>
      <c r="M350" s="23" t="str">
        <f>IFERROR(VLOOKUP(A350,vdata_hours!$A$2:$B$1000,2,FALSE),"")</f>
        <v/>
      </c>
    </row>
    <row r="351" spans="1:13" x14ac:dyDescent="0.25">
      <c r="A351" s="23" t="str">
        <f>IF(vdata_hours!A350=0,"",vdata_hours!A350)</f>
        <v/>
      </c>
      <c r="B351" s="23" t="str">
        <f>IFERROR(INDEX(vdata_regressors!$A$1:$L$2000,MATCH($A351,vdata_regressors!$A$2:$A$2000,0)+1,MATCH(B$2,vdata_regressors!$A$1:$R$1,0)),"")</f>
        <v/>
      </c>
      <c r="C351" s="23" t="str">
        <f>IFERROR(INDEX(vdata_regressors!$A$1:$L$2000,MATCH($A351,vdata_regressors!$A$2:$A$2000,0)+1,MATCH(C$2,vdata_regressors!$A$1:$R$1,0)),"")</f>
        <v/>
      </c>
      <c r="D351" s="23" t="str">
        <f>IFERROR(INDEX(vdata_regressors!$A$1:$L$2000,MATCH($A351,vdata_regressors!$A$2:$A$2000,0)+1,MATCH(D$2,vdata_regressors!$A$1:$R$1,0)),"")</f>
        <v/>
      </c>
      <c r="E351" s="23" t="str">
        <f>IFERROR(INDEX(vdata_regressors!$A$1:$L$2000,MATCH($A351,vdata_regressors!$A$2:$A$2000,0)+1,MATCH(E$2,vdata_regressors!$A$1:$R$1,0)),"")</f>
        <v/>
      </c>
      <c r="F351" s="23" t="str">
        <f>IFERROR(INDEX(vdata_regressors!$A$1:$L$2000,MATCH($A351,vdata_regressors!$A$2:$A$2000,0)+1,MATCH(F$2,vdata_regressors!$A$1:$R$1,0)),"")</f>
        <v/>
      </c>
      <c r="G351" s="23" t="str">
        <f>IFERROR(INDEX(vdata_regressors!$A$1:$L$2000,MATCH($A351,vdata_regressors!$A$2:$A$2000,0)+1,MATCH(G$2,vdata_regressors!$A$1:$R$1,0)),"")</f>
        <v/>
      </c>
      <c r="H351" s="23" t="str">
        <f>IFERROR(INDEX(vdata_regressors!$A$1:$L$2000,MATCH($A351,vdata_regressors!$A$2:$A$2000,0)+1,MATCH(H$2,vdata_regressors!$A$1:$R$1,0)),"")</f>
        <v/>
      </c>
      <c r="I351" s="23" t="str">
        <f>IFERROR(INDEX(vdata_regressors!$A$1:$L$2000,MATCH($A351,vdata_regressors!$A$2:$A$2000,0)+1,MATCH(I$2,vdata_regressors!$A$1:$R$1,0)),"")</f>
        <v/>
      </c>
      <c r="J351" s="23" t="str">
        <f>IFERROR(INDEX(vdata_regressors!$A$1:$L$2000,MATCH($A351,vdata_regressors!$A$2:$A$2000,0)+1,MATCH(J$2,vdata_regressors!$A$1:$R$1,0)),"")</f>
        <v/>
      </c>
      <c r="K351" s="23" t="str">
        <f>IFERROR(INDEX(vdata_regressors!$A$1:$L$2000,MATCH($A351,vdata_regressors!$A$2:$A$2000,0)+1,MATCH(K$2,vdata_regressors!$A$1:$R$1,0)),"")</f>
        <v/>
      </c>
      <c r="L351" s="23" t="str">
        <f>IFERROR(INDEX(vdata_regressors!$A$1:$L$2000,MATCH($A351,vdata_regressors!$A$2:$A$2000,0)+1,MATCH(L$2,vdata_regressors!$A$1:$R$1,0)),"")</f>
        <v/>
      </c>
      <c r="M351" s="23" t="str">
        <f>IFERROR(VLOOKUP(A351,vdata_hours!$A$2:$B$1000,2,FALSE),"")</f>
        <v/>
      </c>
    </row>
    <row r="352" spans="1:13" x14ac:dyDescent="0.25">
      <c r="A352" s="23" t="str">
        <f>IF(vdata_hours!A351=0,"",vdata_hours!A351)</f>
        <v/>
      </c>
      <c r="B352" s="23" t="str">
        <f>IFERROR(INDEX(vdata_regressors!$A$1:$L$2000,MATCH($A352,vdata_regressors!$A$2:$A$2000,0)+1,MATCH(B$2,vdata_regressors!$A$1:$R$1,0)),"")</f>
        <v/>
      </c>
      <c r="C352" s="23" t="str">
        <f>IFERROR(INDEX(vdata_regressors!$A$1:$L$2000,MATCH($A352,vdata_regressors!$A$2:$A$2000,0)+1,MATCH(C$2,vdata_regressors!$A$1:$R$1,0)),"")</f>
        <v/>
      </c>
      <c r="D352" s="23" t="str">
        <f>IFERROR(INDEX(vdata_regressors!$A$1:$L$2000,MATCH($A352,vdata_regressors!$A$2:$A$2000,0)+1,MATCH(D$2,vdata_regressors!$A$1:$R$1,0)),"")</f>
        <v/>
      </c>
      <c r="E352" s="23" t="str">
        <f>IFERROR(INDEX(vdata_regressors!$A$1:$L$2000,MATCH($A352,vdata_regressors!$A$2:$A$2000,0)+1,MATCH(E$2,vdata_regressors!$A$1:$R$1,0)),"")</f>
        <v/>
      </c>
      <c r="F352" s="23" t="str">
        <f>IFERROR(INDEX(vdata_regressors!$A$1:$L$2000,MATCH($A352,vdata_regressors!$A$2:$A$2000,0)+1,MATCH(F$2,vdata_regressors!$A$1:$R$1,0)),"")</f>
        <v/>
      </c>
      <c r="G352" s="23" t="str">
        <f>IFERROR(INDEX(vdata_regressors!$A$1:$L$2000,MATCH($A352,vdata_regressors!$A$2:$A$2000,0)+1,MATCH(G$2,vdata_regressors!$A$1:$R$1,0)),"")</f>
        <v/>
      </c>
      <c r="H352" s="23" t="str">
        <f>IFERROR(INDEX(vdata_regressors!$A$1:$L$2000,MATCH($A352,vdata_regressors!$A$2:$A$2000,0)+1,MATCH(H$2,vdata_regressors!$A$1:$R$1,0)),"")</f>
        <v/>
      </c>
      <c r="I352" s="23" t="str">
        <f>IFERROR(INDEX(vdata_regressors!$A$1:$L$2000,MATCH($A352,vdata_regressors!$A$2:$A$2000,0)+1,MATCH(I$2,vdata_regressors!$A$1:$R$1,0)),"")</f>
        <v/>
      </c>
      <c r="J352" s="23" t="str">
        <f>IFERROR(INDEX(vdata_regressors!$A$1:$L$2000,MATCH($A352,vdata_regressors!$A$2:$A$2000,0)+1,MATCH(J$2,vdata_regressors!$A$1:$R$1,0)),"")</f>
        <v/>
      </c>
      <c r="K352" s="23" t="str">
        <f>IFERROR(INDEX(vdata_regressors!$A$1:$L$2000,MATCH($A352,vdata_regressors!$A$2:$A$2000,0)+1,MATCH(K$2,vdata_regressors!$A$1:$R$1,0)),"")</f>
        <v/>
      </c>
      <c r="L352" s="23" t="str">
        <f>IFERROR(INDEX(vdata_regressors!$A$1:$L$2000,MATCH($A352,vdata_regressors!$A$2:$A$2000,0)+1,MATCH(L$2,vdata_regressors!$A$1:$R$1,0)),"")</f>
        <v/>
      </c>
      <c r="M352" s="23" t="str">
        <f>IFERROR(VLOOKUP(A352,vdata_hours!$A$2:$B$1000,2,FALSE),"")</f>
        <v/>
      </c>
    </row>
    <row r="353" spans="1:13" x14ac:dyDescent="0.25">
      <c r="A353" s="23" t="str">
        <f>IF(vdata_hours!A352=0,"",vdata_hours!A352)</f>
        <v/>
      </c>
      <c r="B353" s="23" t="str">
        <f>IFERROR(INDEX(vdata_regressors!$A$1:$L$2000,MATCH($A353,vdata_regressors!$A$2:$A$2000,0)+1,MATCH(B$2,vdata_regressors!$A$1:$R$1,0)),"")</f>
        <v/>
      </c>
      <c r="C353" s="23" t="str">
        <f>IFERROR(INDEX(vdata_regressors!$A$1:$L$2000,MATCH($A353,vdata_regressors!$A$2:$A$2000,0)+1,MATCH(C$2,vdata_regressors!$A$1:$R$1,0)),"")</f>
        <v/>
      </c>
      <c r="D353" s="23" t="str">
        <f>IFERROR(INDEX(vdata_regressors!$A$1:$L$2000,MATCH($A353,vdata_regressors!$A$2:$A$2000,0)+1,MATCH(D$2,vdata_regressors!$A$1:$R$1,0)),"")</f>
        <v/>
      </c>
      <c r="E353" s="23" t="str">
        <f>IFERROR(INDEX(vdata_regressors!$A$1:$L$2000,MATCH($A353,vdata_regressors!$A$2:$A$2000,0)+1,MATCH(E$2,vdata_regressors!$A$1:$R$1,0)),"")</f>
        <v/>
      </c>
      <c r="F353" s="23" t="str">
        <f>IFERROR(INDEX(vdata_regressors!$A$1:$L$2000,MATCH($A353,vdata_regressors!$A$2:$A$2000,0)+1,MATCH(F$2,vdata_regressors!$A$1:$R$1,0)),"")</f>
        <v/>
      </c>
      <c r="G353" s="23" t="str">
        <f>IFERROR(INDEX(vdata_regressors!$A$1:$L$2000,MATCH($A353,vdata_regressors!$A$2:$A$2000,0)+1,MATCH(G$2,vdata_regressors!$A$1:$R$1,0)),"")</f>
        <v/>
      </c>
      <c r="H353" s="23" t="str">
        <f>IFERROR(INDEX(vdata_regressors!$A$1:$L$2000,MATCH($A353,vdata_regressors!$A$2:$A$2000,0)+1,MATCH(H$2,vdata_regressors!$A$1:$R$1,0)),"")</f>
        <v/>
      </c>
      <c r="I353" s="23" t="str">
        <f>IFERROR(INDEX(vdata_regressors!$A$1:$L$2000,MATCH($A353,vdata_regressors!$A$2:$A$2000,0)+1,MATCH(I$2,vdata_regressors!$A$1:$R$1,0)),"")</f>
        <v/>
      </c>
      <c r="J353" s="23" t="str">
        <f>IFERROR(INDEX(vdata_regressors!$A$1:$L$2000,MATCH($A353,vdata_regressors!$A$2:$A$2000,0)+1,MATCH(J$2,vdata_regressors!$A$1:$R$1,0)),"")</f>
        <v/>
      </c>
      <c r="K353" s="23" t="str">
        <f>IFERROR(INDEX(vdata_regressors!$A$1:$L$2000,MATCH($A353,vdata_regressors!$A$2:$A$2000,0)+1,MATCH(K$2,vdata_regressors!$A$1:$R$1,0)),"")</f>
        <v/>
      </c>
      <c r="L353" s="23" t="str">
        <f>IFERROR(INDEX(vdata_regressors!$A$1:$L$2000,MATCH($A353,vdata_regressors!$A$2:$A$2000,0)+1,MATCH(L$2,vdata_regressors!$A$1:$R$1,0)),"")</f>
        <v/>
      </c>
      <c r="M353" s="23" t="str">
        <f>IFERROR(VLOOKUP(A353,vdata_hours!$A$2:$B$1000,2,FALSE),"")</f>
        <v/>
      </c>
    </row>
    <row r="354" spans="1:13" x14ac:dyDescent="0.25">
      <c r="A354" s="23" t="str">
        <f>IF(vdata_hours!A353=0,"",vdata_hours!A353)</f>
        <v/>
      </c>
      <c r="B354" s="23" t="str">
        <f>IFERROR(INDEX(vdata_regressors!$A$1:$L$2000,MATCH($A354,vdata_regressors!$A$2:$A$2000,0)+1,MATCH(B$2,vdata_regressors!$A$1:$R$1,0)),"")</f>
        <v/>
      </c>
      <c r="C354" s="23" t="str">
        <f>IFERROR(INDEX(vdata_regressors!$A$1:$L$2000,MATCH($A354,vdata_regressors!$A$2:$A$2000,0)+1,MATCH(C$2,vdata_regressors!$A$1:$R$1,0)),"")</f>
        <v/>
      </c>
      <c r="D354" s="23" t="str">
        <f>IFERROR(INDEX(vdata_regressors!$A$1:$L$2000,MATCH($A354,vdata_regressors!$A$2:$A$2000,0)+1,MATCH(D$2,vdata_regressors!$A$1:$R$1,0)),"")</f>
        <v/>
      </c>
      <c r="E354" s="23" t="str">
        <f>IFERROR(INDEX(vdata_regressors!$A$1:$L$2000,MATCH($A354,vdata_regressors!$A$2:$A$2000,0)+1,MATCH(E$2,vdata_regressors!$A$1:$R$1,0)),"")</f>
        <v/>
      </c>
      <c r="F354" s="23" t="str">
        <f>IFERROR(INDEX(vdata_regressors!$A$1:$L$2000,MATCH($A354,vdata_regressors!$A$2:$A$2000,0)+1,MATCH(F$2,vdata_regressors!$A$1:$R$1,0)),"")</f>
        <v/>
      </c>
      <c r="G354" s="23" t="str">
        <f>IFERROR(INDEX(vdata_regressors!$A$1:$L$2000,MATCH($A354,vdata_regressors!$A$2:$A$2000,0)+1,MATCH(G$2,vdata_regressors!$A$1:$R$1,0)),"")</f>
        <v/>
      </c>
      <c r="H354" s="23" t="str">
        <f>IFERROR(INDEX(vdata_regressors!$A$1:$L$2000,MATCH($A354,vdata_regressors!$A$2:$A$2000,0)+1,MATCH(H$2,vdata_regressors!$A$1:$R$1,0)),"")</f>
        <v/>
      </c>
      <c r="I354" s="23" t="str">
        <f>IFERROR(INDEX(vdata_regressors!$A$1:$L$2000,MATCH($A354,vdata_regressors!$A$2:$A$2000,0)+1,MATCH(I$2,vdata_regressors!$A$1:$R$1,0)),"")</f>
        <v/>
      </c>
      <c r="J354" s="23" t="str">
        <f>IFERROR(INDEX(vdata_regressors!$A$1:$L$2000,MATCH($A354,vdata_regressors!$A$2:$A$2000,0)+1,MATCH(J$2,vdata_regressors!$A$1:$R$1,0)),"")</f>
        <v/>
      </c>
      <c r="K354" s="23" t="str">
        <f>IFERROR(INDEX(vdata_regressors!$A$1:$L$2000,MATCH($A354,vdata_regressors!$A$2:$A$2000,0)+1,MATCH(K$2,vdata_regressors!$A$1:$R$1,0)),"")</f>
        <v/>
      </c>
      <c r="L354" s="23" t="str">
        <f>IFERROR(INDEX(vdata_regressors!$A$1:$L$2000,MATCH($A354,vdata_regressors!$A$2:$A$2000,0)+1,MATCH(L$2,vdata_regressors!$A$1:$R$1,0)),"")</f>
        <v/>
      </c>
      <c r="M354" s="23" t="str">
        <f>IFERROR(VLOOKUP(A354,vdata_hours!$A$2:$B$1000,2,FALSE),"")</f>
        <v/>
      </c>
    </row>
    <row r="355" spans="1:13" x14ac:dyDescent="0.25">
      <c r="A355" s="23" t="str">
        <f>IF(vdata_hours!A354=0,"",vdata_hours!A354)</f>
        <v/>
      </c>
      <c r="B355" s="23" t="str">
        <f>IFERROR(INDEX(vdata_regressors!$A$1:$L$2000,MATCH($A355,vdata_regressors!$A$2:$A$2000,0)+1,MATCH(B$2,vdata_regressors!$A$1:$R$1,0)),"")</f>
        <v/>
      </c>
      <c r="C355" s="23" t="str">
        <f>IFERROR(INDEX(vdata_regressors!$A$1:$L$2000,MATCH($A355,vdata_regressors!$A$2:$A$2000,0)+1,MATCH(C$2,vdata_regressors!$A$1:$R$1,0)),"")</f>
        <v/>
      </c>
      <c r="D355" s="23" t="str">
        <f>IFERROR(INDEX(vdata_regressors!$A$1:$L$2000,MATCH($A355,vdata_regressors!$A$2:$A$2000,0)+1,MATCH(D$2,vdata_regressors!$A$1:$R$1,0)),"")</f>
        <v/>
      </c>
      <c r="E355" s="23" t="str">
        <f>IFERROR(INDEX(vdata_regressors!$A$1:$L$2000,MATCH($A355,vdata_regressors!$A$2:$A$2000,0)+1,MATCH(E$2,vdata_regressors!$A$1:$R$1,0)),"")</f>
        <v/>
      </c>
      <c r="F355" s="23" t="str">
        <f>IFERROR(INDEX(vdata_regressors!$A$1:$L$2000,MATCH($A355,vdata_regressors!$A$2:$A$2000,0)+1,MATCH(F$2,vdata_regressors!$A$1:$R$1,0)),"")</f>
        <v/>
      </c>
      <c r="G355" s="23" t="str">
        <f>IFERROR(INDEX(vdata_regressors!$A$1:$L$2000,MATCH($A355,vdata_regressors!$A$2:$A$2000,0)+1,MATCH(G$2,vdata_regressors!$A$1:$R$1,0)),"")</f>
        <v/>
      </c>
      <c r="H355" s="23" t="str">
        <f>IFERROR(INDEX(vdata_regressors!$A$1:$L$2000,MATCH($A355,vdata_regressors!$A$2:$A$2000,0)+1,MATCH(H$2,vdata_regressors!$A$1:$R$1,0)),"")</f>
        <v/>
      </c>
      <c r="I355" s="23" t="str">
        <f>IFERROR(INDEX(vdata_regressors!$A$1:$L$2000,MATCH($A355,vdata_regressors!$A$2:$A$2000,0)+1,MATCH(I$2,vdata_regressors!$A$1:$R$1,0)),"")</f>
        <v/>
      </c>
      <c r="J355" s="23" t="str">
        <f>IFERROR(INDEX(vdata_regressors!$A$1:$L$2000,MATCH($A355,vdata_regressors!$A$2:$A$2000,0)+1,MATCH(J$2,vdata_regressors!$A$1:$R$1,0)),"")</f>
        <v/>
      </c>
      <c r="K355" s="23" t="str">
        <f>IFERROR(INDEX(vdata_regressors!$A$1:$L$2000,MATCH($A355,vdata_regressors!$A$2:$A$2000,0)+1,MATCH(K$2,vdata_regressors!$A$1:$R$1,0)),"")</f>
        <v/>
      </c>
      <c r="L355" s="23" t="str">
        <f>IFERROR(INDEX(vdata_regressors!$A$1:$L$2000,MATCH($A355,vdata_regressors!$A$2:$A$2000,0)+1,MATCH(L$2,vdata_regressors!$A$1:$R$1,0)),"")</f>
        <v/>
      </c>
      <c r="M355" s="23" t="str">
        <f>IFERROR(VLOOKUP(A355,vdata_hours!$A$2:$B$1000,2,FALSE),"")</f>
        <v/>
      </c>
    </row>
    <row r="356" spans="1:13" x14ac:dyDescent="0.25">
      <c r="A356" s="23" t="str">
        <f>IF(vdata_hours!A355=0,"",vdata_hours!A355)</f>
        <v/>
      </c>
      <c r="B356" s="23" t="str">
        <f>IFERROR(INDEX(vdata_regressors!$A$1:$L$2000,MATCH($A356,vdata_regressors!$A$2:$A$2000,0)+1,MATCH(B$2,vdata_regressors!$A$1:$R$1,0)),"")</f>
        <v/>
      </c>
      <c r="C356" s="23" t="str">
        <f>IFERROR(INDEX(vdata_regressors!$A$1:$L$2000,MATCH($A356,vdata_regressors!$A$2:$A$2000,0)+1,MATCH(C$2,vdata_regressors!$A$1:$R$1,0)),"")</f>
        <v/>
      </c>
      <c r="D356" s="23" t="str">
        <f>IFERROR(INDEX(vdata_regressors!$A$1:$L$2000,MATCH($A356,vdata_regressors!$A$2:$A$2000,0)+1,MATCH(D$2,vdata_regressors!$A$1:$R$1,0)),"")</f>
        <v/>
      </c>
      <c r="E356" s="23" t="str">
        <f>IFERROR(INDEX(vdata_regressors!$A$1:$L$2000,MATCH($A356,vdata_regressors!$A$2:$A$2000,0)+1,MATCH(E$2,vdata_regressors!$A$1:$R$1,0)),"")</f>
        <v/>
      </c>
      <c r="F356" s="23" t="str">
        <f>IFERROR(INDEX(vdata_regressors!$A$1:$L$2000,MATCH($A356,vdata_regressors!$A$2:$A$2000,0)+1,MATCH(F$2,vdata_regressors!$A$1:$R$1,0)),"")</f>
        <v/>
      </c>
      <c r="G356" s="23" t="str">
        <f>IFERROR(INDEX(vdata_regressors!$A$1:$L$2000,MATCH($A356,vdata_regressors!$A$2:$A$2000,0)+1,MATCH(G$2,vdata_regressors!$A$1:$R$1,0)),"")</f>
        <v/>
      </c>
      <c r="H356" s="23" t="str">
        <f>IFERROR(INDEX(vdata_regressors!$A$1:$L$2000,MATCH($A356,vdata_regressors!$A$2:$A$2000,0)+1,MATCH(H$2,vdata_regressors!$A$1:$R$1,0)),"")</f>
        <v/>
      </c>
      <c r="I356" s="23" t="str">
        <f>IFERROR(INDEX(vdata_regressors!$A$1:$L$2000,MATCH($A356,vdata_regressors!$A$2:$A$2000,0)+1,MATCH(I$2,vdata_regressors!$A$1:$R$1,0)),"")</f>
        <v/>
      </c>
      <c r="J356" s="23" t="str">
        <f>IFERROR(INDEX(vdata_regressors!$A$1:$L$2000,MATCH($A356,vdata_regressors!$A$2:$A$2000,0)+1,MATCH(J$2,vdata_regressors!$A$1:$R$1,0)),"")</f>
        <v/>
      </c>
      <c r="K356" s="23" t="str">
        <f>IFERROR(INDEX(vdata_regressors!$A$1:$L$2000,MATCH($A356,vdata_regressors!$A$2:$A$2000,0)+1,MATCH(K$2,vdata_regressors!$A$1:$R$1,0)),"")</f>
        <v/>
      </c>
      <c r="L356" s="23" t="str">
        <f>IFERROR(INDEX(vdata_regressors!$A$1:$L$2000,MATCH($A356,vdata_regressors!$A$2:$A$2000,0)+1,MATCH(L$2,vdata_regressors!$A$1:$R$1,0)),"")</f>
        <v/>
      </c>
      <c r="M356" s="23" t="str">
        <f>IFERROR(VLOOKUP(A356,vdata_hours!$A$2:$B$1000,2,FALSE),"")</f>
        <v/>
      </c>
    </row>
    <row r="357" spans="1:13" x14ac:dyDescent="0.25">
      <c r="A357" s="23" t="str">
        <f>IF(vdata_hours!A356=0,"",vdata_hours!A356)</f>
        <v/>
      </c>
      <c r="B357" s="23" t="str">
        <f>IFERROR(INDEX(vdata_regressors!$A$1:$L$2000,MATCH($A357,vdata_regressors!$A$2:$A$2000,0)+1,MATCH(B$2,vdata_regressors!$A$1:$R$1,0)),"")</f>
        <v/>
      </c>
      <c r="C357" s="23" t="str">
        <f>IFERROR(INDEX(vdata_regressors!$A$1:$L$2000,MATCH($A357,vdata_regressors!$A$2:$A$2000,0)+1,MATCH(C$2,vdata_regressors!$A$1:$R$1,0)),"")</f>
        <v/>
      </c>
      <c r="D357" s="23" t="str">
        <f>IFERROR(INDEX(vdata_regressors!$A$1:$L$2000,MATCH($A357,vdata_regressors!$A$2:$A$2000,0)+1,MATCH(D$2,vdata_regressors!$A$1:$R$1,0)),"")</f>
        <v/>
      </c>
      <c r="E357" s="23" t="str">
        <f>IFERROR(INDEX(vdata_regressors!$A$1:$L$2000,MATCH($A357,vdata_regressors!$A$2:$A$2000,0)+1,MATCH(E$2,vdata_regressors!$A$1:$R$1,0)),"")</f>
        <v/>
      </c>
      <c r="F357" s="23" t="str">
        <f>IFERROR(INDEX(vdata_regressors!$A$1:$L$2000,MATCH($A357,vdata_regressors!$A$2:$A$2000,0)+1,MATCH(F$2,vdata_regressors!$A$1:$R$1,0)),"")</f>
        <v/>
      </c>
      <c r="G357" s="23" t="str">
        <f>IFERROR(INDEX(vdata_regressors!$A$1:$L$2000,MATCH($A357,vdata_regressors!$A$2:$A$2000,0)+1,MATCH(G$2,vdata_regressors!$A$1:$R$1,0)),"")</f>
        <v/>
      </c>
      <c r="H357" s="23" t="str">
        <f>IFERROR(INDEX(vdata_regressors!$A$1:$L$2000,MATCH($A357,vdata_regressors!$A$2:$A$2000,0)+1,MATCH(H$2,vdata_regressors!$A$1:$R$1,0)),"")</f>
        <v/>
      </c>
      <c r="I357" s="23" t="str">
        <f>IFERROR(INDEX(vdata_regressors!$A$1:$L$2000,MATCH($A357,vdata_regressors!$A$2:$A$2000,0)+1,MATCH(I$2,vdata_regressors!$A$1:$R$1,0)),"")</f>
        <v/>
      </c>
      <c r="J357" s="23" t="str">
        <f>IFERROR(INDEX(vdata_regressors!$A$1:$L$2000,MATCH($A357,vdata_regressors!$A$2:$A$2000,0)+1,MATCH(J$2,vdata_regressors!$A$1:$R$1,0)),"")</f>
        <v/>
      </c>
      <c r="K357" s="23" t="str">
        <f>IFERROR(INDEX(vdata_regressors!$A$1:$L$2000,MATCH($A357,vdata_regressors!$A$2:$A$2000,0)+1,MATCH(K$2,vdata_regressors!$A$1:$R$1,0)),"")</f>
        <v/>
      </c>
      <c r="L357" s="23" t="str">
        <f>IFERROR(INDEX(vdata_regressors!$A$1:$L$2000,MATCH($A357,vdata_regressors!$A$2:$A$2000,0)+1,MATCH(L$2,vdata_regressors!$A$1:$R$1,0)),"")</f>
        <v/>
      </c>
      <c r="M357" s="23" t="str">
        <f>IFERROR(VLOOKUP(A357,vdata_hours!$A$2:$B$1000,2,FALSE),"")</f>
        <v/>
      </c>
    </row>
    <row r="358" spans="1:13" x14ac:dyDescent="0.25">
      <c r="A358" s="23" t="str">
        <f>IF(vdata_hours!A357=0,"",vdata_hours!A357)</f>
        <v/>
      </c>
      <c r="B358" s="23" t="str">
        <f>IFERROR(INDEX(vdata_regressors!$A$1:$L$2000,MATCH($A358,vdata_regressors!$A$2:$A$2000,0)+1,MATCH(B$2,vdata_regressors!$A$1:$R$1,0)),"")</f>
        <v/>
      </c>
      <c r="C358" s="23" t="str">
        <f>IFERROR(INDEX(vdata_regressors!$A$1:$L$2000,MATCH($A358,vdata_regressors!$A$2:$A$2000,0)+1,MATCH(C$2,vdata_regressors!$A$1:$R$1,0)),"")</f>
        <v/>
      </c>
      <c r="D358" s="23" t="str">
        <f>IFERROR(INDEX(vdata_regressors!$A$1:$L$2000,MATCH($A358,vdata_regressors!$A$2:$A$2000,0)+1,MATCH(D$2,vdata_regressors!$A$1:$R$1,0)),"")</f>
        <v/>
      </c>
      <c r="E358" s="23" t="str">
        <f>IFERROR(INDEX(vdata_regressors!$A$1:$L$2000,MATCH($A358,vdata_regressors!$A$2:$A$2000,0)+1,MATCH(E$2,vdata_regressors!$A$1:$R$1,0)),"")</f>
        <v/>
      </c>
      <c r="F358" s="23" t="str">
        <f>IFERROR(INDEX(vdata_regressors!$A$1:$L$2000,MATCH($A358,vdata_regressors!$A$2:$A$2000,0)+1,MATCH(F$2,vdata_regressors!$A$1:$R$1,0)),"")</f>
        <v/>
      </c>
      <c r="G358" s="23" t="str">
        <f>IFERROR(INDEX(vdata_regressors!$A$1:$L$2000,MATCH($A358,vdata_regressors!$A$2:$A$2000,0)+1,MATCH(G$2,vdata_regressors!$A$1:$R$1,0)),"")</f>
        <v/>
      </c>
      <c r="H358" s="23" t="str">
        <f>IFERROR(INDEX(vdata_regressors!$A$1:$L$2000,MATCH($A358,vdata_regressors!$A$2:$A$2000,0)+1,MATCH(H$2,vdata_regressors!$A$1:$R$1,0)),"")</f>
        <v/>
      </c>
      <c r="I358" s="23" t="str">
        <f>IFERROR(INDEX(vdata_regressors!$A$1:$L$2000,MATCH($A358,vdata_regressors!$A$2:$A$2000,0)+1,MATCH(I$2,vdata_regressors!$A$1:$R$1,0)),"")</f>
        <v/>
      </c>
      <c r="J358" s="23" t="str">
        <f>IFERROR(INDEX(vdata_regressors!$A$1:$L$2000,MATCH($A358,vdata_regressors!$A$2:$A$2000,0)+1,MATCH(J$2,vdata_regressors!$A$1:$R$1,0)),"")</f>
        <v/>
      </c>
      <c r="K358" s="23" t="str">
        <f>IFERROR(INDEX(vdata_regressors!$A$1:$L$2000,MATCH($A358,vdata_regressors!$A$2:$A$2000,0)+1,MATCH(K$2,vdata_regressors!$A$1:$R$1,0)),"")</f>
        <v/>
      </c>
      <c r="L358" s="23" t="str">
        <f>IFERROR(INDEX(vdata_regressors!$A$1:$L$2000,MATCH($A358,vdata_regressors!$A$2:$A$2000,0)+1,MATCH(L$2,vdata_regressors!$A$1:$R$1,0)),"")</f>
        <v/>
      </c>
      <c r="M358" s="23" t="str">
        <f>IFERROR(VLOOKUP(A358,vdata_hours!$A$2:$B$1000,2,FALSE),"")</f>
        <v/>
      </c>
    </row>
    <row r="359" spans="1:13" x14ac:dyDescent="0.25">
      <c r="A359" s="23" t="str">
        <f>IF(vdata_hours!A358=0,"",vdata_hours!A358)</f>
        <v/>
      </c>
      <c r="B359" s="23" t="str">
        <f>IFERROR(INDEX(vdata_regressors!$A$1:$L$2000,MATCH($A359,vdata_regressors!$A$2:$A$2000,0)+1,MATCH(B$2,vdata_regressors!$A$1:$R$1,0)),"")</f>
        <v/>
      </c>
      <c r="C359" s="23" t="str">
        <f>IFERROR(INDEX(vdata_regressors!$A$1:$L$2000,MATCH($A359,vdata_regressors!$A$2:$A$2000,0)+1,MATCH(C$2,vdata_regressors!$A$1:$R$1,0)),"")</f>
        <v/>
      </c>
      <c r="D359" s="23" t="str">
        <f>IFERROR(INDEX(vdata_regressors!$A$1:$L$2000,MATCH($A359,vdata_regressors!$A$2:$A$2000,0)+1,MATCH(D$2,vdata_regressors!$A$1:$R$1,0)),"")</f>
        <v/>
      </c>
      <c r="E359" s="23" t="str">
        <f>IFERROR(INDEX(vdata_regressors!$A$1:$L$2000,MATCH($A359,vdata_regressors!$A$2:$A$2000,0)+1,MATCH(E$2,vdata_regressors!$A$1:$R$1,0)),"")</f>
        <v/>
      </c>
      <c r="F359" s="23" t="str">
        <f>IFERROR(INDEX(vdata_regressors!$A$1:$L$2000,MATCH($A359,vdata_regressors!$A$2:$A$2000,0)+1,MATCH(F$2,vdata_regressors!$A$1:$R$1,0)),"")</f>
        <v/>
      </c>
      <c r="G359" s="23" t="str">
        <f>IFERROR(INDEX(vdata_regressors!$A$1:$L$2000,MATCH($A359,vdata_regressors!$A$2:$A$2000,0)+1,MATCH(G$2,vdata_regressors!$A$1:$R$1,0)),"")</f>
        <v/>
      </c>
      <c r="H359" s="23" t="str">
        <f>IFERROR(INDEX(vdata_regressors!$A$1:$L$2000,MATCH($A359,vdata_regressors!$A$2:$A$2000,0)+1,MATCH(H$2,vdata_regressors!$A$1:$R$1,0)),"")</f>
        <v/>
      </c>
      <c r="I359" s="23" t="str">
        <f>IFERROR(INDEX(vdata_regressors!$A$1:$L$2000,MATCH($A359,vdata_regressors!$A$2:$A$2000,0)+1,MATCH(I$2,vdata_regressors!$A$1:$R$1,0)),"")</f>
        <v/>
      </c>
      <c r="J359" s="23" t="str">
        <f>IFERROR(INDEX(vdata_regressors!$A$1:$L$2000,MATCH($A359,vdata_regressors!$A$2:$A$2000,0)+1,MATCH(J$2,vdata_regressors!$A$1:$R$1,0)),"")</f>
        <v/>
      </c>
      <c r="K359" s="23" t="str">
        <f>IFERROR(INDEX(vdata_regressors!$A$1:$L$2000,MATCH($A359,vdata_regressors!$A$2:$A$2000,0)+1,MATCH(K$2,vdata_regressors!$A$1:$R$1,0)),"")</f>
        <v/>
      </c>
      <c r="L359" s="23" t="str">
        <f>IFERROR(INDEX(vdata_regressors!$A$1:$L$2000,MATCH($A359,vdata_regressors!$A$2:$A$2000,0)+1,MATCH(L$2,vdata_regressors!$A$1:$R$1,0)),"")</f>
        <v/>
      </c>
      <c r="M359" s="23" t="str">
        <f>IFERROR(VLOOKUP(A359,vdata_hours!$A$2:$B$1000,2,FALSE),"")</f>
        <v/>
      </c>
    </row>
    <row r="360" spans="1:13" x14ac:dyDescent="0.25">
      <c r="A360" s="23" t="str">
        <f>IF(vdata_hours!A359=0,"",vdata_hours!A359)</f>
        <v/>
      </c>
      <c r="B360" s="23" t="str">
        <f>IFERROR(INDEX(vdata_regressors!$A$1:$L$2000,MATCH($A360,vdata_regressors!$A$2:$A$2000,0)+1,MATCH(B$2,vdata_regressors!$A$1:$R$1,0)),"")</f>
        <v/>
      </c>
      <c r="C360" s="23" t="str">
        <f>IFERROR(INDEX(vdata_regressors!$A$1:$L$2000,MATCH($A360,vdata_regressors!$A$2:$A$2000,0)+1,MATCH(C$2,vdata_regressors!$A$1:$R$1,0)),"")</f>
        <v/>
      </c>
      <c r="D360" s="23" t="str">
        <f>IFERROR(INDEX(vdata_regressors!$A$1:$L$2000,MATCH($A360,vdata_regressors!$A$2:$A$2000,0)+1,MATCH(D$2,vdata_regressors!$A$1:$R$1,0)),"")</f>
        <v/>
      </c>
      <c r="E360" s="23" t="str">
        <f>IFERROR(INDEX(vdata_regressors!$A$1:$L$2000,MATCH($A360,vdata_regressors!$A$2:$A$2000,0)+1,MATCH(E$2,vdata_regressors!$A$1:$R$1,0)),"")</f>
        <v/>
      </c>
      <c r="F360" s="23" t="str">
        <f>IFERROR(INDEX(vdata_regressors!$A$1:$L$2000,MATCH($A360,vdata_regressors!$A$2:$A$2000,0)+1,MATCH(F$2,vdata_regressors!$A$1:$R$1,0)),"")</f>
        <v/>
      </c>
      <c r="G360" s="23" t="str">
        <f>IFERROR(INDEX(vdata_regressors!$A$1:$L$2000,MATCH($A360,vdata_regressors!$A$2:$A$2000,0)+1,MATCH(G$2,vdata_regressors!$A$1:$R$1,0)),"")</f>
        <v/>
      </c>
      <c r="H360" s="23" t="str">
        <f>IFERROR(INDEX(vdata_regressors!$A$1:$L$2000,MATCH($A360,vdata_regressors!$A$2:$A$2000,0)+1,MATCH(H$2,vdata_regressors!$A$1:$R$1,0)),"")</f>
        <v/>
      </c>
      <c r="I360" s="23" t="str">
        <f>IFERROR(INDEX(vdata_regressors!$A$1:$L$2000,MATCH($A360,vdata_regressors!$A$2:$A$2000,0)+1,MATCH(I$2,vdata_regressors!$A$1:$R$1,0)),"")</f>
        <v/>
      </c>
      <c r="J360" s="23" t="str">
        <f>IFERROR(INDEX(vdata_regressors!$A$1:$L$2000,MATCH($A360,vdata_regressors!$A$2:$A$2000,0)+1,MATCH(J$2,vdata_regressors!$A$1:$R$1,0)),"")</f>
        <v/>
      </c>
      <c r="K360" s="23" t="str">
        <f>IFERROR(INDEX(vdata_regressors!$A$1:$L$2000,MATCH($A360,vdata_regressors!$A$2:$A$2000,0)+1,MATCH(K$2,vdata_regressors!$A$1:$R$1,0)),"")</f>
        <v/>
      </c>
      <c r="L360" s="23" t="str">
        <f>IFERROR(INDEX(vdata_regressors!$A$1:$L$2000,MATCH($A360,vdata_regressors!$A$2:$A$2000,0)+1,MATCH(L$2,vdata_regressors!$A$1:$R$1,0)),"")</f>
        <v/>
      </c>
      <c r="M360" s="23" t="str">
        <f>IFERROR(VLOOKUP(A360,vdata_hours!$A$2:$B$1000,2,FALSE),"")</f>
        <v/>
      </c>
    </row>
    <row r="361" spans="1:13" x14ac:dyDescent="0.25">
      <c r="A361" s="23" t="str">
        <f>IF(vdata_hours!A360=0,"",vdata_hours!A360)</f>
        <v/>
      </c>
      <c r="B361" s="23" t="str">
        <f>IFERROR(INDEX(vdata_regressors!$A$1:$L$2000,MATCH($A361,vdata_regressors!$A$2:$A$2000,0)+1,MATCH(B$2,vdata_regressors!$A$1:$R$1,0)),"")</f>
        <v/>
      </c>
      <c r="C361" s="23" t="str">
        <f>IFERROR(INDEX(vdata_regressors!$A$1:$L$2000,MATCH($A361,vdata_regressors!$A$2:$A$2000,0)+1,MATCH(C$2,vdata_regressors!$A$1:$R$1,0)),"")</f>
        <v/>
      </c>
      <c r="D361" s="23" t="str">
        <f>IFERROR(INDEX(vdata_regressors!$A$1:$L$2000,MATCH($A361,vdata_regressors!$A$2:$A$2000,0)+1,MATCH(D$2,vdata_regressors!$A$1:$R$1,0)),"")</f>
        <v/>
      </c>
      <c r="E361" s="23" t="str">
        <f>IFERROR(INDEX(vdata_regressors!$A$1:$L$2000,MATCH($A361,vdata_regressors!$A$2:$A$2000,0)+1,MATCH(E$2,vdata_regressors!$A$1:$R$1,0)),"")</f>
        <v/>
      </c>
      <c r="F361" s="23" t="str">
        <f>IFERROR(INDEX(vdata_regressors!$A$1:$L$2000,MATCH($A361,vdata_regressors!$A$2:$A$2000,0)+1,MATCH(F$2,vdata_regressors!$A$1:$R$1,0)),"")</f>
        <v/>
      </c>
      <c r="G361" s="23" t="str">
        <f>IFERROR(INDEX(vdata_regressors!$A$1:$L$2000,MATCH($A361,vdata_regressors!$A$2:$A$2000,0)+1,MATCH(G$2,vdata_regressors!$A$1:$R$1,0)),"")</f>
        <v/>
      </c>
      <c r="H361" s="23" t="str">
        <f>IFERROR(INDEX(vdata_regressors!$A$1:$L$2000,MATCH($A361,vdata_regressors!$A$2:$A$2000,0)+1,MATCH(H$2,vdata_regressors!$A$1:$R$1,0)),"")</f>
        <v/>
      </c>
      <c r="I361" s="23" t="str">
        <f>IFERROR(INDEX(vdata_regressors!$A$1:$L$2000,MATCH($A361,vdata_regressors!$A$2:$A$2000,0)+1,MATCH(I$2,vdata_regressors!$A$1:$R$1,0)),"")</f>
        <v/>
      </c>
      <c r="J361" s="23" t="str">
        <f>IFERROR(INDEX(vdata_regressors!$A$1:$L$2000,MATCH($A361,vdata_regressors!$A$2:$A$2000,0)+1,MATCH(J$2,vdata_regressors!$A$1:$R$1,0)),"")</f>
        <v/>
      </c>
      <c r="K361" s="23" t="str">
        <f>IFERROR(INDEX(vdata_regressors!$A$1:$L$2000,MATCH($A361,vdata_regressors!$A$2:$A$2000,0)+1,MATCH(K$2,vdata_regressors!$A$1:$R$1,0)),"")</f>
        <v/>
      </c>
      <c r="L361" s="23" t="str">
        <f>IFERROR(INDEX(vdata_regressors!$A$1:$L$2000,MATCH($A361,vdata_regressors!$A$2:$A$2000,0)+1,MATCH(L$2,vdata_regressors!$A$1:$R$1,0)),"")</f>
        <v/>
      </c>
      <c r="M361" s="23" t="str">
        <f>IFERROR(VLOOKUP(A361,vdata_hours!$A$2:$B$1000,2,FALSE),"")</f>
        <v/>
      </c>
    </row>
    <row r="362" spans="1:13" x14ac:dyDescent="0.25">
      <c r="A362" s="23" t="str">
        <f>IF(vdata_hours!A361=0,"",vdata_hours!A361)</f>
        <v/>
      </c>
      <c r="B362" s="23" t="str">
        <f>IFERROR(INDEX(vdata_regressors!$A$1:$L$2000,MATCH($A362,vdata_regressors!$A$2:$A$2000,0)+1,MATCH(B$2,vdata_regressors!$A$1:$R$1,0)),"")</f>
        <v/>
      </c>
      <c r="C362" s="23" t="str">
        <f>IFERROR(INDEX(vdata_regressors!$A$1:$L$2000,MATCH($A362,vdata_regressors!$A$2:$A$2000,0)+1,MATCH(C$2,vdata_regressors!$A$1:$R$1,0)),"")</f>
        <v/>
      </c>
      <c r="D362" s="23" t="str">
        <f>IFERROR(INDEX(vdata_regressors!$A$1:$L$2000,MATCH($A362,vdata_regressors!$A$2:$A$2000,0)+1,MATCH(D$2,vdata_regressors!$A$1:$R$1,0)),"")</f>
        <v/>
      </c>
      <c r="E362" s="23" t="str">
        <f>IFERROR(INDEX(vdata_regressors!$A$1:$L$2000,MATCH($A362,vdata_regressors!$A$2:$A$2000,0)+1,MATCH(E$2,vdata_regressors!$A$1:$R$1,0)),"")</f>
        <v/>
      </c>
      <c r="F362" s="23" t="str">
        <f>IFERROR(INDEX(vdata_regressors!$A$1:$L$2000,MATCH($A362,vdata_regressors!$A$2:$A$2000,0)+1,MATCH(F$2,vdata_regressors!$A$1:$R$1,0)),"")</f>
        <v/>
      </c>
      <c r="G362" s="23" t="str">
        <f>IFERROR(INDEX(vdata_regressors!$A$1:$L$2000,MATCH($A362,vdata_regressors!$A$2:$A$2000,0)+1,MATCH(G$2,vdata_regressors!$A$1:$R$1,0)),"")</f>
        <v/>
      </c>
      <c r="H362" s="23" t="str">
        <f>IFERROR(INDEX(vdata_regressors!$A$1:$L$2000,MATCH($A362,vdata_regressors!$A$2:$A$2000,0)+1,MATCH(H$2,vdata_regressors!$A$1:$R$1,0)),"")</f>
        <v/>
      </c>
      <c r="I362" s="23" t="str">
        <f>IFERROR(INDEX(vdata_regressors!$A$1:$L$2000,MATCH($A362,vdata_regressors!$A$2:$A$2000,0)+1,MATCH(I$2,vdata_regressors!$A$1:$R$1,0)),"")</f>
        <v/>
      </c>
      <c r="J362" s="23" t="str">
        <f>IFERROR(INDEX(vdata_regressors!$A$1:$L$2000,MATCH($A362,vdata_regressors!$A$2:$A$2000,0)+1,MATCH(J$2,vdata_regressors!$A$1:$R$1,0)),"")</f>
        <v/>
      </c>
      <c r="K362" s="23" t="str">
        <f>IFERROR(INDEX(vdata_regressors!$A$1:$L$2000,MATCH($A362,vdata_regressors!$A$2:$A$2000,0)+1,MATCH(K$2,vdata_regressors!$A$1:$R$1,0)),"")</f>
        <v/>
      </c>
      <c r="L362" s="23" t="str">
        <f>IFERROR(INDEX(vdata_regressors!$A$1:$L$2000,MATCH($A362,vdata_regressors!$A$2:$A$2000,0)+1,MATCH(L$2,vdata_regressors!$A$1:$R$1,0)),"")</f>
        <v/>
      </c>
      <c r="M362" s="23" t="str">
        <f>IFERROR(VLOOKUP(A362,vdata_hours!$A$2:$B$1000,2,FALSE),"")</f>
        <v/>
      </c>
    </row>
    <row r="363" spans="1:13" x14ac:dyDescent="0.25">
      <c r="A363" s="23" t="str">
        <f>IF(vdata_hours!A362=0,"",vdata_hours!A362)</f>
        <v/>
      </c>
      <c r="B363" s="23" t="str">
        <f>IFERROR(INDEX(vdata_regressors!$A$1:$L$2000,MATCH($A363,vdata_regressors!$A$2:$A$2000,0)+1,MATCH(B$2,vdata_regressors!$A$1:$R$1,0)),"")</f>
        <v/>
      </c>
      <c r="C363" s="23" t="str">
        <f>IFERROR(INDEX(vdata_regressors!$A$1:$L$2000,MATCH($A363,vdata_regressors!$A$2:$A$2000,0)+1,MATCH(C$2,vdata_regressors!$A$1:$R$1,0)),"")</f>
        <v/>
      </c>
      <c r="D363" s="23" t="str">
        <f>IFERROR(INDEX(vdata_regressors!$A$1:$L$2000,MATCH($A363,vdata_regressors!$A$2:$A$2000,0)+1,MATCH(D$2,vdata_regressors!$A$1:$R$1,0)),"")</f>
        <v/>
      </c>
      <c r="E363" s="23" t="str">
        <f>IFERROR(INDEX(vdata_regressors!$A$1:$L$2000,MATCH($A363,vdata_regressors!$A$2:$A$2000,0)+1,MATCH(E$2,vdata_regressors!$A$1:$R$1,0)),"")</f>
        <v/>
      </c>
      <c r="F363" s="23" t="str">
        <f>IFERROR(INDEX(vdata_regressors!$A$1:$L$2000,MATCH($A363,vdata_regressors!$A$2:$A$2000,0)+1,MATCH(F$2,vdata_regressors!$A$1:$R$1,0)),"")</f>
        <v/>
      </c>
      <c r="G363" s="23" t="str">
        <f>IFERROR(INDEX(vdata_regressors!$A$1:$L$2000,MATCH($A363,vdata_regressors!$A$2:$A$2000,0)+1,MATCH(G$2,vdata_regressors!$A$1:$R$1,0)),"")</f>
        <v/>
      </c>
      <c r="H363" s="23" t="str">
        <f>IFERROR(INDEX(vdata_regressors!$A$1:$L$2000,MATCH($A363,vdata_regressors!$A$2:$A$2000,0)+1,MATCH(H$2,vdata_regressors!$A$1:$R$1,0)),"")</f>
        <v/>
      </c>
      <c r="I363" s="23" t="str">
        <f>IFERROR(INDEX(vdata_regressors!$A$1:$L$2000,MATCH($A363,vdata_regressors!$A$2:$A$2000,0)+1,MATCH(I$2,vdata_regressors!$A$1:$R$1,0)),"")</f>
        <v/>
      </c>
      <c r="J363" s="23" t="str">
        <f>IFERROR(INDEX(vdata_regressors!$A$1:$L$2000,MATCH($A363,vdata_regressors!$A$2:$A$2000,0)+1,MATCH(J$2,vdata_regressors!$A$1:$R$1,0)),"")</f>
        <v/>
      </c>
      <c r="K363" s="23" t="str">
        <f>IFERROR(INDEX(vdata_regressors!$A$1:$L$2000,MATCH($A363,vdata_regressors!$A$2:$A$2000,0)+1,MATCH(K$2,vdata_regressors!$A$1:$R$1,0)),"")</f>
        <v/>
      </c>
      <c r="L363" s="23" t="str">
        <f>IFERROR(INDEX(vdata_regressors!$A$1:$L$2000,MATCH($A363,vdata_regressors!$A$2:$A$2000,0)+1,MATCH(L$2,vdata_regressors!$A$1:$R$1,0)),"")</f>
        <v/>
      </c>
      <c r="M363" s="23" t="str">
        <f>IFERROR(VLOOKUP(A363,vdata_hours!$A$2:$B$1000,2,FALSE),"")</f>
        <v/>
      </c>
    </row>
    <row r="364" spans="1:13" x14ac:dyDescent="0.25">
      <c r="A364" s="23" t="str">
        <f>IF(vdata_hours!A363=0,"",vdata_hours!A363)</f>
        <v/>
      </c>
      <c r="B364" s="23" t="str">
        <f>IFERROR(INDEX(vdata_regressors!$A$1:$L$2000,MATCH($A364,vdata_regressors!$A$2:$A$2000,0)+1,MATCH(B$2,vdata_regressors!$A$1:$R$1,0)),"")</f>
        <v/>
      </c>
      <c r="C364" s="23" t="str">
        <f>IFERROR(INDEX(vdata_regressors!$A$1:$L$2000,MATCH($A364,vdata_regressors!$A$2:$A$2000,0)+1,MATCH(C$2,vdata_regressors!$A$1:$R$1,0)),"")</f>
        <v/>
      </c>
      <c r="D364" s="23" t="str">
        <f>IFERROR(INDEX(vdata_regressors!$A$1:$L$2000,MATCH($A364,vdata_regressors!$A$2:$A$2000,0)+1,MATCH(D$2,vdata_regressors!$A$1:$R$1,0)),"")</f>
        <v/>
      </c>
      <c r="E364" s="23" t="str">
        <f>IFERROR(INDEX(vdata_regressors!$A$1:$L$2000,MATCH($A364,vdata_regressors!$A$2:$A$2000,0)+1,MATCH(E$2,vdata_regressors!$A$1:$R$1,0)),"")</f>
        <v/>
      </c>
      <c r="F364" s="23" t="str">
        <f>IFERROR(INDEX(vdata_regressors!$A$1:$L$2000,MATCH($A364,vdata_regressors!$A$2:$A$2000,0)+1,MATCH(F$2,vdata_regressors!$A$1:$R$1,0)),"")</f>
        <v/>
      </c>
      <c r="G364" s="23" t="str">
        <f>IFERROR(INDEX(vdata_regressors!$A$1:$L$2000,MATCH($A364,vdata_regressors!$A$2:$A$2000,0)+1,MATCH(G$2,vdata_regressors!$A$1:$R$1,0)),"")</f>
        <v/>
      </c>
      <c r="H364" s="23" t="str">
        <f>IFERROR(INDEX(vdata_regressors!$A$1:$L$2000,MATCH($A364,vdata_regressors!$A$2:$A$2000,0)+1,MATCH(H$2,vdata_regressors!$A$1:$R$1,0)),"")</f>
        <v/>
      </c>
      <c r="I364" s="23" t="str">
        <f>IFERROR(INDEX(vdata_regressors!$A$1:$L$2000,MATCH($A364,vdata_regressors!$A$2:$A$2000,0)+1,MATCH(I$2,vdata_regressors!$A$1:$R$1,0)),"")</f>
        <v/>
      </c>
      <c r="J364" s="23" t="str">
        <f>IFERROR(INDEX(vdata_regressors!$A$1:$L$2000,MATCH($A364,vdata_regressors!$A$2:$A$2000,0)+1,MATCH(J$2,vdata_regressors!$A$1:$R$1,0)),"")</f>
        <v/>
      </c>
      <c r="K364" s="23" t="str">
        <f>IFERROR(INDEX(vdata_regressors!$A$1:$L$2000,MATCH($A364,vdata_regressors!$A$2:$A$2000,0)+1,MATCH(K$2,vdata_regressors!$A$1:$R$1,0)),"")</f>
        <v/>
      </c>
      <c r="L364" s="23" t="str">
        <f>IFERROR(INDEX(vdata_regressors!$A$1:$L$2000,MATCH($A364,vdata_regressors!$A$2:$A$2000,0)+1,MATCH(L$2,vdata_regressors!$A$1:$R$1,0)),"")</f>
        <v/>
      </c>
      <c r="M364" s="23" t="str">
        <f>IFERROR(VLOOKUP(A364,vdata_hours!$A$2:$B$1000,2,FALSE),"")</f>
        <v/>
      </c>
    </row>
    <row r="365" spans="1:13" x14ac:dyDescent="0.25">
      <c r="A365" s="23" t="str">
        <f>IF(vdata_hours!A364=0,"",vdata_hours!A364)</f>
        <v/>
      </c>
      <c r="B365" s="23" t="str">
        <f>IFERROR(INDEX(vdata_regressors!$A$1:$L$2000,MATCH($A365,vdata_regressors!$A$2:$A$2000,0)+1,MATCH(B$2,vdata_regressors!$A$1:$R$1,0)),"")</f>
        <v/>
      </c>
      <c r="C365" s="23" t="str">
        <f>IFERROR(INDEX(vdata_regressors!$A$1:$L$2000,MATCH($A365,vdata_regressors!$A$2:$A$2000,0)+1,MATCH(C$2,vdata_regressors!$A$1:$R$1,0)),"")</f>
        <v/>
      </c>
      <c r="D365" s="23" t="str">
        <f>IFERROR(INDEX(vdata_regressors!$A$1:$L$2000,MATCH($A365,vdata_regressors!$A$2:$A$2000,0)+1,MATCH(D$2,vdata_regressors!$A$1:$R$1,0)),"")</f>
        <v/>
      </c>
      <c r="E365" s="23" t="str">
        <f>IFERROR(INDEX(vdata_regressors!$A$1:$L$2000,MATCH($A365,vdata_regressors!$A$2:$A$2000,0)+1,MATCH(E$2,vdata_regressors!$A$1:$R$1,0)),"")</f>
        <v/>
      </c>
      <c r="F365" s="23" t="str">
        <f>IFERROR(INDEX(vdata_regressors!$A$1:$L$2000,MATCH($A365,vdata_regressors!$A$2:$A$2000,0)+1,MATCH(F$2,vdata_regressors!$A$1:$R$1,0)),"")</f>
        <v/>
      </c>
      <c r="G365" s="23" t="str">
        <f>IFERROR(INDEX(vdata_regressors!$A$1:$L$2000,MATCH($A365,vdata_regressors!$A$2:$A$2000,0)+1,MATCH(G$2,vdata_regressors!$A$1:$R$1,0)),"")</f>
        <v/>
      </c>
      <c r="H365" s="23" t="str">
        <f>IFERROR(INDEX(vdata_regressors!$A$1:$L$2000,MATCH($A365,vdata_regressors!$A$2:$A$2000,0)+1,MATCH(H$2,vdata_regressors!$A$1:$R$1,0)),"")</f>
        <v/>
      </c>
      <c r="I365" s="23" t="str">
        <f>IFERROR(INDEX(vdata_regressors!$A$1:$L$2000,MATCH($A365,vdata_regressors!$A$2:$A$2000,0)+1,MATCH(I$2,vdata_regressors!$A$1:$R$1,0)),"")</f>
        <v/>
      </c>
      <c r="J365" s="23" t="str">
        <f>IFERROR(INDEX(vdata_regressors!$A$1:$L$2000,MATCH($A365,vdata_regressors!$A$2:$A$2000,0)+1,MATCH(J$2,vdata_regressors!$A$1:$R$1,0)),"")</f>
        <v/>
      </c>
      <c r="K365" s="23" t="str">
        <f>IFERROR(INDEX(vdata_regressors!$A$1:$L$2000,MATCH($A365,vdata_regressors!$A$2:$A$2000,0)+1,MATCH(K$2,vdata_regressors!$A$1:$R$1,0)),"")</f>
        <v/>
      </c>
      <c r="L365" s="23" t="str">
        <f>IFERROR(INDEX(vdata_regressors!$A$1:$L$2000,MATCH($A365,vdata_regressors!$A$2:$A$2000,0)+1,MATCH(L$2,vdata_regressors!$A$1:$R$1,0)),"")</f>
        <v/>
      </c>
      <c r="M365" s="23" t="str">
        <f>IFERROR(VLOOKUP(A365,vdata_hours!$A$2:$B$1000,2,FALSE),"")</f>
        <v/>
      </c>
    </row>
    <row r="366" spans="1:13" x14ac:dyDescent="0.25">
      <c r="A366" s="23" t="str">
        <f>IF(vdata_hours!A365=0,"",vdata_hours!A365)</f>
        <v/>
      </c>
      <c r="B366" s="23" t="str">
        <f>IFERROR(INDEX(vdata_regressors!$A$1:$L$2000,MATCH($A366,vdata_regressors!$A$2:$A$2000,0)+1,MATCH(B$2,vdata_regressors!$A$1:$R$1,0)),"")</f>
        <v/>
      </c>
      <c r="C366" s="23" t="str">
        <f>IFERROR(INDEX(vdata_regressors!$A$1:$L$2000,MATCH($A366,vdata_regressors!$A$2:$A$2000,0)+1,MATCH(C$2,vdata_regressors!$A$1:$R$1,0)),"")</f>
        <v/>
      </c>
      <c r="D366" s="23" t="str">
        <f>IFERROR(INDEX(vdata_regressors!$A$1:$L$2000,MATCH($A366,vdata_regressors!$A$2:$A$2000,0)+1,MATCH(D$2,vdata_regressors!$A$1:$R$1,0)),"")</f>
        <v/>
      </c>
      <c r="E366" s="23" t="str">
        <f>IFERROR(INDEX(vdata_regressors!$A$1:$L$2000,MATCH($A366,vdata_regressors!$A$2:$A$2000,0)+1,MATCH(E$2,vdata_regressors!$A$1:$R$1,0)),"")</f>
        <v/>
      </c>
      <c r="F366" s="23" t="str">
        <f>IFERROR(INDEX(vdata_regressors!$A$1:$L$2000,MATCH($A366,vdata_regressors!$A$2:$A$2000,0)+1,MATCH(F$2,vdata_regressors!$A$1:$R$1,0)),"")</f>
        <v/>
      </c>
      <c r="G366" s="23" t="str">
        <f>IFERROR(INDEX(vdata_regressors!$A$1:$L$2000,MATCH($A366,vdata_regressors!$A$2:$A$2000,0)+1,MATCH(G$2,vdata_regressors!$A$1:$R$1,0)),"")</f>
        <v/>
      </c>
      <c r="H366" s="23" t="str">
        <f>IFERROR(INDEX(vdata_regressors!$A$1:$L$2000,MATCH($A366,vdata_regressors!$A$2:$A$2000,0)+1,MATCH(H$2,vdata_regressors!$A$1:$R$1,0)),"")</f>
        <v/>
      </c>
      <c r="I366" s="23" t="str">
        <f>IFERROR(INDEX(vdata_regressors!$A$1:$L$2000,MATCH($A366,vdata_regressors!$A$2:$A$2000,0)+1,MATCH(I$2,vdata_regressors!$A$1:$R$1,0)),"")</f>
        <v/>
      </c>
      <c r="J366" s="23" t="str">
        <f>IFERROR(INDEX(vdata_regressors!$A$1:$L$2000,MATCH($A366,vdata_regressors!$A$2:$A$2000,0)+1,MATCH(J$2,vdata_regressors!$A$1:$R$1,0)),"")</f>
        <v/>
      </c>
      <c r="K366" s="23" t="str">
        <f>IFERROR(INDEX(vdata_regressors!$A$1:$L$2000,MATCH($A366,vdata_regressors!$A$2:$A$2000,0)+1,MATCH(K$2,vdata_regressors!$A$1:$R$1,0)),"")</f>
        <v/>
      </c>
      <c r="L366" s="23" t="str">
        <f>IFERROR(INDEX(vdata_regressors!$A$1:$L$2000,MATCH($A366,vdata_regressors!$A$2:$A$2000,0)+1,MATCH(L$2,vdata_regressors!$A$1:$R$1,0)),"")</f>
        <v/>
      </c>
      <c r="M366" s="23" t="str">
        <f>IFERROR(VLOOKUP(A366,vdata_hours!$A$2:$B$1000,2,FALSE),"")</f>
        <v/>
      </c>
    </row>
    <row r="367" spans="1:13" x14ac:dyDescent="0.25">
      <c r="A367" s="23" t="str">
        <f>IF(vdata_hours!A366=0,"",vdata_hours!A366)</f>
        <v/>
      </c>
      <c r="B367" s="23" t="str">
        <f>IFERROR(INDEX(vdata_regressors!$A$1:$L$2000,MATCH($A367,vdata_regressors!$A$2:$A$2000,0)+1,MATCH(B$2,vdata_regressors!$A$1:$R$1,0)),"")</f>
        <v/>
      </c>
      <c r="C367" s="23" t="str">
        <f>IFERROR(INDEX(vdata_regressors!$A$1:$L$2000,MATCH($A367,vdata_regressors!$A$2:$A$2000,0)+1,MATCH(C$2,vdata_regressors!$A$1:$R$1,0)),"")</f>
        <v/>
      </c>
      <c r="D367" s="23" t="str">
        <f>IFERROR(INDEX(vdata_regressors!$A$1:$L$2000,MATCH($A367,vdata_regressors!$A$2:$A$2000,0)+1,MATCH(D$2,vdata_regressors!$A$1:$R$1,0)),"")</f>
        <v/>
      </c>
      <c r="E367" s="23" t="str">
        <f>IFERROR(INDEX(vdata_regressors!$A$1:$L$2000,MATCH($A367,vdata_regressors!$A$2:$A$2000,0)+1,MATCH(E$2,vdata_regressors!$A$1:$R$1,0)),"")</f>
        <v/>
      </c>
      <c r="F367" s="23" t="str">
        <f>IFERROR(INDEX(vdata_regressors!$A$1:$L$2000,MATCH($A367,vdata_regressors!$A$2:$A$2000,0)+1,MATCH(F$2,vdata_regressors!$A$1:$R$1,0)),"")</f>
        <v/>
      </c>
      <c r="G367" s="23" t="str">
        <f>IFERROR(INDEX(vdata_regressors!$A$1:$L$2000,MATCH($A367,vdata_regressors!$A$2:$A$2000,0)+1,MATCH(G$2,vdata_regressors!$A$1:$R$1,0)),"")</f>
        <v/>
      </c>
      <c r="H367" s="23" t="str">
        <f>IFERROR(INDEX(vdata_regressors!$A$1:$L$2000,MATCH($A367,vdata_regressors!$A$2:$A$2000,0)+1,MATCH(H$2,vdata_regressors!$A$1:$R$1,0)),"")</f>
        <v/>
      </c>
      <c r="I367" s="23" t="str">
        <f>IFERROR(INDEX(vdata_regressors!$A$1:$L$2000,MATCH($A367,vdata_regressors!$A$2:$A$2000,0)+1,MATCH(I$2,vdata_regressors!$A$1:$R$1,0)),"")</f>
        <v/>
      </c>
      <c r="J367" s="23" t="str">
        <f>IFERROR(INDEX(vdata_regressors!$A$1:$L$2000,MATCH($A367,vdata_regressors!$A$2:$A$2000,0)+1,MATCH(J$2,vdata_regressors!$A$1:$R$1,0)),"")</f>
        <v/>
      </c>
      <c r="K367" s="23" t="str">
        <f>IFERROR(INDEX(vdata_regressors!$A$1:$L$2000,MATCH($A367,vdata_regressors!$A$2:$A$2000,0)+1,MATCH(K$2,vdata_regressors!$A$1:$R$1,0)),"")</f>
        <v/>
      </c>
      <c r="L367" s="23" t="str">
        <f>IFERROR(INDEX(vdata_regressors!$A$1:$L$2000,MATCH($A367,vdata_regressors!$A$2:$A$2000,0)+1,MATCH(L$2,vdata_regressors!$A$1:$R$1,0)),"")</f>
        <v/>
      </c>
      <c r="M367" s="23" t="str">
        <f>IFERROR(VLOOKUP(A367,vdata_hours!$A$2:$B$1000,2,FALSE),"")</f>
        <v/>
      </c>
    </row>
    <row r="368" spans="1:13" x14ac:dyDescent="0.25">
      <c r="A368" s="23" t="str">
        <f>IF(vdata_hours!A367=0,"",vdata_hours!A367)</f>
        <v/>
      </c>
      <c r="B368" s="23" t="str">
        <f>IFERROR(INDEX(vdata_regressors!$A$1:$L$2000,MATCH($A368,vdata_regressors!$A$2:$A$2000,0)+1,MATCH(B$2,vdata_regressors!$A$1:$R$1,0)),"")</f>
        <v/>
      </c>
      <c r="C368" s="23" t="str">
        <f>IFERROR(INDEX(vdata_regressors!$A$1:$L$2000,MATCH($A368,vdata_regressors!$A$2:$A$2000,0)+1,MATCH(C$2,vdata_regressors!$A$1:$R$1,0)),"")</f>
        <v/>
      </c>
      <c r="D368" s="23" t="str">
        <f>IFERROR(INDEX(vdata_regressors!$A$1:$L$2000,MATCH($A368,vdata_regressors!$A$2:$A$2000,0)+1,MATCH(D$2,vdata_regressors!$A$1:$R$1,0)),"")</f>
        <v/>
      </c>
      <c r="E368" s="23" t="str">
        <f>IFERROR(INDEX(vdata_regressors!$A$1:$L$2000,MATCH($A368,vdata_regressors!$A$2:$A$2000,0)+1,MATCH(E$2,vdata_regressors!$A$1:$R$1,0)),"")</f>
        <v/>
      </c>
      <c r="F368" s="23" t="str">
        <f>IFERROR(INDEX(vdata_regressors!$A$1:$L$2000,MATCH($A368,vdata_regressors!$A$2:$A$2000,0)+1,MATCH(F$2,vdata_regressors!$A$1:$R$1,0)),"")</f>
        <v/>
      </c>
      <c r="G368" s="23" t="str">
        <f>IFERROR(INDEX(vdata_regressors!$A$1:$L$2000,MATCH($A368,vdata_regressors!$A$2:$A$2000,0)+1,MATCH(G$2,vdata_regressors!$A$1:$R$1,0)),"")</f>
        <v/>
      </c>
      <c r="H368" s="23" t="str">
        <f>IFERROR(INDEX(vdata_regressors!$A$1:$L$2000,MATCH($A368,vdata_regressors!$A$2:$A$2000,0)+1,MATCH(H$2,vdata_regressors!$A$1:$R$1,0)),"")</f>
        <v/>
      </c>
      <c r="I368" s="23" t="str">
        <f>IFERROR(INDEX(vdata_regressors!$A$1:$L$2000,MATCH($A368,vdata_regressors!$A$2:$A$2000,0)+1,MATCH(I$2,vdata_regressors!$A$1:$R$1,0)),"")</f>
        <v/>
      </c>
      <c r="J368" s="23" t="str">
        <f>IFERROR(INDEX(vdata_regressors!$A$1:$L$2000,MATCH($A368,vdata_regressors!$A$2:$A$2000,0)+1,MATCH(J$2,vdata_regressors!$A$1:$R$1,0)),"")</f>
        <v/>
      </c>
      <c r="K368" s="23" t="str">
        <f>IFERROR(INDEX(vdata_regressors!$A$1:$L$2000,MATCH($A368,vdata_regressors!$A$2:$A$2000,0)+1,MATCH(K$2,vdata_regressors!$A$1:$R$1,0)),"")</f>
        <v/>
      </c>
      <c r="L368" s="23" t="str">
        <f>IFERROR(INDEX(vdata_regressors!$A$1:$L$2000,MATCH($A368,vdata_regressors!$A$2:$A$2000,0)+1,MATCH(L$2,vdata_regressors!$A$1:$R$1,0)),"")</f>
        <v/>
      </c>
      <c r="M368" s="23" t="str">
        <f>IFERROR(VLOOKUP(A368,vdata_hours!$A$2:$B$1000,2,FALSE),"")</f>
        <v/>
      </c>
    </row>
    <row r="369" spans="1:13" x14ac:dyDescent="0.25">
      <c r="A369" s="23" t="str">
        <f>IF(vdata_hours!A368=0,"",vdata_hours!A368)</f>
        <v/>
      </c>
      <c r="B369" s="23" t="str">
        <f>IFERROR(INDEX(vdata_regressors!$A$1:$L$2000,MATCH($A369,vdata_regressors!$A$2:$A$2000,0)+1,MATCH(B$2,vdata_regressors!$A$1:$R$1,0)),"")</f>
        <v/>
      </c>
      <c r="C369" s="23" t="str">
        <f>IFERROR(INDEX(vdata_regressors!$A$1:$L$2000,MATCH($A369,vdata_regressors!$A$2:$A$2000,0)+1,MATCH(C$2,vdata_regressors!$A$1:$R$1,0)),"")</f>
        <v/>
      </c>
      <c r="D369" s="23" t="str">
        <f>IFERROR(INDEX(vdata_regressors!$A$1:$L$2000,MATCH($A369,vdata_regressors!$A$2:$A$2000,0)+1,MATCH(D$2,vdata_regressors!$A$1:$R$1,0)),"")</f>
        <v/>
      </c>
      <c r="E369" s="23" t="str">
        <f>IFERROR(INDEX(vdata_regressors!$A$1:$L$2000,MATCH($A369,vdata_regressors!$A$2:$A$2000,0)+1,MATCH(E$2,vdata_regressors!$A$1:$R$1,0)),"")</f>
        <v/>
      </c>
      <c r="F369" s="23" t="str">
        <f>IFERROR(INDEX(vdata_regressors!$A$1:$L$2000,MATCH($A369,vdata_regressors!$A$2:$A$2000,0)+1,MATCH(F$2,vdata_regressors!$A$1:$R$1,0)),"")</f>
        <v/>
      </c>
      <c r="G369" s="23" t="str">
        <f>IFERROR(INDEX(vdata_regressors!$A$1:$L$2000,MATCH($A369,vdata_regressors!$A$2:$A$2000,0)+1,MATCH(G$2,vdata_regressors!$A$1:$R$1,0)),"")</f>
        <v/>
      </c>
      <c r="H369" s="23" t="str">
        <f>IFERROR(INDEX(vdata_regressors!$A$1:$L$2000,MATCH($A369,vdata_regressors!$A$2:$A$2000,0)+1,MATCH(H$2,vdata_regressors!$A$1:$R$1,0)),"")</f>
        <v/>
      </c>
      <c r="I369" s="23" t="str">
        <f>IFERROR(INDEX(vdata_regressors!$A$1:$L$2000,MATCH($A369,vdata_regressors!$A$2:$A$2000,0)+1,MATCH(I$2,vdata_regressors!$A$1:$R$1,0)),"")</f>
        <v/>
      </c>
      <c r="J369" s="23" t="str">
        <f>IFERROR(INDEX(vdata_regressors!$A$1:$L$2000,MATCH($A369,vdata_regressors!$A$2:$A$2000,0)+1,MATCH(J$2,vdata_regressors!$A$1:$R$1,0)),"")</f>
        <v/>
      </c>
      <c r="K369" s="23" t="str">
        <f>IFERROR(INDEX(vdata_regressors!$A$1:$L$2000,MATCH($A369,vdata_regressors!$A$2:$A$2000,0)+1,MATCH(K$2,vdata_regressors!$A$1:$R$1,0)),"")</f>
        <v/>
      </c>
      <c r="L369" s="23" t="str">
        <f>IFERROR(INDEX(vdata_regressors!$A$1:$L$2000,MATCH($A369,vdata_regressors!$A$2:$A$2000,0)+1,MATCH(L$2,vdata_regressors!$A$1:$R$1,0)),"")</f>
        <v/>
      </c>
      <c r="M369" s="23" t="str">
        <f>IFERROR(VLOOKUP(A369,vdata_hours!$A$2:$B$1000,2,FALSE),"")</f>
        <v/>
      </c>
    </row>
    <row r="370" spans="1:13" x14ac:dyDescent="0.25">
      <c r="A370" s="23" t="str">
        <f>IF(vdata_hours!A369=0,"",vdata_hours!A369)</f>
        <v/>
      </c>
      <c r="B370" s="23" t="str">
        <f>IFERROR(INDEX(vdata_regressors!$A$1:$L$2000,MATCH($A370,vdata_regressors!$A$2:$A$2000,0)+1,MATCH(B$2,vdata_regressors!$A$1:$R$1,0)),"")</f>
        <v/>
      </c>
      <c r="C370" s="23" t="str">
        <f>IFERROR(INDEX(vdata_regressors!$A$1:$L$2000,MATCH($A370,vdata_regressors!$A$2:$A$2000,0)+1,MATCH(C$2,vdata_regressors!$A$1:$R$1,0)),"")</f>
        <v/>
      </c>
      <c r="D370" s="23" t="str">
        <f>IFERROR(INDEX(vdata_regressors!$A$1:$L$2000,MATCH($A370,vdata_regressors!$A$2:$A$2000,0)+1,MATCH(D$2,vdata_regressors!$A$1:$R$1,0)),"")</f>
        <v/>
      </c>
      <c r="E370" s="23" t="str">
        <f>IFERROR(INDEX(vdata_regressors!$A$1:$L$2000,MATCH($A370,vdata_regressors!$A$2:$A$2000,0)+1,MATCH(E$2,vdata_regressors!$A$1:$R$1,0)),"")</f>
        <v/>
      </c>
      <c r="F370" s="23" t="str">
        <f>IFERROR(INDEX(vdata_regressors!$A$1:$L$2000,MATCH($A370,vdata_regressors!$A$2:$A$2000,0)+1,MATCH(F$2,vdata_regressors!$A$1:$R$1,0)),"")</f>
        <v/>
      </c>
      <c r="G370" s="23" t="str">
        <f>IFERROR(INDEX(vdata_regressors!$A$1:$L$2000,MATCH($A370,vdata_regressors!$A$2:$A$2000,0)+1,MATCH(G$2,vdata_regressors!$A$1:$R$1,0)),"")</f>
        <v/>
      </c>
      <c r="H370" s="23" t="str">
        <f>IFERROR(INDEX(vdata_regressors!$A$1:$L$2000,MATCH($A370,vdata_regressors!$A$2:$A$2000,0)+1,MATCH(H$2,vdata_regressors!$A$1:$R$1,0)),"")</f>
        <v/>
      </c>
      <c r="I370" s="23" t="str">
        <f>IFERROR(INDEX(vdata_regressors!$A$1:$L$2000,MATCH($A370,vdata_regressors!$A$2:$A$2000,0)+1,MATCH(I$2,vdata_regressors!$A$1:$R$1,0)),"")</f>
        <v/>
      </c>
      <c r="J370" s="23" t="str">
        <f>IFERROR(INDEX(vdata_regressors!$A$1:$L$2000,MATCH($A370,vdata_regressors!$A$2:$A$2000,0)+1,MATCH(J$2,vdata_regressors!$A$1:$R$1,0)),"")</f>
        <v/>
      </c>
      <c r="K370" s="23" t="str">
        <f>IFERROR(INDEX(vdata_regressors!$A$1:$L$2000,MATCH($A370,vdata_regressors!$A$2:$A$2000,0)+1,MATCH(K$2,vdata_regressors!$A$1:$R$1,0)),"")</f>
        <v/>
      </c>
      <c r="L370" s="23" t="str">
        <f>IFERROR(INDEX(vdata_regressors!$A$1:$L$2000,MATCH($A370,vdata_regressors!$A$2:$A$2000,0)+1,MATCH(L$2,vdata_regressors!$A$1:$R$1,0)),"")</f>
        <v/>
      </c>
      <c r="M370" s="23" t="str">
        <f>IFERROR(VLOOKUP(A370,vdata_hours!$A$2:$B$1000,2,FALSE),"")</f>
        <v/>
      </c>
    </row>
    <row r="371" spans="1:13" x14ac:dyDescent="0.25">
      <c r="A371" s="23" t="str">
        <f>IF(vdata_hours!A370=0,"",vdata_hours!A370)</f>
        <v/>
      </c>
      <c r="B371" s="23" t="str">
        <f>IFERROR(INDEX(vdata_regressors!$A$1:$L$2000,MATCH($A371,vdata_regressors!$A$2:$A$2000,0)+1,MATCH(B$2,vdata_regressors!$A$1:$R$1,0)),"")</f>
        <v/>
      </c>
      <c r="C371" s="23" t="str">
        <f>IFERROR(INDEX(vdata_regressors!$A$1:$L$2000,MATCH($A371,vdata_regressors!$A$2:$A$2000,0)+1,MATCH(C$2,vdata_regressors!$A$1:$R$1,0)),"")</f>
        <v/>
      </c>
      <c r="D371" s="23" t="str">
        <f>IFERROR(INDEX(vdata_regressors!$A$1:$L$2000,MATCH($A371,vdata_regressors!$A$2:$A$2000,0)+1,MATCH(D$2,vdata_regressors!$A$1:$R$1,0)),"")</f>
        <v/>
      </c>
      <c r="E371" s="23" t="str">
        <f>IFERROR(INDEX(vdata_regressors!$A$1:$L$2000,MATCH($A371,vdata_regressors!$A$2:$A$2000,0)+1,MATCH(E$2,vdata_regressors!$A$1:$R$1,0)),"")</f>
        <v/>
      </c>
      <c r="F371" s="23" t="str">
        <f>IFERROR(INDEX(vdata_regressors!$A$1:$L$2000,MATCH($A371,vdata_regressors!$A$2:$A$2000,0)+1,MATCH(F$2,vdata_regressors!$A$1:$R$1,0)),"")</f>
        <v/>
      </c>
      <c r="G371" s="23" t="str">
        <f>IFERROR(INDEX(vdata_regressors!$A$1:$L$2000,MATCH($A371,vdata_regressors!$A$2:$A$2000,0)+1,MATCH(G$2,vdata_regressors!$A$1:$R$1,0)),"")</f>
        <v/>
      </c>
      <c r="H371" s="23" t="str">
        <f>IFERROR(INDEX(vdata_regressors!$A$1:$L$2000,MATCH($A371,vdata_regressors!$A$2:$A$2000,0)+1,MATCH(H$2,vdata_regressors!$A$1:$R$1,0)),"")</f>
        <v/>
      </c>
      <c r="I371" s="23" t="str">
        <f>IFERROR(INDEX(vdata_regressors!$A$1:$L$2000,MATCH($A371,vdata_regressors!$A$2:$A$2000,0)+1,MATCH(I$2,vdata_regressors!$A$1:$R$1,0)),"")</f>
        <v/>
      </c>
      <c r="J371" s="23" t="str">
        <f>IFERROR(INDEX(vdata_regressors!$A$1:$L$2000,MATCH($A371,vdata_regressors!$A$2:$A$2000,0)+1,MATCH(J$2,vdata_regressors!$A$1:$R$1,0)),"")</f>
        <v/>
      </c>
      <c r="K371" s="23" t="str">
        <f>IFERROR(INDEX(vdata_regressors!$A$1:$L$2000,MATCH($A371,vdata_regressors!$A$2:$A$2000,0)+1,MATCH(K$2,vdata_regressors!$A$1:$R$1,0)),"")</f>
        <v/>
      </c>
      <c r="L371" s="23" t="str">
        <f>IFERROR(INDEX(vdata_regressors!$A$1:$L$2000,MATCH($A371,vdata_regressors!$A$2:$A$2000,0)+1,MATCH(L$2,vdata_regressors!$A$1:$R$1,0)),"")</f>
        <v/>
      </c>
      <c r="M371" s="23" t="str">
        <f>IFERROR(VLOOKUP(A371,vdata_hours!$A$2:$B$1000,2,FALSE),"")</f>
        <v/>
      </c>
    </row>
    <row r="372" spans="1:13" x14ac:dyDescent="0.25">
      <c r="A372" s="23" t="str">
        <f>IF(vdata_hours!A371=0,"",vdata_hours!A371)</f>
        <v/>
      </c>
      <c r="B372" s="23" t="str">
        <f>IFERROR(INDEX(vdata_regressors!$A$1:$L$2000,MATCH($A372,vdata_regressors!$A$2:$A$2000,0)+1,MATCH(B$2,vdata_regressors!$A$1:$R$1,0)),"")</f>
        <v/>
      </c>
      <c r="C372" s="23" t="str">
        <f>IFERROR(INDEX(vdata_regressors!$A$1:$L$2000,MATCH($A372,vdata_regressors!$A$2:$A$2000,0)+1,MATCH(C$2,vdata_regressors!$A$1:$R$1,0)),"")</f>
        <v/>
      </c>
      <c r="D372" s="23" t="str">
        <f>IFERROR(INDEX(vdata_regressors!$A$1:$L$2000,MATCH($A372,vdata_regressors!$A$2:$A$2000,0)+1,MATCH(D$2,vdata_regressors!$A$1:$R$1,0)),"")</f>
        <v/>
      </c>
      <c r="E372" s="23" t="str">
        <f>IFERROR(INDEX(vdata_regressors!$A$1:$L$2000,MATCH($A372,vdata_regressors!$A$2:$A$2000,0)+1,MATCH(E$2,vdata_regressors!$A$1:$R$1,0)),"")</f>
        <v/>
      </c>
      <c r="F372" s="23" t="str">
        <f>IFERROR(INDEX(vdata_regressors!$A$1:$L$2000,MATCH($A372,vdata_regressors!$A$2:$A$2000,0)+1,MATCH(F$2,vdata_regressors!$A$1:$R$1,0)),"")</f>
        <v/>
      </c>
      <c r="G372" s="23" t="str">
        <f>IFERROR(INDEX(vdata_regressors!$A$1:$L$2000,MATCH($A372,vdata_regressors!$A$2:$A$2000,0)+1,MATCH(G$2,vdata_regressors!$A$1:$R$1,0)),"")</f>
        <v/>
      </c>
      <c r="H372" s="23" t="str">
        <f>IFERROR(INDEX(vdata_regressors!$A$1:$L$2000,MATCH($A372,vdata_regressors!$A$2:$A$2000,0)+1,MATCH(H$2,vdata_regressors!$A$1:$R$1,0)),"")</f>
        <v/>
      </c>
      <c r="I372" s="23" t="str">
        <f>IFERROR(INDEX(vdata_regressors!$A$1:$L$2000,MATCH($A372,vdata_regressors!$A$2:$A$2000,0)+1,MATCH(I$2,vdata_regressors!$A$1:$R$1,0)),"")</f>
        <v/>
      </c>
      <c r="J372" s="23" t="str">
        <f>IFERROR(INDEX(vdata_regressors!$A$1:$L$2000,MATCH($A372,vdata_regressors!$A$2:$A$2000,0)+1,MATCH(J$2,vdata_regressors!$A$1:$R$1,0)),"")</f>
        <v/>
      </c>
      <c r="K372" s="23" t="str">
        <f>IFERROR(INDEX(vdata_regressors!$A$1:$L$2000,MATCH($A372,vdata_regressors!$A$2:$A$2000,0)+1,MATCH(K$2,vdata_regressors!$A$1:$R$1,0)),"")</f>
        <v/>
      </c>
      <c r="L372" s="23" t="str">
        <f>IFERROR(INDEX(vdata_regressors!$A$1:$L$2000,MATCH($A372,vdata_regressors!$A$2:$A$2000,0)+1,MATCH(L$2,vdata_regressors!$A$1:$R$1,0)),"")</f>
        <v/>
      </c>
      <c r="M372" s="23" t="str">
        <f>IFERROR(VLOOKUP(A372,vdata_hours!$A$2:$B$1000,2,FALSE),"")</f>
        <v/>
      </c>
    </row>
    <row r="373" spans="1:13" x14ac:dyDescent="0.25">
      <c r="A373" s="23" t="str">
        <f>IF(vdata_hours!A372=0,"",vdata_hours!A372)</f>
        <v/>
      </c>
      <c r="B373" s="23" t="str">
        <f>IFERROR(INDEX(vdata_regressors!$A$1:$L$2000,MATCH($A373,vdata_regressors!$A$2:$A$2000,0)+1,MATCH(B$2,vdata_regressors!$A$1:$R$1,0)),"")</f>
        <v/>
      </c>
      <c r="C373" s="23" t="str">
        <f>IFERROR(INDEX(vdata_regressors!$A$1:$L$2000,MATCH($A373,vdata_regressors!$A$2:$A$2000,0)+1,MATCH(C$2,vdata_regressors!$A$1:$R$1,0)),"")</f>
        <v/>
      </c>
      <c r="D373" s="23" t="str">
        <f>IFERROR(INDEX(vdata_regressors!$A$1:$L$2000,MATCH($A373,vdata_regressors!$A$2:$A$2000,0)+1,MATCH(D$2,vdata_regressors!$A$1:$R$1,0)),"")</f>
        <v/>
      </c>
      <c r="E373" s="23" t="str">
        <f>IFERROR(INDEX(vdata_regressors!$A$1:$L$2000,MATCH($A373,vdata_regressors!$A$2:$A$2000,0)+1,MATCH(E$2,vdata_regressors!$A$1:$R$1,0)),"")</f>
        <v/>
      </c>
      <c r="F373" s="23" t="str">
        <f>IFERROR(INDEX(vdata_regressors!$A$1:$L$2000,MATCH($A373,vdata_regressors!$A$2:$A$2000,0)+1,MATCH(F$2,vdata_regressors!$A$1:$R$1,0)),"")</f>
        <v/>
      </c>
      <c r="G373" s="23" t="str">
        <f>IFERROR(INDEX(vdata_regressors!$A$1:$L$2000,MATCH($A373,vdata_regressors!$A$2:$A$2000,0)+1,MATCH(G$2,vdata_regressors!$A$1:$R$1,0)),"")</f>
        <v/>
      </c>
      <c r="H373" s="23" t="str">
        <f>IFERROR(INDEX(vdata_regressors!$A$1:$L$2000,MATCH($A373,vdata_regressors!$A$2:$A$2000,0)+1,MATCH(H$2,vdata_regressors!$A$1:$R$1,0)),"")</f>
        <v/>
      </c>
      <c r="I373" s="23" t="str">
        <f>IFERROR(INDEX(vdata_regressors!$A$1:$L$2000,MATCH($A373,vdata_regressors!$A$2:$A$2000,0)+1,MATCH(I$2,vdata_regressors!$A$1:$R$1,0)),"")</f>
        <v/>
      </c>
      <c r="J373" s="23" t="str">
        <f>IFERROR(INDEX(vdata_regressors!$A$1:$L$2000,MATCH($A373,vdata_regressors!$A$2:$A$2000,0)+1,MATCH(J$2,vdata_regressors!$A$1:$R$1,0)),"")</f>
        <v/>
      </c>
      <c r="K373" s="23" t="str">
        <f>IFERROR(INDEX(vdata_regressors!$A$1:$L$2000,MATCH($A373,vdata_regressors!$A$2:$A$2000,0)+1,MATCH(K$2,vdata_regressors!$A$1:$R$1,0)),"")</f>
        <v/>
      </c>
      <c r="L373" s="23" t="str">
        <f>IFERROR(INDEX(vdata_regressors!$A$1:$L$2000,MATCH($A373,vdata_regressors!$A$2:$A$2000,0)+1,MATCH(L$2,vdata_regressors!$A$1:$R$1,0)),"")</f>
        <v/>
      </c>
      <c r="M373" s="23" t="str">
        <f>IFERROR(VLOOKUP(A373,vdata_hours!$A$2:$B$1000,2,FALSE),"")</f>
        <v/>
      </c>
    </row>
    <row r="374" spans="1:13" x14ac:dyDescent="0.25">
      <c r="A374" s="23" t="str">
        <f>IF(vdata_hours!A373=0,"",vdata_hours!A373)</f>
        <v/>
      </c>
      <c r="B374" s="23" t="str">
        <f>IFERROR(INDEX(vdata_regressors!$A$1:$L$2000,MATCH($A374,vdata_regressors!$A$2:$A$2000,0)+1,MATCH(B$2,vdata_regressors!$A$1:$R$1,0)),"")</f>
        <v/>
      </c>
      <c r="C374" s="23" t="str">
        <f>IFERROR(INDEX(vdata_regressors!$A$1:$L$2000,MATCH($A374,vdata_regressors!$A$2:$A$2000,0)+1,MATCH(C$2,vdata_regressors!$A$1:$R$1,0)),"")</f>
        <v/>
      </c>
      <c r="D374" s="23" t="str">
        <f>IFERROR(INDEX(vdata_regressors!$A$1:$L$2000,MATCH($A374,vdata_regressors!$A$2:$A$2000,0)+1,MATCH(D$2,vdata_regressors!$A$1:$R$1,0)),"")</f>
        <v/>
      </c>
      <c r="E374" s="23" t="str">
        <f>IFERROR(INDEX(vdata_regressors!$A$1:$L$2000,MATCH($A374,vdata_regressors!$A$2:$A$2000,0)+1,MATCH(E$2,vdata_regressors!$A$1:$R$1,0)),"")</f>
        <v/>
      </c>
      <c r="F374" s="23" t="str">
        <f>IFERROR(INDEX(vdata_regressors!$A$1:$L$2000,MATCH($A374,vdata_regressors!$A$2:$A$2000,0)+1,MATCH(F$2,vdata_regressors!$A$1:$R$1,0)),"")</f>
        <v/>
      </c>
      <c r="G374" s="23" t="str">
        <f>IFERROR(INDEX(vdata_regressors!$A$1:$L$2000,MATCH($A374,vdata_regressors!$A$2:$A$2000,0)+1,MATCH(G$2,vdata_regressors!$A$1:$R$1,0)),"")</f>
        <v/>
      </c>
      <c r="H374" s="23" t="str">
        <f>IFERROR(INDEX(vdata_regressors!$A$1:$L$2000,MATCH($A374,vdata_regressors!$A$2:$A$2000,0)+1,MATCH(H$2,vdata_regressors!$A$1:$R$1,0)),"")</f>
        <v/>
      </c>
      <c r="I374" s="23" t="str">
        <f>IFERROR(INDEX(vdata_regressors!$A$1:$L$2000,MATCH($A374,vdata_regressors!$A$2:$A$2000,0)+1,MATCH(I$2,vdata_regressors!$A$1:$R$1,0)),"")</f>
        <v/>
      </c>
      <c r="J374" s="23" t="str">
        <f>IFERROR(INDEX(vdata_regressors!$A$1:$L$2000,MATCH($A374,vdata_regressors!$A$2:$A$2000,0)+1,MATCH(J$2,vdata_regressors!$A$1:$R$1,0)),"")</f>
        <v/>
      </c>
      <c r="K374" s="23" t="str">
        <f>IFERROR(INDEX(vdata_regressors!$A$1:$L$2000,MATCH($A374,vdata_regressors!$A$2:$A$2000,0)+1,MATCH(K$2,vdata_regressors!$A$1:$R$1,0)),"")</f>
        <v/>
      </c>
      <c r="L374" s="23" t="str">
        <f>IFERROR(INDEX(vdata_regressors!$A$1:$L$2000,MATCH($A374,vdata_regressors!$A$2:$A$2000,0)+1,MATCH(L$2,vdata_regressors!$A$1:$R$1,0)),"")</f>
        <v/>
      </c>
      <c r="M374" s="23" t="str">
        <f>IFERROR(VLOOKUP(A374,vdata_hours!$A$2:$B$1000,2,FALSE),"")</f>
        <v/>
      </c>
    </row>
    <row r="375" spans="1:13" x14ac:dyDescent="0.25">
      <c r="A375" s="23" t="str">
        <f>IF(vdata_hours!A374=0,"",vdata_hours!A374)</f>
        <v/>
      </c>
      <c r="B375" s="23" t="str">
        <f>IFERROR(INDEX(vdata_regressors!$A$1:$L$2000,MATCH($A375,vdata_regressors!$A$2:$A$2000,0)+1,MATCH(B$2,vdata_regressors!$A$1:$R$1,0)),"")</f>
        <v/>
      </c>
      <c r="C375" s="23" t="str">
        <f>IFERROR(INDEX(vdata_regressors!$A$1:$L$2000,MATCH($A375,vdata_regressors!$A$2:$A$2000,0)+1,MATCH(C$2,vdata_regressors!$A$1:$R$1,0)),"")</f>
        <v/>
      </c>
      <c r="D375" s="23" t="str">
        <f>IFERROR(INDEX(vdata_regressors!$A$1:$L$2000,MATCH($A375,vdata_regressors!$A$2:$A$2000,0)+1,MATCH(D$2,vdata_regressors!$A$1:$R$1,0)),"")</f>
        <v/>
      </c>
      <c r="E375" s="23" t="str">
        <f>IFERROR(INDEX(vdata_regressors!$A$1:$L$2000,MATCH($A375,vdata_regressors!$A$2:$A$2000,0)+1,MATCH(E$2,vdata_regressors!$A$1:$R$1,0)),"")</f>
        <v/>
      </c>
      <c r="F375" s="23" t="str">
        <f>IFERROR(INDEX(vdata_regressors!$A$1:$L$2000,MATCH($A375,vdata_regressors!$A$2:$A$2000,0)+1,MATCH(F$2,vdata_regressors!$A$1:$R$1,0)),"")</f>
        <v/>
      </c>
      <c r="G375" s="23" t="str">
        <f>IFERROR(INDEX(vdata_regressors!$A$1:$L$2000,MATCH($A375,vdata_regressors!$A$2:$A$2000,0)+1,MATCH(G$2,vdata_regressors!$A$1:$R$1,0)),"")</f>
        <v/>
      </c>
      <c r="H375" s="23" t="str">
        <f>IFERROR(INDEX(vdata_regressors!$A$1:$L$2000,MATCH($A375,vdata_regressors!$A$2:$A$2000,0)+1,MATCH(H$2,vdata_regressors!$A$1:$R$1,0)),"")</f>
        <v/>
      </c>
      <c r="I375" s="23" t="str">
        <f>IFERROR(INDEX(vdata_regressors!$A$1:$L$2000,MATCH($A375,vdata_regressors!$A$2:$A$2000,0)+1,MATCH(I$2,vdata_regressors!$A$1:$R$1,0)),"")</f>
        <v/>
      </c>
      <c r="J375" s="23" t="str">
        <f>IFERROR(INDEX(vdata_regressors!$A$1:$L$2000,MATCH($A375,vdata_regressors!$A$2:$A$2000,0)+1,MATCH(J$2,vdata_regressors!$A$1:$R$1,0)),"")</f>
        <v/>
      </c>
      <c r="K375" s="23" t="str">
        <f>IFERROR(INDEX(vdata_regressors!$A$1:$L$2000,MATCH($A375,vdata_regressors!$A$2:$A$2000,0)+1,MATCH(K$2,vdata_regressors!$A$1:$R$1,0)),"")</f>
        <v/>
      </c>
      <c r="L375" s="23" t="str">
        <f>IFERROR(INDEX(vdata_regressors!$A$1:$L$2000,MATCH($A375,vdata_regressors!$A$2:$A$2000,0)+1,MATCH(L$2,vdata_regressors!$A$1:$R$1,0)),"")</f>
        <v/>
      </c>
      <c r="M375" s="23" t="str">
        <f>IFERROR(VLOOKUP(A375,vdata_hours!$A$2:$B$1000,2,FALSE),"")</f>
        <v/>
      </c>
    </row>
    <row r="376" spans="1:13" x14ac:dyDescent="0.25">
      <c r="A376" s="23" t="str">
        <f>IF(vdata_hours!A375=0,"",vdata_hours!A375)</f>
        <v/>
      </c>
      <c r="B376" s="23" t="str">
        <f>IFERROR(INDEX(vdata_regressors!$A$1:$L$2000,MATCH($A376,vdata_regressors!$A$2:$A$2000,0)+1,MATCH(B$2,vdata_regressors!$A$1:$R$1,0)),"")</f>
        <v/>
      </c>
      <c r="C376" s="23" t="str">
        <f>IFERROR(INDEX(vdata_regressors!$A$1:$L$2000,MATCH($A376,vdata_regressors!$A$2:$A$2000,0)+1,MATCH(C$2,vdata_regressors!$A$1:$R$1,0)),"")</f>
        <v/>
      </c>
      <c r="D376" s="23" t="str">
        <f>IFERROR(INDEX(vdata_regressors!$A$1:$L$2000,MATCH($A376,vdata_regressors!$A$2:$A$2000,0)+1,MATCH(D$2,vdata_regressors!$A$1:$R$1,0)),"")</f>
        <v/>
      </c>
      <c r="E376" s="23" t="str">
        <f>IFERROR(INDEX(vdata_regressors!$A$1:$L$2000,MATCH($A376,vdata_regressors!$A$2:$A$2000,0)+1,MATCH(E$2,vdata_regressors!$A$1:$R$1,0)),"")</f>
        <v/>
      </c>
      <c r="F376" s="23" t="str">
        <f>IFERROR(INDEX(vdata_regressors!$A$1:$L$2000,MATCH($A376,vdata_regressors!$A$2:$A$2000,0)+1,MATCH(F$2,vdata_regressors!$A$1:$R$1,0)),"")</f>
        <v/>
      </c>
      <c r="G376" s="23" t="str">
        <f>IFERROR(INDEX(vdata_regressors!$A$1:$L$2000,MATCH($A376,vdata_regressors!$A$2:$A$2000,0)+1,MATCH(G$2,vdata_regressors!$A$1:$R$1,0)),"")</f>
        <v/>
      </c>
      <c r="H376" s="23" t="str">
        <f>IFERROR(INDEX(vdata_regressors!$A$1:$L$2000,MATCH($A376,vdata_regressors!$A$2:$A$2000,0)+1,MATCH(H$2,vdata_regressors!$A$1:$R$1,0)),"")</f>
        <v/>
      </c>
      <c r="I376" s="23" t="str">
        <f>IFERROR(INDEX(vdata_regressors!$A$1:$L$2000,MATCH($A376,vdata_regressors!$A$2:$A$2000,0)+1,MATCH(I$2,vdata_regressors!$A$1:$R$1,0)),"")</f>
        <v/>
      </c>
      <c r="J376" s="23" t="str">
        <f>IFERROR(INDEX(vdata_regressors!$A$1:$L$2000,MATCH($A376,vdata_regressors!$A$2:$A$2000,0)+1,MATCH(J$2,vdata_regressors!$A$1:$R$1,0)),"")</f>
        <v/>
      </c>
      <c r="K376" s="23" t="str">
        <f>IFERROR(INDEX(vdata_regressors!$A$1:$L$2000,MATCH($A376,vdata_regressors!$A$2:$A$2000,0)+1,MATCH(K$2,vdata_regressors!$A$1:$R$1,0)),"")</f>
        <v/>
      </c>
      <c r="L376" s="23" t="str">
        <f>IFERROR(INDEX(vdata_regressors!$A$1:$L$2000,MATCH($A376,vdata_regressors!$A$2:$A$2000,0)+1,MATCH(L$2,vdata_regressors!$A$1:$R$1,0)),"")</f>
        <v/>
      </c>
      <c r="M376" s="23" t="str">
        <f>IFERROR(VLOOKUP(A376,vdata_hours!$A$2:$B$1000,2,FALSE),"")</f>
        <v/>
      </c>
    </row>
    <row r="377" spans="1:13" x14ac:dyDescent="0.25">
      <c r="A377" s="23" t="str">
        <f>IF(vdata_hours!A376=0,"",vdata_hours!A376)</f>
        <v/>
      </c>
      <c r="B377" s="23" t="str">
        <f>IFERROR(INDEX(vdata_regressors!$A$1:$L$2000,MATCH($A377,vdata_regressors!$A$2:$A$2000,0)+1,MATCH(B$2,vdata_regressors!$A$1:$R$1,0)),"")</f>
        <v/>
      </c>
      <c r="C377" s="23" t="str">
        <f>IFERROR(INDEX(vdata_regressors!$A$1:$L$2000,MATCH($A377,vdata_regressors!$A$2:$A$2000,0)+1,MATCH(C$2,vdata_regressors!$A$1:$R$1,0)),"")</f>
        <v/>
      </c>
      <c r="D377" s="23" t="str">
        <f>IFERROR(INDEX(vdata_regressors!$A$1:$L$2000,MATCH($A377,vdata_regressors!$A$2:$A$2000,0)+1,MATCH(D$2,vdata_regressors!$A$1:$R$1,0)),"")</f>
        <v/>
      </c>
      <c r="E377" s="23" t="str">
        <f>IFERROR(INDEX(vdata_regressors!$A$1:$L$2000,MATCH($A377,vdata_regressors!$A$2:$A$2000,0)+1,MATCH(E$2,vdata_regressors!$A$1:$R$1,0)),"")</f>
        <v/>
      </c>
      <c r="F377" s="23" t="str">
        <f>IFERROR(INDEX(vdata_regressors!$A$1:$L$2000,MATCH($A377,vdata_regressors!$A$2:$A$2000,0)+1,MATCH(F$2,vdata_regressors!$A$1:$R$1,0)),"")</f>
        <v/>
      </c>
      <c r="G377" s="23" t="str">
        <f>IFERROR(INDEX(vdata_regressors!$A$1:$L$2000,MATCH($A377,vdata_regressors!$A$2:$A$2000,0)+1,MATCH(G$2,vdata_regressors!$A$1:$R$1,0)),"")</f>
        <v/>
      </c>
      <c r="H377" s="23" t="str">
        <f>IFERROR(INDEX(vdata_regressors!$A$1:$L$2000,MATCH($A377,vdata_regressors!$A$2:$A$2000,0)+1,MATCH(H$2,vdata_regressors!$A$1:$R$1,0)),"")</f>
        <v/>
      </c>
      <c r="I377" s="23" t="str">
        <f>IFERROR(INDEX(vdata_regressors!$A$1:$L$2000,MATCH($A377,vdata_regressors!$A$2:$A$2000,0)+1,MATCH(I$2,vdata_regressors!$A$1:$R$1,0)),"")</f>
        <v/>
      </c>
      <c r="J377" s="23" t="str">
        <f>IFERROR(INDEX(vdata_regressors!$A$1:$L$2000,MATCH($A377,vdata_regressors!$A$2:$A$2000,0)+1,MATCH(J$2,vdata_regressors!$A$1:$R$1,0)),"")</f>
        <v/>
      </c>
      <c r="K377" s="23" t="str">
        <f>IFERROR(INDEX(vdata_regressors!$A$1:$L$2000,MATCH($A377,vdata_regressors!$A$2:$A$2000,0)+1,MATCH(K$2,vdata_regressors!$A$1:$R$1,0)),"")</f>
        <v/>
      </c>
      <c r="L377" s="23" t="str">
        <f>IFERROR(INDEX(vdata_regressors!$A$1:$L$2000,MATCH($A377,vdata_regressors!$A$2:$A$2000,0)+1,MATCH(L$2,vdata_regressors!$A$1:$R$1,0)),"")</f>
        <v/>
      </c>
      <c r="M377" s="23" t="str">
        <f>IFERROR(VLOOKUP(A377,vdata_hours!$A$2:$B$1000,2,FALSE),"")</f>
        <v/>
      </c>
    </row>
    <row r="378" spans="1:13" x14ac:dyDescent="0.25">
      <c r="A378" s="23" t="str">
        <f>IF(vdata_hours!A377=0,"",vdata_hours!A377)</f>
        <v/>
      </c>
      <c r="B378" s="23" t="str">
        <f>IFERROR(INDEX(vdata_regressors!$A$1:$L$2000,MATCH($A378,vdata_regressors!$A$2:$A$2000,0)+1,MATCH(B$2,vdata_regressors!$A$1:$R$1,0)),"")</f>
        <v/>
      </c>
      <c r="C378" s="23" t="str">
        <f>IFERROR(INDEX(vdata_regressors!$A$1:$L$2000,MATCH($A378,vdata_regressors!$A$2:$A$2000,0)+1,MATCH(C$2,vdata_regressors!$A$1:$R$1,0)),"")</f>
        <v/>
      </c>
      <c r="D378" s="23" t="str">
        <f>IFERROR(INDEX(vdata_regressors!$A$1:$L$2000,MATCH($A378,vdata_regressors!$A$2:$A$2000,0)+1,MATCH(D$2,vdata_regressors!$A$1:$R$1,0)),"")</f>
        <v/>
      </c>
      <c r="E378" s="23" t="str">
        <f>IFERROR(INDEX(vdata_regressors!$A$1:$L$2000,MATCH($A378,vdata_regressors!$A$2:$A$2000,0)+1,MATCH(E$2,vdata_regressors!$A$1:$R$1,0)),"")</f>
        <v/>
      </c>
      <c r="F378" s="23" t="str">
        <f>IFERROR(INDEX(vdata_regressors!$A$1:$L$2000,MATCH($A378,vdata_regressors!$A$2:$A$2000,0)+1,MATCH(F$2,vdata_regressors!$A$1:$R$1,0)),"")</f>
        <v/>
      </c>
      <c r="G378" s="23" t="str">
        <f>IFERROR(INDEX(vdata_regressors!$A$1:$L$2000,MATCH($A378,vdata_regressors!$A$2:$A$2000,0)+1,MATCH(G$2,vdata_regressors!$A$1:$R$1,0)),"")</f>
        <v/>
      </c>
      <c r="H378" s="23" t="str">
        <f>IFERROR(INDEX(vdata_regressors!$A$1:$L$2000,MATCH($A378,vdata_regressors!$A$2:$A$2000,0)+1,MATCH(H$2,vdata_regressors!$A$1:$R$1,0)),"")</f>
        <v/>
      </c>
      <c r="I378" s="23" t="str">
        <f>IFERROR(INDEX(vdata_regressors!$A$1:$L$2000,MATCH($A378,vdata_regressors!$A$2:$A$2000,0)+1,MATCH(I$2,vdata_regressors!$A$1:$R$1,0)),"")</f>
        <v/>
      </c>
      <c r="J378" s="23" t="str">
        <f>IFERROR(INDEX(vdata_regressors!$A$1:$L$2000,MATCH($A378,vdata_regressors!$A$2:$A$2000,0)+1,MATCH(J$2,vdata_regressors!$A$1:$R$1,0)),"")</f>
        <v/>
      </c>
      <c r="K378" s="23" t="str">
        <f>IFERROR(INDEX(vdata_regressors!$A$1:$L$2000,MATCH($A378,vdata_regressors!$A$2:$A$2000,0)+1,MATCH(K$2,vdata_regressors!$A$1:$R$1,0)),"")</f>
        <v/>
      </c>
      <c r="L378" s="23" t="str">
        <f>IFERROR(INDEX(vdata_regressors!$A$1:$L$2000,MATCH($A378,vdata_regressors!$A$2:$A$2000,0)+1,MATCH(L$2,vdata_regressors!$A$1:$R$1,0)),"")</f>
        <v/>
      </c>
      <c r="M378" s="23" t="str">
        <f>IFERROR(VLOOKUP(A378,vdata_hours!$A$2:$B$1000,2,FALSE),"")</f>
        <v/>
      </c>
    </row>
    <row r="379" spans="1:13" x14ac:dyDescent="0.25">
      <c r="A379" s="23" t="str">
        <f>IF(vdata_hours!A378=0,"",vdata_hours!A378)</f>
        <v/>
      </c>
      <c r="B379" s="23" t="str">
        <f>IFERROR(INDEX(vdata_regressors!$A$1:$L$2000,MATCH($A379,vdata_regressors!$A$2:$A$2000,0)+1,MATCH(B$2,vdata_regressors!$A$1:$R$1,0)),"")</f>
        <v/>
      </c>
      <c r="C379" s="23" t="str">
        <f>IFERROR(INDEX(vdata_regressors!$A$1:$L$2000,MATCH($A379,vdata_regressors!$A$2:$A$2000,0)+1,MATCH(C$2,vdata_regressors!$A$1:$R$1,0)),"")</f>
        <v/>
      </c>
      <c r="D379" s="23" t="str">
        <f>IFERROR(INDEX(vdata_regressors!$A$1:$L$2000,MATCH($A379,vdata_regressors!$A$2:$A$2000,0)+1,MATCH(D$2,vdata_regressors!$A$1:$R$1,0)),"")</f>
        <v/>
      </c>
      <c r="E379" s="23" t="str">
        <f>IFERROR(INDEX(vdata_regressors!$A$1:$L$2000,MATCH($A379,vdata_regressors!$A$2:$A$2000,0)+1,MATCH(E$2,vdata_regressors!$A$1:$R$1,0)),"")</f>
        <v/>
      </c>
      <c r="F379" s="23" t="str">
        <f>IFERROR(INDEX(vdata_regressors!$A$1:$L$2000,MATCH($A379,vdata_regressors!$A$2:$A$2000,0)+1,MATCH(F$2,vdata_regressors!$A$1:$R$1,0)),"")</f>
        <v/>
      </c>
      <c r="G379" s="23" t="str">
        <f>IFERROR(INDEX(vdata_regressors!$A$1:$L$2000,MATCH($A379,vdata_regressors!$A$2:$A$2000,0)+1,MATCH(G$2,vdata_regressors!$A$1:$R$1,0)),"")</f>
        <v/>
      </c>
      <c r="H379" s="23" t="str">
        <f>IFERROR(INDEX(vdata_regressors!$A$1:$L$2000,MATCH($A379,vdata_regressors!$A$2:$A$2000,0)+1,MATCH(H$2,vdata_regressors!$A$1:$R$1,0)),"")</f>
        <v/>
      </c>
      <c r="I379" s="23" t="str">
        <f>IFERROR(INDEX(vdata_regressors!$A$1:$L$2000,MATCH($A379,vdata_regressors!$A$2:$A$2000,0)+1,MATCH(I$2,vdata_regressors!$A$1:$R$1,0)),"")</f>
        <v/>
      </c>
      <c r="J379" s="23" t="str">
        <f>IFERROR(INDEX(vdata_regressors!$A$1:$L$2000,MATCH($A379,vdata_regressors!$A$2:$A$2000,0)+1,MATCH(J$2,vdata_regressors!$A$1:$R$1,0)),"")</f>
        <v/>
      </c>
      <c r="K379" s="23" t="str">
        <f>IFERROR(INDEX(vdata_regressors!$A$1:$L$2000,MATCH($A379,vdata_regressors!$A$2:$A$2000,0)+1,MATCH(K$2,vdata_regressors!$A$1:$R$1,0)),"")</f>
        <v/>
      </c>
      <c r="L379" s="23" t="str">
        <f>IFERROR(INDEX(vdata_regressors!$A$1:$L$2000,MATCH($A379,vdata_regressors!$A$2:$A$2000,0)+1,MATCH(L$2,vdata_regressors!$A$1:$R$1,0)),"")</f>
        <v/>
      </c>
      <c r="M379" s="23" t="str">
        <f>IFERROR(VLOOKUP(A379,vdata_hours!$A$2:$B$1000,2,FALSE),"")</f>
        <v/>
      </c>
    </row>
    <row r="380" spans="1:13" x14ac:dyDescent="0.25">
      <c r="A380" s="23" t="str">
        <f>IF(vdata_hours!A379=0,"",vdata_hours!A379)</f>
        <v/>
      </c>
      <c r="B380" s="23" t="str">
        <f>IFERROR(INDEX(vdata_regressors!$A$1:$L$2000,MATCH($A380,vdata_regressors!$A$2:$A$2000,0)+1,MATCH(B$2,vdata_regressors!$A$1:$R$1,0)),"")</f>
        <v/>
      </c>
      <c r="C380" s="23" t="str">
        <f>IFERROR(INDEX(vdata_regressors!$A$1:$L$2000,MATCH($A380,vdata_regressors!$A$2:$A$2000,0)+1,MATCH(C$2,vdata_regressors!$A$1:$R$1,0)),"")</f>
        <v/>
      </c>
      <c r="D380" s="23" t="str">
        <f>IFERROR(INDEX(vdata_regressors!$A$1:$L$2000,MATCH($A380,vdata_regressors!$A$2:$A$2000,0)+1,MATCH(D$2,vdata_regressors!$A$1:$R$1,0)),"")</f>
        <v/>
      </c>
      <c r="E380" s="23" t="str">
        <f>IFERROR(INDEX(vdata_regressors!$A$1:$L$2000,MATCH($A380,vdata_regressors!$A$2:$A$2000,0)+1,MATCH(E$2,vdata_regressors!$A$1:$R$1,0)),"")</f>
        <v/>
      </c>
      <c r="F380" s="23" t="str">
        <f>IFERROR(INDEX(vdata_regressors!$A$1:$L$2000,MATCH($A380,vdata_regressors!$A$2:$A$2000,0)+1,MATCH(F$2,vdata_regressors!$A$1:$R$1,0)),"")</f>
        <v/>
      </c>
      <c r="G380" s="23" t="str">
        <f>IFERROR(INDEX(vdata_regressors!$A$1:$L$2000,MATCH($A380,vdata_regressors!$A$2:$A$2000,0)+1,MATCH(G$2,vdata_regressors!$A$1:$R$1,0)),"")</f>
        <v/>
      </c>
      <c r="H380" s="23" t="str">
        <f>IFERROR(INDEX(vdata_regressors!$A$1:$L$2000,MATCH($A380,vdata_regressors!$A$2:$A$2000,0)+1,MATCH(H$2,vdata_regressors!$A$1:$R$1,0)),"")</f>
        <v/>
      </c>
      <c r="I380" s="23" t="str">
        <f>IFERROR(INDEX(vdata_regressors!$A$1:$L$2000,MATCH($A380,vdata_regressors!$A$2:$A$2000,0)+1,MATCH(I$2,vdata_regressors!$A$1:$R$1,0)),"")</f>
        <v/>
      </c>
      <c r="J380" s="23" t="str">
        <f>IFERROR(INDEX(vdata_regressors!$A$1:$L$2000,MATCH($A380,vdata_regressors!$A$2:$A$2000,0)+1,MATCH(J$2,vdata_regressors!$A$1:$R$1,0)),"")</f>
        <v/>
      </c>
      <c r="K380" s="23" t="str">
        <f>IFERROR(INDEX(vdata_regressors!$A$1:$L$2000,MATCH($A380,vdata_regressors!$A$2:$A$2000,0)+1,MATCH(K$2,vdata_regressors!$A$1:$R$1,0)),"")</f>
        <v/>
      </c>
      <c r="L380" s="23" t="str">
        <f>IFERROR(INDEX(vdata_regressors!$A$1:$L$2000,MATCH($A380,vdata_regressors!$A$2:$A$2000,0)+1,MATCH(L$2,vdata_regressors!$A$1:$R$1,0)),"")</f>
        <v/>
      </c>
      <c r="M380" s="23" t="str">
        <f>IFERROR(VLOOKUP(A380,vdata_hours!$A$2:$B$1000,2,FALSE),"")</f>
        <v/>
      </c>
    </row>
    <row r="381" spans="1:13" x14ac:dyDescent="0.25">
      <c r="A381" s="23" t="str">
        <f>IF(vdata_hours!A380=0,"",vdata_hours!A380)</f>
        <v/>
      </c>
      <c r="B381" s="23" t="str">
        <f>IFERROR(INDEX(vdata_regressors!$A$1:$L$2000,MATCH($A381,vdata_regressors!$A$2:$A$2000,0)+1,MATCH(B$2,vdata_regressors!$A$1:$R$1,0)),"")</f>
        <v/>
      </c>
      <c r="C381" s="23" t="str">
        <f>IFERROR(INDEX(vdata_regressors!$A$1:$L$2000,MATCH($A381,vdata_regressors!$A$2:$A$2000,0)+1,MATCH(C$2,vdata_regressors!$A$1:$R$1,0)),"")</f>
        <v/>
      </c>
      <c r="D381" s="23" t="str">
        <f>IFERROR(INDEX(vdata_regressors!$A$1:$L$2000,MATCH($A381,vdata_regressors!$A$2:$A$2000,0)+1,MATCH(D$2,vdata_regressors!$A$1:$R$1,0)),"")</f>
        <v/>
      </c>
      <c r="E381" s="23" t="str">
        <f>IFERROR(INDEX(vdata_regressors!$A$1:$L$2000,MATCH($A381,vdata_regressors!$A$2:$A$2000,0)+1,MATCH(E$2,vdata_regressors!$A$1:$R$1,0)),"")</f>
        <v/>
      </c>
      <c r="F381" s="23" t="str">
        <f>IFERROR(INDEX(vdata_regressors!$A$1:$L$2000,MATCH($A381,vdata_regressors!$A$2:$A$2000,0)+1,MATCH(F$2,vdata_regressors!$A$1:$R$1,0)),"")</f>
        <v/>
      </c>
      <c r="G381" s="23" t="str">
        <f>IFERROR(INDEX(vdata_regressors!$A$1:$L$2000,MATCH($A381,vdata_regressors!$A$2:$A$2000,0)+1,MATCH(G$2,vdata_regressors!$A$1:$R$1,0)),"")</f>
        <v/>
      </c>
      <c r="H381" s="23" t="str">
        <f>IFERROR(INDEX(vdata_regressors!$A$1:$L$2000,MATCH($A381,vdata_regressors!$A$2:$A$2000,0)+1,MATCH(H$2,vdata_regressors!$A$1:$R$1,0)),"")</f>
        <v/>
      </c>
      <c r="I381" s="23" t="str">
        <f>IFERROR(INDEX(vdata_regressors!$A$1:$L$2000,MATCH($A381,vdata_regressors!$A$2:$A$2000,0)+1,MATCH(I$2,vdata_regressors!$A$1:$R$1,0)),"")</f>
        <v/>
      </c>
      <c r="J381" s="23" t="str">
        <f>IFERROR(INDEX(vdata_regressors!$A$1:$L$2000,MATCH($A381,vdata_regressors!$A$2:$A$2000,0)+1,MATCH(J$2,vdata_regressors!$A$1:$R$1,0)),"")</f>
        <v/>
      </c>
      <c r="K381" s="23" t="str">
        <f>IFERROR(INDEX(vdata_regressors!$A$1:$L$2000,MATCH($A381,vdata_regressors!$A$2:$A$2000,0)+1,MATCH(K$2,vdata_regressors!$A$1:$R$1,0)),"")</f>
        <v/>
      </c>
      <c r="L381" s="23" t="str">
        <f>IFERROR(INDEX(vdata_regressors!$A$1:$L$2000,MATCH($A381,vdata_regressors!$A$2:$A$2000,0)+1,MATCH(L$2,vdata_regressors!$A$1:$R$1,0)),"")</f>
        <v/>
      </c>
      <c r="M381" s="23" t="str">
        <f>IFERROR(VLOOKUP(A381,vdata_hours!$A$2:$B$1000,2,FALSE),"")</f>
        <v/>
      </c>
    </row>
    <row r="382" spans="1:13" x14ac:dyDescent="0.25">
      <c r="A382" s="23" t="str">
        <f>IF(vdata_hours!A381=0,"",vdata_hours!A381)</f>
        <v/>
      </c>
      <c r="B382" s="23" t="str">
        <f>IFERROR(INDEX(vdata_regressors!$A$1:$L$2000,MATCH($A382,vdata_regressors!$A$2:$A$2000,0)+1,MATCH(B$2,vdata_regressors!$A$1:$R$1,0)),"")</f>
        <v/>
      </c>
      <c r="C382" s="23" t="str">
        <f>IFERROR(INDEX(vdata_regressors!$A$1:$L$2000,MATCH($A382,vdata_regressors!$A$2:$A$2000,0)+1,MATCH(C$2,vdata_regressors!$A$1:$R$1,0)),"")</f>
        <v/>
      </c>
      <c r="D382" s="23" t="str">
        <f>IFERROR(INDEX(vdata_regressors!$A$1:$L$2000,MATCH($A382,vdata_regressors!$A$2:$A$2000,0)+1,MATCH(D$2,vdata_regressors!$A$1:$R$1,0)),"")</f>
        <v/>
      </c>
      <c r="E382" s="23" t="str">
        <f>IFERROR(INDEX(vdata_regressors!$A$1:$L$2000,MATCH($A382,vdata_regressors!$A$2:$A$2000,0)+1,MATCH(E$2,vdata_regressors!$A$1:$R$1,0)),"")</f>
        <v/>
      </c>
      <c r="F382" s="23" t="str">
        <f>IFERROR(INDEX(vdata_regressors!$A$1:$L$2000,MATCH($A382,vdata_regressors!$A$2:$A$2000,0)+1,MATCH(F$2,vdata_regressors!$A$1:$R$1,0)),"")</f>
        <v/>
      </c>
      <c r="G382" s="23" t="str">
        <f>IFERROR(INDEX(vdata_regressors!$A$1:$L$2000,MATCH($A382,vdata_regressors!$A$2:$A$2000,0)+1,MATCH(G$2,vdata_regressors!$A$1:$R$1,0)),"")</f>
        <v/>
      </c>
      <c r="H382" s="23" t="str">
        <f>IFERROR(INDEX(vdata_regressors!$A$1:$L$2000,MATCH($A382,vdata_regressors!$A$2:$A$2000,0)+1,MATCH(H$2,vdata_regressors!$A$1:$R$1,0)),"")</f>
        <v/>
      </c>
      <c r="I382" s="23" t="str">
        <f>IFERROR(INDEX(vdata_regressors!$A$1:$L$2000,MATCH($A382,vdata_regressors!$A$2:$A$2000,0)+1,MATCH(I$2,vdata_regressors!$A$1:$R$1,0)),"")</f>
        <v/>
      </c>
      <c r="J382" s="23" t="str">
        <f>IFERROR(INDEX(vdata_regressors!$A$1:$L$2000,MATCH($A382,vdata_regressors!$A$2:$A$2000,0)+1,MATCH(J$2,vdata_regressors!$A$1:$R$1,0)),"")</f>
        <v/>
      </c>
      <c r="K382" s="23" t="str">
        <f>IFERROR(INDEX(vdata_regressors!$A$1:$L$2000,MATCH($A382,vdata_regressors!$A$2:$A$2000,0)+1,MATCH(K$2,vdata_regressors!$A$1:$R$1,0)),"")</f>
        <v/>
      </c>
      <c r="L382" s="23" t="str">
        <f>IFERROR(INDEX(vdata_regressors!$A$1:$L$2000,MATCH($A382,vdata_regressors!$A$2:$A$2000,0)+1,MATCH(L$2,vdata_regressors!$A$1:$R$1,0)),"")</f>
        <v/>
      </c>
      <c r="M382" s="23" t="str">
        <f>IFERROR(VLOOKUP(A382,vdata_hours!$A$2:$B$1000,2,FALSE),"")</f>
        <v/>
      </c>
    </row>
    <row r="383" spans="1:13" x14ac:dyDescent="0.25">
      <c r="A383" s="23" t="str">
        <f>IF(vdata_hours!A382=0,"",vdata_hours!A382)</f>
        <v/>
      </c>
      <c r="B383" s="23" t="str">
        <f>IFERROR(INDEX(vdata_regressors!$A$1:$L$2000,MATCH($A383,vdata_regressors!$A$2:$A$2000,0)+1,MATCH(B$2,vdata_regressors!$A$1:$R$1,0)),"")</f>
        <v/>
      </c>
      <c r="C383" s="23" t="str">
        <f>IFERROR(INDEX(vdata_regressors!$A$1:$L$2000,MATCH($A383,vdata_regressors!$A$2:$A$2000,0)+1,MATCH(C$2,vdata_regressors!$A$1:$R$1,0)),"")</f>
        <v/>
      </c>
      <c r="D383" s="23" t="str">
        <f>IFERROR(INDEX(vdata_regressors!$A$1:$L$2000,MATCH($A383,vdata_regressors!$A$2:$A$2000,0)+1,MATCH(D$2,vdata_regressors!$A$1:$R$1,0)),"")</f>
        <v/>
      </c>
      <c r="E383" s="23" t="str">
        <f>IFERROR(INDEX(vdata_regressors!$A$1:$L$2000,MATCH($A383,vdata_regressors!$A$2:$A$2000,0)+1,MATCH(E$2,vdata_regressors!$A$1:$R$1,0)),"")</f>
        <v/>
      </c>
      <c r="F383" s="23" t="str">
        <f>IFERROR(INDEX(vdata_regressors!$A$1:$L$2000,MATCH($A383,vdata_regressors!$A$2:$A$2000,0)+1,MATCH(F$2,vdata_regressors!$A$1:$R$1,0)),"")</f>
        <v/>
      </c>
      <c r="G383" s="23" t="str">
        <f>IFERROR(INDEX(vdata_regressors!$A$1:$L$2000,MATCH($A383,vdata_regressors!$A$2:$A$2000,0)+1,MATCH(G$2,vdata_regressors!$A$1:$R$1,0)),"")</f>
        <v/>
      </c>
      <c r="H383" s="23" t="str">
        <f>IFERROR(INDEX(vdata_regressors!$A$1:$L$2000,MATCH($A383,vdata_regressors!$A$2:$A$2000,0)+1,MATCH(H$2,vdata_regressors!$A$1:$R$1,0)),"")</f>
        <v/>
      </c>
      <c r="I383" s="23" t="str">
        <f>IFERROR(INDEX(vdata_regressors!$A$1:$L$2000,MATCH($A383,vdata_regressors!$A$2:$A$2000,0)+1,MATCH(I$2,vdata_regressors!$A$1:$R$1,0)),"")</f>
        <v/>
      </c>
      <c r="J383" s="23" t="str">
        <f>IFERROR(INDEX(vdata_regressors!$A$1:$L$2000,MATCH($A383,vdata_regressors!$A$2:$A$2000,0)+1,MATCH(J$2,vdata_regressors!$A$1:$R$1,0)),"")</f>
        <v/>
      </c>
      <c r="K383" s="23" t="str">
        <f>IFERROR(INDEX(vdata_regressors!$A$1:$L$2000,MATCH($A383,vdata_regressors!$A$2:$A$2000,0)+1,MATCH(K$2,vdata_regressors!$A$1:$R$1,0)),"")</f>
        <v/>
      </c>
      <c r="L383" s="23" t="str">
        <f>IFERROR(INDEX(vdata_regressors!$A$1:$L$2000,MATCH($A383,vdata_regressors!$A$2:$A$2000,0)+1,MATCH(L$2,vdata_regressors!$A$1:$R$1,0)),"")</f>
        <v/>
      </c>
      <c r="M383" s="23" t="str">
        <f>IFERROR(VLOOKUP(A383,vdata_hours!$A$2:$B$1000,2,FALSE),"")</f>
        <v/>
      </c>
    </row>
    <row r="384" spans="1:13" x14ac:dyDescent="0.25">
      <c r="A384" s="23" t="str">
        <f>IF(vdata_hours!A383=0,"",vdata_hours!A383)</f>
        <v/>
      </c>
      <c r="B384" s="23" t="str">
        <f>IFERROR(INDEX(vdata_regressors!$A$1:$L$2000,MATCH($A384,vdata_regressors!$A$2:$A$2000,0)+1,MATCH(B$2,vdata_regressors!$A$1:$R$1,0)),"")</f>
        <v/>
      </c>
      <c r="C384" s="23" t="str">
        <f>IFERROR(INDEX(vdata_regressors!$A$1:$L$2000,MATCH($A384,vdata_regressors!$A$2:$A$2000,0)+1,MATCH(C$2,vdata_regressors!$A$1:$R$1,0)),"")</f>
        <v/>
      </c>
      <c r="D384" s="23" t="str">
        <f>IFERROR(INDEX(vdata_regressors!$A$1:$L$2000,MATCH($A384,vdata_regressors!$A$2:$A$2000,0)+1,MATCH(D$2,vdata_regressors!$A$1:$R$1,0)),"")</f>
        <v/>
      </c>
      <c r="E384" s="23" t="str">
        <f>IFERROR(INDEX(vdata_regressors!$A$1:$L$2000,MATCH($A384,vdata_regressors!$A$2:$A$2000,0)+1,MATCH(E$2,vdata_regressors!$A$1:$R$1,0)),"")</f>
        <v/>
      </c>
      <c r="F384" s="23" t="str">
        <f>IFERROR(INDEX(vdata_regressors!$A$1:$L$2000,MATCH($A384,vdata_regressors!$A$2:$A$2000,0)+1,MATCH(F$2,vdata_regressors!$A$1:$R$1,0)),"")</f>
        <v/>
      </c>
      <c r="G384" s="23" t="str">
        <f>IFERROR(INDEX(vdata_regressors!$A$1:$L$2000,MATCH($A384,vdata_regressors!$A$2:$A$2000,0)+1,MATCH(G$2,vdata_regressors!$A$1:$R$1,0)),"")</f>
        <v/>
      </c>
      <c r="H384" s="23" t="str">
        <f>IFERROR(INDEX(vdata_regressors!$A$1:$L$2000,MATCH($A384,vdata_regressors!$A$2:$A$2000,0)+1,MATCH(H$2,vdata_regressors!$A$1:$R$1,0)),"")</f>
        <v/>
      </c>
      <c r="I384" s="23" t="str">
        <f>IFERROR(INDEX(vdata_regressors!$A$1:$L$2000,MATCH($A384,vdata_regressors!$A$2:$A$2000,0)+1,MATCH(I$2,vdata_regressors!$A$1:$R$1,0)),"")</f>
        <v/>
      </c>
      <c r="J384" s="23" t="str">
        <f>IFERROR(INDEX(vdata_regressors!$A$1:$L$2000,MATCH($A384,vdata_regressors!$A$2:$A$2000,0)+1,MATCH(J$2,vdata_regressors!$A$1:$R$1,0)),"")</f>
        <v/>
      </c>
      <c r="K384" s="23" t="str">
        <f>IFERROR(INDEX(vdata_regressors!$A$1:$L$2000,MATCH($A384,vdata_regressors!$A$2:$A$2000,0)+1,MATCH(K$2,vdata_regressors!$A$1:$R$1,0)),"")</f>
        <v/>
      </c>
      <c r="L384" s="23" t="str">
        <f>IFERROR(INDEX(vdata_regressors!$A$1:$L$2000,MATCH($A384,vdata_regressors!$A$2:$A$2000,0)+1,MATCH(L$2,vdata_regressors!$A$1:$R$1,0)),"")</f>
        <v/>
      </c>
      <c r="M384" s="23" t="str">
        <f>IFERROR(VLOOKUP(A384,vdata_hours!$A$2:$B$1000,2,FALSE),"")</f>
        <v/>
      </c>
    </row>
    <row r="385" spans="1:13" x14ac:dyDescent="0.25">
      <c r="A385" s="23" t="str">
        <f>IF(vdata_hours!A384=0,"",vdata_hours!A384)</f>
        <v/>
      </c>
      <c r="B385" s="23" t="str">
        <f>IFERROR(INDEX(vdata_regressors!$A$1:$L$2000,MATCH($A385,vdata_regressors!$A$2:$A$2000,0)+1,MATCH(B$2,vdata_regressors!$A$1:$R$1,0)),"")</f>
        <v/>
      </c>
      <c r="C385" s="23" t="str">
        <f>IFERROR(INDEX(vdata_regressors!$A$1:$L$2000,MATCH($A385,vdata_regressors!$A$2:$A$2000,0)+1,MATCH(C$2,vdata_regressors!$A$1:$R$1,0)),"")</f>
        <v/>
      </c>
      <c r="D385" s="23" t="str">
        <f>IFERROR(INDEX(vdata_regressors!$A$1:$L$2000,MATCH($A385,vdata_regressors!$A$2:$A$2000,0)+1,MATCH(D$2,vdata_regressors!$A$1:$R$1,0)),"")</f>
        <v/>
      </c>
      <c r="E385" s="23" t="str">
        <f>IFERROR(INDEX(vdata_regressors!$A$1:$L$2000,MATCH($A385,vdata_regressors!$A$2:$A$2000,0)+1,MATCH(E$2,vdata_regressors!$A$1:$R$1,0)),"")</f>
        <v/>
      </c>
      <c r="F385" s="23" t="str">
        <f>IFERROR(INDEX(vdata_regressors!$A$1:$L$2000,MATCH($A385,vdata_regressors!$A$2:$A$2000,0)+1,MATCH(F$2,vdata_regressors!$A$1:$R$1,0)),"")</f>
        <v/>
      </c>
      <c r="G385" s="23" t="str">
        <f>IFERROR(INDEX(vdata_regressors!$A$1:$L$2000,MATCH($A385,vdata_regressors!$A$2:$A$2000,0)+1,MATCH(G$2,vdata_regressors!$A$1:$R$1,0)),"")</f>
        <v/>
      </c>
      <c r="H385" s="23" t="str">
        <f>IFERROR(INDEX(vdata_regressors!$A$1:$L$2000,MATCH($A385,vdata_regressors!$A$2:$A$2000,0)+1,MATCH(H$2,vdata_regressors!$A$1:$R$1,0)),"")</f>
        <v/>
      </c>
      <c r="I385" s="23" t="str">
        <f>IFERROR(INDEX(vdata_regressors!$A$1:$L$2000,MATCH($A385,vdata_regressors!$A$2:$A$2000,0)+1,MATCH(I$2,vdata_regressors!$A$1:$R$1,0)),"")</f>
        <v/>
      </c>
      <c r="J385" s="23" t="str">
        <f>IFERROR(INDEX(vdata_regressors!$A$1:$L$2000,MATCH($A385,vdata_regressors!$A$2:$A$2000,0)+1,MATCH(J$2,vdata_regressors!$A$1:$R$1,0)),"")</f>
        <v/>
      </c>
      <c r="K385" s="23" t="str">
        <f>IFERROR(INDEX(vdata_regressors!$A$1:$L$2000,MATCH($A385,vdata_regressors!$A$2:$A$2000,0)+1,MATCH(K$2,vdata_regressors!$A$1:$R$1,0)),"")</f>
        <v/>
      </c>
      <c r="L385" s="23" t="str">
        <f>IFERROR(INDEX(vdata_regressors!$A$1:$L$2000,MATCH($A385,vdata_regressors!$A$2:$A$2000,0)+1,MATCH(L$2,vdata_regressors!$A$1:$R$1,0)),"")</f>
        <v/>
      </c>
      <c r="M385" s="23" t="str">
        <f>IFERROR(VLOOKUP(A385,vdata_hours!$A$2:$B$1000,2,FALSE),"")</f>
        <v/>
      </c>
    </row>
    <row r="386" spans="1:13" x14ac:dyDescent="0.25">
      <c r="A386" s="23" t="str">
        <f>IF(vdata_hours!A385=0,"",vdata_hours!A385)</f>
        <v/>
      </c>
      <c r="B386" s="23" t="str">
        <f>IFERROR(INDEX(vdata_regressors!$A$1:$L$2000,MATCH($A386,vdata_regressors!$A$2:$A$2000,0)+1,MATCH(B$2,vdata_regressors!$A$1:$R$1,0)),"")</f>
        <v/>
      </c>
      <c r="C386" s="23" t="str">
        <f>IFERROR(INDEX(vdata_regressors!$A$1:$L$2000,MATCH($A386,vdata_regressors!$A$2:$A$2000,0)+1,MATCH(C$2,vdata_regressors!$A$1:$R$1,0)),"")</f>
        <v/>
      </c>
      <c r="D386" s="23" t="str">
        <f>IFERROR(INDEX(vdata_regressors!$A$1:$L$2000,MATCH($A386,vdata_regressors!$A$2:$A$2000,0)+1,MATCH(D$2,vdata_regressors!$A$1:$R$1,0)),"")</f>
        <v/>
      </c>
      <c r="E386" s="23" t="str">
        <f>IFERROR(INDEX(vdata_regressors!$A$1:$L$2000,MATCH($A386,vdata_regressors!$A$2:$A$2000,0)+1,MATCH(E$2,vdata_regressors!$A$1:$R$1,0)),"")</f>
        <v/>
      </c>
      <c r="F386" s="23" t="str">
        <f>IFERROR(INDEX(vdata_regressors!$A$1:$L$2000,MATCH($A386,vdata_regressors!$A$2:$A$2000,0)+1,MATCH(F$2,vdata_regressors!$A$1:$R$1,0)),"")</f>
        <v/>
      </c>
      <c r="G386" s="23" t="str">
        <f>IFERROR(INDEX(vdata_regressors!$A$1:$L$2000,MATCH($A386,vdata_regressors!$A$2:$A$2000,0)+1,MATCH(G$2,vdata_regressors!$A$1:$R$1,0)),"")</f>
        <v/>
      </c>
      <c r="H386" s="23" t="str">
        <f>IFERROR(INDEX(vdata_regressors!$A$1:$L$2000,MATCH($A386,vdata_regressors!$A$2:$A$2000,0)+1,MATCH(H$2,vdata_regressors!$A$1:$R$1,0)),"")</f>
        <v/>
      </c>
      <c r="I386" s="23" t="str">
        <f>IFERROR(INDEX(vdata_regressors!$A$1:$L$2000,MATCH($A386,vdata_regressors!$A$2:$A$2000,0)+1,MATCH(I$2,vdata_regressors!$A$1:$R$1,0)),"")</f>
        <v/>
      </c>
      <c r="J386" s="23" t="str">
        <f>IFERROR(INDEX(vdata_regressors!$A$1:$L$2000,MATCH($A386,vdata_regressors!$A$2:$A$2000,0)+1,MATCH(J$2,vdata_regressors!$A$1:$R$1,0)),"")</f>
        <v/>
      </c>
      <c r="K386" s="23" t="str">
        <f>IFERROR(INDEX(vdata_regressors!$A$1:$L$2000,MATCH($A386,vdata_regressors!$A$2:$A$2000,0)+1,MATCH(K$2,vdata_regressors!$A$1:$R$1,0)),"")</f>
        <v/>
      </c>
      <c r="L386" s="23" t="str">
        <f>IFERROR(INDEX(vdata_regressors!$A$1:$L$2000,MATCH($A386,vdata_regressors!$A$2:$A$2000,0)+1,MATCH(L$2,vdata_regressors!$A$1:$R$1,0)),"")</f>
        <v/>
      </c>
      <c r="M386" s="23" t="str">
        <f>IFERROR(VLOOKUP(A386,vdata_hours!$A$2:$B$1000,2,FALSE),"")</f>
        <v/>
      </c>
    </row>
    <row r="387" spans="1:13" x14ac:dyDescent="0.25">
      <c r="A387" s="23" t="str">
        <f>IF(vdata_hours!A386=0,"",vdata_hours!A386)</f>
        <v/>
      </c>
      <c r="B387" s="23" t="str">
        <f>IFERROR(INDEX(vdata_regressors!$A$1:$L$2000,MATCH($A387,vdata_regressors!$A$2:$A$2000,0)+1,MATCH(B$2,vdata_regressors!$A$1:$R$1,0)),"")</f>
        <v/>
      </c>
      <c r="C387" s="23" t="str">
        <f>IFERROR(INDEX(vdata_regressors!$A$1:$L$2000,MATCH($A387,vdata_regressors!$A$2:$A$2000,0)+1,MATCH(C$2,vdata_regressors!$A$1:$R$1,0)),"")</f>
        <v/>
      </c>
      <c r="D387" s="23" t="str">
        <f>IFERROR(INDEX(vdata_regressors!$A$1:$L$2000,MATCH($A387,vdata_regressors!$A$2:$A$2000,0)+1,MATCH(D$2,vdata_regressors!$A$1:$R$1,0)),"")</f>
        <v/>
      </c>
      <c r="E387" s="23" t="str">
        <f>IFERROR(INDEX(vdata_regressors!$A$1:$L$2000,MATCH($A387,vdata_regressors!$A$2:$A$2000,0)+1,MATCH(E$2,vdata_regressors!$A$1:$R$1,0)),"")</f>
        <v/>
      </c>
      <c r="F387" s="23" t="str">
        <f>IFERROR(INDEX(vdata_regressors!$A$1:$L$2000,MATCH($A387,vdata_regressors!$A$2:$A$2000,0)+1,MATCH(F$2,vdata_regressors!$A$1:$R$1,0)),"")</f>
        <v/>
      </c>
      <c r="G387" s="23" t="str">
        <f>IFERROR(INDEX(vdata_regressors!$A$1:$L$2000,MATCH($A387,vdata_regressors!$A$2:$A$2000,0)+1,MATCH(G$2,vdata_regressors!$A$1:$R$1,0)),"")</f>
        <v/>
      </c>
      <c r="H387" s="23" t="str">
        <f>IFERROR(INDEX(vdata_regressors!$A$1:$L$2000,MATCH($A387,vdata_regressors!$A$2:$A$2000,0)+1,MATCH(H$2,vdata_regressors!$A$1:$R$1,0)),"")</f>
        <v/>
      </c>
      <c r="I387" s="23" t="str">
        <f>IFERROR(INDEX(vdata_regressors!$A$1:$L$2000,MATCH($A387,vdata_regressors!$A$2:$A$2000,0)+1,MATCH(I$2,vdata_regressors!$A$1:$R$1,0)),"")</f>
        <v/>
      </c>
      <c r="J387" s="23" t="str">
        <f>IFERROR(INDEX(vdata_regressors!$A$1:$L$2000,MATCH($A387,vdata_regressors!$A$2:$A$2000,0)+1,MATCH(J$2,vdata_regressors!$A$1:$R$1,0)),"")</f>
        <v/>
      </c>
      <c r="K387" s="23" t="str">
        <f>IFERROR(INDEX(vdata_regressors!$A$1:$L$2000,MATCH($A387,vdata_regressors!$A$2:$A$2000,0)+1,MATCH(K$2,vdata_regressors!$A$1:$R$1,0)),"")</f>
        <v/>
      </c>
      <c r="L387" s="23" t="str">
        <f>IFERROR(INDEX(vdata_regressors!$A$1:$L$2000,MATCH($A387,vdata_regressors!$A$2:$A$2000,0)+1,MATCH(L$2,vdata_regressors!$A$1:$R$1,0)),"")</f>
        <v/>
      </c>
      <c r="M387" s="23" t="str">
        <f>IFERROR(VLOOKUP(A387,vdata_hours!$A$2:$B$1000,2,FALSE),"")</f>
        <v/>
      </c>
    </row>
    <row r="388" spans="1:13" x14ac:dyDescent="0.25">
      <c r="A388" s="23" t="str">
        <f>IF(vdata_hours!A387=0,"",vdata_hours!A387)</f>
        <v/>
      </c>
      <c r="B388" s="23" t="str">
        <f>IFERROR(INDEX(vdata_regressors!$A$1:$L$2000,MATCH($A388,vdata_regressors!$A$2:$A$2000,0)+1,MATCH(B$2,vdata_regressors!$A$1:$R$1,0)),"")</f>
        <v/>
      </c>
      <c r="C388" s="23" t="str">
        <f>IFERROR(INDEX(vdata_regressors!$A$1:$L$2000,MATCH($A388,vdata_regressors!$A$2:$A$2000,0)+1,MATCH(C$2,vdata_regressors!$A$1:$R$1,0)),"")</f>
        <v/>
      </c>
      <c r="D388" s="23" t="str">
        <f>IFERROR(INDEX(vdata_regressors!$A$1:$L$2000,MATCH($A388,vdata_regressors!$A$2:$A$2000,0)+1,MATCH(D$2,vdata_regressors!$A$1:$R$1,0)),"")</f>
        <v/>
      </c>
      <c r="E388" s="23" t="str">
        <f>IFERROR(INDEX(vdata_regressors!$A$1:$L$2000,MATCH($A388,vdata_regressors!$A$2:$A$2000,0)+1,MATCH(E$2,vdata_regressors!$A$1:$R$1,0)),"")</f>
        <v/>
      </c>
      <c r="F388" s="23" t="str">
        <f>IFERROR(INDEX(vdata_regressors!$A$1:$L$2000,MATCH($A388,vdata_regressors!$A$2:$A$2000,0)+1,MATCH(F$2,vdata_regressors!$A$1:$R$1,0)),"")</f>
        <v/>
      </c>
      <c r="G388" s="23" t="str">
        <f>IFERROR(INDEX(vdata_regressors!$A$1:$L$2000,MATCH($A388,vdata_regressors!$A$2:$A$2000,0)+1,MATCH(G$2,vdata_regressors!$A$1:$R$1,0)),"")</f>
        <v/>
      </c>
      <c r="H388" s="23" t="str">
        <f>IFERROR(INDEX(vdata_regressors!$A$1:$L$2000,MATCH($A388,vdata_regressors!$A$2:$A$2000,0)+1,MATCH(H$2,vdata_regressors!$A$1:$R$1,0)),"")</f>
        <v/>
      </c>
      <c r="I388" s="23" t="str">
        <f>IFERROR(INDEX(vdata_regressors!$A$1:$L$2000,MATCH($A388,vdata_regressors!$A$2:$A$2000,0)+1,MATCH(I$2,vdata_regressors!$A$1:$R$1,0)),"")</f>
        <v/>
      </c>
      <c r="J388" s="23" t="str">
        <f>IFERROR(INDEX(vdata_regressors!$A$1:$L$2000,MATCH($A388,vdata_regressors!$A$2:$A$2000,0)+1,MATCH(J$2,vdata_regressors!$A$1:$R$1,0)),"")</f>
        <v/>
      </c>
      <c r="K388" s="23" t="str">
        <f>IFERROR(INDEX(vdata_regressors!$A$1:$L$2000,MATCH($A388,vdata_regressors!$A$2:$A$2000,0)+1,MATCH(K$2,vdata_regressors!$A$1:$R$1,0)),"")</f>
        <v/>
      </c>
      <c r="L388" s="23" t="str">
        <f>IFERROR(INDEX(vdata_regressors!$A$1:$L$2000,MATCH($A388,vdata_regressors!$A$2:$A$2000,0)+1,MATCH(L$2,vdata_regressors!$A$1:$R$1,0)),"")</f>
        <v/>
      </c>
      <c r="M388" s="23" t="str">
        <f>IFERROR(VLOOKUP(A388,vdata_hours!$A$2:$B$1000,2,FALSE),"")</f>
        <v/>
      </c>
    </row>
    <row r="389" spans="1:13" x14ac:dyDescent="0.25">
      <c r="A389" s="23" t="str">
        <f>IF(vdata_hours!A388=0,"",vdata_hours!A388)</f>
        <v/>
      </c>
      <c r="B389" s="23" t="str">
        <f>IFERROR(INDEX(vdata_regressors!$A$1:$L$2000,MATCH($A389,vdata_regressors!$A$2:$A$2000,0)+1,MATCH(B$2,vdata_regressors!$A$1:$R$1,0)),"")</f>
        <v/>
      </c>
      <c r="C389" s="23" t="str">
        <f>IFERROR(INDEX(vdata_regressors!$A$1:$L$2000,MATCH($A389,vdata_regressors!$A$2:$A$2000,0)+1,MATCH(C$2,vdata_regressors!$A$1:$R$1,0)),"")</f>
        <v/>
      </c>
      <c r="D389" s="23" t="str">
        <f>IFERROR(INDEX(vdata_regressors!$A$1:$L$2000,MATCH($A389,vdata_regressors!$A$2:$A$2000,0)+1,MATCH(D$2,vdata_regressors!$A$1:$R$1,0)),"")</f>
        <v/>
      </c>
      <c r="E389" s="23" t="str">
        <f>IFERROR(INDEX(vdata_regressors!$A$1:$L$2000,MATCH($A389,vdata_regressors!$A$2:$A$2000,0)+1,MATCH(E$2,vdata_regressors!$A$1:$R$1,0)),"")</f>
        <v/>
      </c>
      <c r="F389" s="23" t="str">
        <f>IFERROR(INDEX(vdata_regressors!$A$1:$L$2000,MATCH($A389,vdata_regressors!$A$2:$A$2000,0)+1,MATCH(F$2,vdata_regressors!$A$1:$R$1,0)),"")</f>
        <v/>
      </c>
      <c r="G389" s="23" t="str">
        <f>IFERROR(INDEX(vdata_regressors!$A$1:$L$2000,MATCH($A389,vdata_regressors!$A$2:$A$2000,0)+1,MATCH(G$2,vdata_regressors!$A$1:$R$1,0)),"")</f>
        <v/>
      </c>
      <c r="H389" s="23" t="str">
        <f>IFERROR(INDEX(vdata_regressors!$A$1:$L$2000,MATCH($A389,vdata_regressors!$A$2:$A$2000,0)+1,MATCH(H$2,vdata_regressors!$A$1:$R$1,0)),"")</f>
        <v/>
      </c>
      <c r="I389" s="23" t="str">
        <f>IFERROR(INDEX(vdata_regressors!$A$1:$L$2000,MATCH($A389,vdata_regressors!$A$2:$A$2000,0)+1,MATCH(I$2,vdata_regressors!$A$1:$R$1,0)),"")</f>
        <v/>
      </c>
      <c r="J389" s="23" t="str">
        <f>IFERROR(INDEX(vdata_regressors!$A$1:$L$2000,MATCH($A389,vdata_regressors!$A$2:$A$2000,0)+1,MATCH(J$2,vdata_regressors!$A$1:$R$1,0)),"")</f>
        <v/>
      </c>
      <c r="K389" s="23" t="str">
        <f>IFERROR(INDEX(vdata_regressors!$A$1:$L$2000,MATCH($A389,vdata_regressors!$A$2:$A$2000,0)+1,MATCH(K$2,vdata_regressors!$A$1:$R$1,0)),"")</f>
        <v/>
      </c>
      <c r="L389" s="23" t="str">
        <f>IFERROR(INDEX(vdata_regressors!$A$1:$L$2000,MATCH($A389,vdata_regressors!$A$2:$A$2000,0)+1,MATCH(L$2,vdata_regressors!$A$1:$R$1,0)),"")</f>
        <v/>
      </c>
      <c r="M389" s="23" t="str">
        <f>IFERROR(VLOOKUP(A389,vdata_hours!$A$2:$B$1000,2,FALSE),"")</f>
        <v/>
      </c>
    </row>
    <row r="390" spans="1:13" x14ac:dyDescent="0.25">
      <c r="A390" s="23" t="str">
        <f>IF(vdata_hours!A389=0,"",vdata_hours!A389)</f>
        <v/>
      </c>
      <c r="B390" s="23" t="str">
        <f>IFERROR(INDEX(vdata_regressors!$A$1:$L$2000,MATCH($A390,vdata_regressors!$A$2:$A$2000,0)+1,MATCH(B$2,vdata_regressors!$A$1:$R$1,0)),"")</f>
        <v/>
      </c>
      <c r="C390" s="23" t="str">
        <f>IFERROR(INDEX(vdata_regressors!$A$1:$L$2000,MATCH($A390,vdata_regressors!$A$2:$A$2000,0)+1,MATCH(C$2,vdata_regressors!$A$1:$R$1,0)),"")</f>
        <v/>
      </c>
      <c r="D390" s="23" t="str">
        <f>IFERROR(INDEX(vdata_regressors!$A$1:$L$2000,MATCH($A390,vdata_regressors!$A$2:$A$2000,0)+1,MATCH(D$2,vdata_regressors!$A$1:$R$1,0)),"")</f>
        <v/>
      </c>
      <c r="E390" s="23" t="str">
        <f>IFERROR(INDEX(vdata_regressors!$A$1:$L$2000,MATCH($A390,vdata_regressors!$A$2:$A$2000,0)+1,MATCH(E$2,vdata_regressors!$A$1:$R$1,0)),"")</f>
        <v/>
      </c>
      <c r="F390" s="23" t="str">
        <f>IFERROR(INDEX(vdata_regressors!$A$1:$L$2000,MATCH($A390,vdata_regressors!$A$2:$A$2000,0)+1,MATCH(F$2,vdata_regressors!$A$1:$R$1,0)),"")</f>
        <v/>
      </c>
      <c r="G390" s="23" t="str">
        <f>IFERROR(INDEX(vdata_regressors!$A$1:$L$2000,MATCH($A390,vdata_regressors!$A$2:$A$2000,0)+1,MATCH(G$2,vdata_regressors!$A$1:$R$1,0)),"")</f>
        <v/>
      </c>
      <c r="H390" s="23" t="str">
        <f>IFERROR(INDEX(vdata_regressors!$A$1:$L$2000,MATCH($A390,vdata_regressors!$A$2:$A$2000,0)+1,MATCH(H$2,vdata_regressors!$A$1:$R$1,0)),"")</f>
        <v/>
      </c>
      <c r="I390" s="23" t="str">
        <f>IFERROR(INDEX(vdata_regressors!$A$1:$L$2000,MATCH($A390,vdata_regressors!$A$2:$A$2000,0)+1,MATCH(I$2,vdata_regressors!$A$1:$R$1,0)),"")</f>
        <v/>
      </c>
      <c r="J390" s="23" t="str">
        <f>IFERROR(INDEX(vdata_regressors!$A$1:$L$2000,MATCH($A390,vdata_regressors!$A$2:$A$2000,0)+1,MATCH(J$2,vdata_regressors!$A$1:$R$1,0)),"")</f>
        <v/>
      </c>
      <c r="K390" s="23" t="str">
        <f>IFERROR(INDEX(vdata_regressors!$A$1:$L$2000,MATCH($A390,vdata_regressors!$A$2:$A$2000,0)+1,MATCH(K$2,vdata_regressors!$A$1:$R$1,0)),"")</f>
        <v/>
      </c>
      <c r="L390" s="23" t="str">
        <f>IFERROR(INDEX(vdata_regressors!$A$1:$L$2000,MATCH($A390,vdata_regressors!$A$2:$A$2000,0)+1,MATCH(L$2,vdata_regressors!$A$1:$R$1,0)),"")</f>
        <v/>
      </c>
      <c r="M390" s="23" t="str">
        <f>IFERROR(VLOOKUP(A390,vdata_hours!$A$2:$B$1000,2,FALSE),"")</f>
        <v/>
      </c>
    </row>
    <row r="391" spans="1:13" x14ac:dyDescent="0.25">
      <c r="A391" s="23" t="str">
        <f>IF(vdata_hours!A390=0,"",vdata_hours!A390)</f>
        <v/>
      </c>
      <c r="B391" s="23" t="str">
        <f>IFERROR(INDEX(vdata_regressors!$A$1:$L$2000,MATCH($A391,vdata_regressors!$A$2:$A$2000,0)+1,MATCH(B$2,vdata_regressors!$A$1:$R$1,0)),"")</f>
        <v/>
      </c>
      <c r="C391" s="23" t="str">
        <f>IFERROR(INDEX(vdata_regressors!$A$1:$L$2000,MATCH($A391,vdata_regressors!$A$2:$A$2000,0)+1,MATCH(C$2,vdata_regressors!$A$1:$R$1,0)),"")</f>
        <v/>
      </c>
      <c r="D391" s="23" t="str">
        <f>IFERROR(INDEX(vdata_regressors!$A$1:$L$2000,MATCH($A391,vdata_regressors!$A$2:$A$2000,0)+1,MATCH(D$2,vdata_regressors!$A$1:$R$1,0)),"")</f>
        <v/>
      </c>
      <c r="E391" s="23" t="str">
        <f>IFERROR(INDEX(vdata_regressors!$A$1:$L$2000,MATCH($A391,vdata_regressors!$A$2:$A$2000,0)+1,MATCH(E$2,vdata_regressors!$A$1:$R$1,0)),"")</f>
        <v/>
      </c>
      <c r="F391" s="23" t="str">
        <f>IFERROR(INDEX(vdata_regressors!$A$1:$L$2000,MATCH($A391,vdata_regressors!$A$2:$A$2000,0)+1,MATCH(F$2,vdata_regressors!$A$1:$R$1,0)),"")</f>
        <v/>
      </c>
      <c r="G391" s="23" t="str">
        <f>IFERROR(INDEX(vdata_regressors!$A$1:$L$2000,MATCH($A391,vdata_regressors!$A$2:$A$2000,0)+1,MATCH(G$2,vdata_regressors!$A$1:$R$1,0)),"")</f>
        <v/>
      </c>
      <c r="H391" s="23" t="str">
        <f>IFERROR(INDEX(vdata_regressors!$A$1:$L$2000,MATCH($A391,vdata_regressors!$A$2:$A$2000,0)+1,MATCH(H$2,vdata_regressors!$A$1:$R$1,0)),"")</f>
        <v/>
      </c>
      <c r="I391" s="23" t="str">
        <f>IFERROR(INDEX(vdata_regressors!$A$1:$L$2000,MATCH($A391,vdata_regressors!$A$2:$A$2000,0)+1,MATCH(I$2,vdata_regressors!$A$1:$R$1,0)),"")</f>
        <v/>
      </c>
      <c r="J391" s="23" t="str">
        <f>IFERROR(INDEX(vdata_regressors!$A$1:$L$2000,MATCH($A391,vdata_regressors!$A$2:$A$2000,0)+1,MATCH(J$2,vdata_regressors!$A$1:$R$1,0)),"")</f>
        <v/>
      </c>
      <c r="K391" s="23" t="str">
        <f>IFERROR(INDEX(vdata_regressors!$A$1:$L$2000,MATCH($A391,vdata_regressors!$A$2:$A$2000,0)+1,MATCH(K$2,vdata_regressors!$A$1:$R$1,0)),"")</f>
        <v/>
      </c>
      <c r="L391" s="23" t="str">
        <f>IFERROR(INDEX(vdata_regressors!$A$1:$L$2000,MATCH($A391,vdata_regressors!$A$2:$A$2000,0)+1,MATCH(L$2,vdata_regressors!$A$1:$R$1,0)),"")</f>
        <v/>
      </c>
      <c r="M391" s="23" t="str">
        <f>IFERROR(VLOOKUP(A391,vdata_hours!$A$2:$B$1000,2,FALSE),"")</f>
        <v/>
      </c>
    </row>
    <row r="392" spans="1:13" x14ac:dyDescent="0.25">
      <c r="A392" s="23" t="str">
        <f>IF(vdata_hours!A391=0,"",vdata_hours!A391)</f>
        <v/>
      </c>
      <c r="B392" s="23" t="str">
        <f>IFERROR(INDEX(vdata_regressors!$A$1:$L$2000,MATCH($A392,vdata_regressors!$A$2:$A$2000,0)+1,MATCH(B$2,vdata_regressors!$A$1:$R$1,0)),"")</f>
        <v/>
      </c>
      <c r="C392" s="23" t="str">
        <f>IFERROR(INDEX(vdata_regressors!$A$1:$L$2000,MATCH($A392,vdata_regressors!$A$2:$A$2000,0)+1,MATCH(C$2,vdata_regressors!$A$1:$R$1,0)),"")</f>
        <v/>
      </c>
      <c r="D392" s="23" t="str">
        <f>IFERROR(INDEX(vdata_regressors!$A$1:$L$2000,MATCH($A392,vdata_regressors!$A$2:$A$2000,0)+1,MATCH(D$2,vdata_regressors!$A$1:$R$1,0)),"")</f>
        <v/>
      </c>
      <c r="E392" s="23" t="str">
        <f>IFERROR(INDEX(vdata_regressors!$A$1:$L$2000,MATCH($A392,vdata_regressors!$A$2:$A$2000,0)+1,MATCH(E$2,vdata_regressors!$A$1:$R$1,0)),"")</f>
        <v/>
      </c>
      <c r="F392" s="23" t="str">
        <f>IFERROR(INDEX(vdata_regressors!$A$1:$L$2000,MATCH($A392,vdata_regressors!$A$2:$A$2000,0)+1,MATCH(F$2,vdata_regressors!$A$1:$R$1,0)),"")</f>
        <v/>
      </c>
      <c r="G392" s="23" t="str">
        <f>IFERROR(INDEX(vdata_regressors!$A$1:$L$2000,MATCH($A392,vdata_regressors!$A$2:$A$2000,0)+1,MATCH(G$2,vdata_regressors!$A$1:$R$1,0)),"")</f>
        <v/>
      </c>
      <c r="H392" s="23" t="str">
        <f>IFERROR(INDEX(vdata_regressors!$A$1:$L$2000,MATCH($A392,vdata_regressors!$A$2:$A$2000,0)+1,MATCH(H$2,vdata_regressors!$A$1:$R$1,0)),"")</f>
        <v/>
      </c>
      <c r="I392" s="23" t="str">
        <f>IFERROR(INDEX(vdata_regressors!$A$1:$L$2000,MATCH($A392,vdata_regressors!$A$2:$A$2000,0)+1,MATCH(I$2,vdata_regressors!$A$1:$R$1,0)),"")</f>
        <v/>
      </c>
      <c r="J392" s="23" t="str">
        <f>IFERROR(INDEX(vdata_regressors!$A$1:$L$2000,MATCH($A392,vdata_regressors!$A$2:$A$2000,0)+1,MATCH(J$2,vdata_regressors!$A$1:$R$1,0)),"")</f>
        <v/>
      </c>
      <c r="K392" s="23" t="str">
        <f>IFERROR(INDEX(vdata_regressors!$A$1:$L$2000,MATCH($A392,vdata_regressors!$A$2:$A$2000,0)+1,MATCH(K$2,vdata_regressors!$A$1:$R$1,0)),"")</f>
        <v/>
      </c>
      <c r="L392" s="23" t="str">
        <f>IFERROR(INDEX(vdata_regressors!$A$1:$L$2000,MATCH($A392,vdata_regressors!$A$2:$A$2000,0)+1,MATCH(L$2,vdata_regressors!$A$1:$R$1,0)),"")</f>
        <v/>
      </c>
      <c r="M392" s="23" t="str">
        <f>IFERROR(VLOOKUP(A392,vdata_hours!$A$2:$B$1000,2,FALSE),"")</f>
        <v/>
      </c>
    </row>
    <row r="393" spans="1:13" x14ac:dyDescent="0.25">
      <c r="A393" s="23" t="str">
        <f>IF(vdata_hours!A392=0,"",vdata_hours!A392)</f>
        <v/>
      </c>
      <c r="B393" s="23" t="str">
        <f>IFERROR(INDEX(vdata_regressors!$A$1:$L$2000,MATCH($A393,vdata_regressors!$A$2:$A$2000,0)+1,MATCH(B$2,vdata_regressors!$A$1:$R$1,0)),"")</f>
        <v/>
      </c>
      <c r="C393" s="23" t="str">
        <f>IFERROR(INDEX(vdata_regressors!$A$1:$L$2000,MATCH($A393,vdata_regressors!$A$2:$A$2000,0)+1,MATCH(C$2,vdata_regressors!$A$1:$R$1,0)),"")</f>
        <v/>
      </c>
      <c r="D393" s="23" t="str">
        <f>IFERROR(INDEX(vdata_regressors!$A$1:$L$2000,MATCH($A393,vdata_regressors!$A$2:$A$2000,0)+1,MATCH(D$2,vdata_regressors!$A$1:$R$1,0)),"")</f>
        <v/>
      </c>
      <c r="E393" s="23" t="str">
        <f>IFERROR(INDEX(vdata_regressors!$A$1:$L$2000,MATCH($A393,vdata_regressors!$A$2:$A$2000,0)+1,MATCH(E$2,vdata_regressors!$A$1:$R$1,0)),"")</f>
        <v/>
      </c>
      <c r="F393" s="23" t="str">
        <f>IFERROR(INDEX(vdata_regressors!$A$1:$L$2000,MATCH($A393,vdata_regressors!$A$2:$A$2000,0)+1,MATCH(F$2,vdata_regressors!$A$1:$R$1,0)),"")</f>
        <v/>
      </c>
      <c r="G393" s="23" t="str">
        <f>IFERROR(INDEX(vdata_regressors!$A$1:$L$2000,MATCH($A393,vdata_regressors!$A$2:$A$2000,0)+1,MATCH(G$2,vdata_regressors!$A$1:$R$1,0)),"")</f>
        <v/>
      </c>
      <c r="H393" s="23" t="str">
        <f>IFERROR(INDEX(vdata_regressors!$A$1:$L$2000,MATCH($A393,vdata_regressors!$A$2:$A$2000,0)+1,MATCH(H$2,vdata_regressors!$A$1:$R$1,0)),"")</f>
        <v/>
      </c>
      <c r="I393" s="23" t="str">
        <f>IFERROR(INDEX(vdata_regressors!$A$1:$L$2000,MATCH($A393,vdata_regressors!$A$2:$A$2000,0)+1,MATCH(I$2,vdata_regressors!$A$1:$R$1,0)),"")</f>
        <v/>
      </c>
      <c r="J393" s="23" t="str">
        <f>IFERROR(INDEX(vdata_regressors!$A$1:$L$2000,MATCH($A393,vdata_regressors!$A$2:$A$2000,0)+1,MATCH(J$2,vdata_regressors!$A$1:$R$1,0)),"")</f>
        <v/>
      </c>
      <c r="K393" s="23" t="str">
        <f>IFERROR(INDEX(vdata_regressors!$A$1:$L$2000,MATCH($A393,vdata_regressors!$A$2:$A$2000,0)+1,MATCH(K$2,vdata_regressors!$A$1:$R$1,0)),"")</f>
        <v/>
      </c>
      <c r="L393" s="23" t="str">
        <f>IFERROR(INDEX(vdata_regressors!$A$1:$L$2000,MATCH($A393,vdata_regressors!$A$2:$A$2000,0)+1,MATCH(L$2,vdata_regressors!$A$1:$R$1,0)),"")</f>
        <v/>
      </c>
      <c r="M393" s="23" t="str">
        <f>IFERROR(VLOOKUP(A393,vdata_hours!$A$2:$B$1000,2,FALSE),"")</f>
        <v/>
      </c>
    </row>
    <row r="394" spans="1:13" x14ac:dyDescent="0.25">
      <c r="A394" s="23" t="str">
        <f>IF(vdata_hours!A393=0,"",vdata_hours!A393)</f>
        <v/>
      </c>
      <c r="B394" s="23" t="str">
        <f>IFERROR(INDEX(vdata_regressors!$A$1:$L$2000,MATCH($A394,vdata_regressors!$A$2:$A$2000,0)+1,MATCH(B$2,vdata_regressors!$A$1:$R$1,0)),"")</f>
        <v/>
      </c>
      <c r="C394" s="23" t="str">
        <f>IFERROR(INDEX(vdata_regressors!$A$1:$L$2000,MATCH($A394,vdata_regressors!$A$2:$A$2000,0)+1,MATCH(C$2,vdata_regressors!$A$1:$R$1,0)),"")</f>
        <v/>
      </c>
      <c r="D394" s="23" t="str">
        <f>IFERROR(INDEX(vdata_regressors!$A$1:$L$2000,MATCH($A394,vdata_regressors!$A$2:$A$2000,0)+1,MATCH(D$2,vdata_regressors!$A$1:$R$1,0)),"")</f>
        <v/>
      </c>
      <c r="E394" s="23" t="str">
        <f>IFERROR(INDEX(vdata_regressors!$A$1:$L$2000,MATCH($A394,vdata_regressors!$A$2:$A$2000,0)+1,MATCH(E$2,vdata_regressors!$A$1:$R$1,0)),"")</f>
        <v/>
      </c>
      <c r="F394" s="23" t="str">
        <f>IFERROR(INDEX(vdata_regressors!$A$1:$L$2000,MATCH($A394,vdata_regressors!$A$2:$A$2000,0)+1,MATCH(F$2,vdata_regressors!$A$1:$R$1,0)),"")</f>
        <v/>
      </c>
      <c r="G394" s="23" t="str">
        <f>IFERROR(INDEX(vdata_regressors!$A$1:$L$2000,MATCH($A394,vdata_regressors!$A$2:$A$2000,0)+1,MATCH(G$2,vdata_regressors!$A$1:$R$1,0)),"")</f>
        <v/>
      </c>
      <c r="H394" s="23" t="str">
        <f>IFERROR(INDEX(vdata_regressors!$A$1:$L$2000,MATCH($A394,vdata_regressors!$A$2:$A$2000,0)+1,MATCH(H$2,vdata_regressors!$A$1:$R$1,0)),"")</f>
        <v/>
      </c>
      <c r="I394" s="23" t="str">
        <f>IFERROR(INDEX(vdata_regressors!$A$1:$L$2000,MATCH($A394,vdata_regressors!$A$2:$A$2000,0)+1,MATCH(I$2,vdata_regressors!$A$1:$R$1,0)),"")</f>
        <v/>
      </c>
      <c r="J394" s="23" t="str">
        <f>IFERROR(INDEX(vdata_regressors!$A$1:$L$2000,MATCH($A394,vdata_regressors!$A$2:$A$2000,0)+1,MATCH(J$2,vdata_regressors!$A$1:$R$1,0)),"")</f>
        <v/>
      </c>
      <c r="K394" s="23" t="str">
        <f>IFERROR(INDEX(vdata_regressors!$A$1:$L$2000,MATCH($A394,vdata_regressors!$A$2:$A$2000,0)+1,MATCH(K$2,vdata_regressors!$A$1:$R$1,0)),"")</f>
        <v/>
      </c>
      <c r="L394" s="23" t="str">
        <f>IFERROR(INDEX(vdata_regressors!$A$1:$L$2000,MATCH($A394,vdata_regressors!$A$2:$A$2000,0)+1,MATCH(L$2,vdata_regressors!$A$1:$R$1,0)),"")</f>
        <v/>
      </c>
      <c r="M394" s="23" t="str">
        <f>IFERROR(VLOOKUP(A394,vdata_hours!$A$2:$B$1000,2,FALSE),"")</f>
        <v/>
      </c>
    </row>
    <row r="395" spans="1:13" x14ac:dyDescent="0.25">
      <c r="A395" s="23" t="str">
        <f>IF(vdata_hours!A394=0,"",vdata_hours!A394)</f>
        <v/>
      </c>
      <c r="B395" s="23" t="str">
        <f>IFERROR(INDEX(vdata_regressors!$A$1:$L$2000,MATCH($A395,vdata_regressors!$A$2:$A$2000,0)+1,MATCH(B$2,vdata_regressors!$A$1:$R$1,0)),"")</f>
        <v/>
      </c>
      <c r="C395" s="23" t="str">
        <f>IFERROR(INDEX(vdata_regressors!$A$1:$L$2000,MATCH($A395,vdata_regressors!$A$2:$A$2000,0)+1,MATCH(C$2,vdata_regressors!$A$1:$R$1,0)),"")</f>
        <v/>
      </c>
      <c r="D395" s="23" t="str">
        <f>IFERROR(INDEX(vdata_regressors!$A$1:$L$2000,MATCH($A395,vdata_regressors!$A$2:$A$2000,0)+1,MATCH(D$2,vdata_regressors!$A$1:$R$1,0)),"")</f>
        <v/>
      </c>
      <c r="E395" s="23" t="str">
        <f>IFERROR(INDEX(vdata_regressors!$A$1:$L$2000,MATCH($A395,vdata_regressors!$A$2:$A$2000,0)+1,MATCH(E$2,vdata_regressors!$A$1:$R$1,0)),"")</f>
        <v/>
      </c>
      <c r="F395" s="23" t="str">
        <f>IFERROR(INDEX(vdata_regressors!$A$1:$L$2000,MATCH($A395,vdata_regressors!$A$2:$A$2000,0)+1,MATCH(F$2,vdata_regressors!$A$1:$R$1,0)),"")</f>
        <v/>
      </c>
      <c r="G395" s="23" t="str">
        <f>IFERROR(INDEX(vdata_regressors!$A$1:$L$2000,MATCH($A395,vdata_regressors!$A$2:$A$2000,0)+1,MATCH(G$2,vdata_regressors!$A$1:$R$1,0)),"")</f>
        <v/>
      </c>
      <c r="H395" s="23" t="str">
        <f>IFERROR(INDEX(vdata_regressors!$A$1:$L$2000,MATCH($A395,vdata_regressors!$A$2:$A$2000,0)+1,MATCH(H$2,vdata_regressors!$A$1:$R$1,0)),"")</f>
        <v/>
      </c>
      <c r="I395" s="23" t="str">
        <f>IFERROR(INDEX(vdata_regressors!$A$1:$L$2000,MATCH($A395,vdata_regressors!$A$2:$A$2000,0)+1,MATCH(I$2,vdata_regressors!$A$1:$R$1,0)),"")</f>
        <v/>
      </c>
      <c r="J395" s="23" t="str">
        <f>IFERROR(INDEX(vdata_regressors!$A$1:$L$2000,MATCH($A395,vdata_regressors!$A$2:$A$2000,0)+1,MATCH(J$2,vdata_regressors!$A$1:$R$1,0)),"")</f>
        <v/>
      </c>
      <c r="K395" s="23" t="str">
        <f>IFERROR(INDEX(vdata_regressors!$A$1:$L$2000,MATCH($A395,vdata_regressors!$A$2:$A$2000,0)+1,MATCH(K$2,vdata_regressors!$A$1:$R$1,0)),"")</f>
        <v/>
      </c>
      <c r="L395" s="23" t="str">
        <f>IFERROR(INDEX(vdata_regressors!$A$1:$L$2000,MATCH($A395,vdata_regressors!$A$2:$A$2000,0)+1,MATCH(L$2,vdata_regressors!$A$1:$R$1,0)),"")</f>
        <v/>
      </c>
      <c r="M395" s="23" t="str">
        <f>IFERROR(VLOOKUP(A395,vdata_hours!$A$2:$B$1000,2,FALSE),"")</f>
        <v/>
      </c>
    </row>
    <row r="396" spans="1:13" x14ac:dyDescent="0.25">
      <c r="A396" s="23" t="str">
        <f>IF(vdata_hours!A395=0,"",vdata_hours!A395)</f>
        <v/>
      </c>
      <c r="B396" s="23" t="str">
        <f>IFERROR(INDEX(vdata_regressors!$A$1:$L$2000,MATCH($A396,vdata_regressors!$A$2:$A$2000,0)+1,MATCH(B$2,vdata_regressors!$A$1:$R$1,0)),"")</f>
        <v/>
      </c>
      <c r="C396" s="23" t="str">
        <f>IFERROR(INDEX(vdata_regressors!$A$1:$L$2000,MATCH($A396,vdata_regressors!$A$2:$A$2000,0)+1,MATCH(C$2,vdata_regressors!$A$1:$R$1,0)),"")</f>
        <v/>
      </c>
      <c r="D396" s="23" t="str">
        <f>IFERROR(INDEX(vdata_regressors!$A$1:$L$2000,MATCH($A396,vdata_regressors!$A$2:$A$2000,0)+1,MATCH(D$2,vdata_regressors!$A$1:$R$1,0)),"")</f>
        <v/>
      </c>
      <c r="E396" s="23" t="str">
        <f>IFERROR(INDEX(vdata_regressors!$A$1:$L$2000,MATCH($A396,vdata_regressors!$A$2:$A$2000,0)+1,MATCH(E$2,vdata_regressors!$A$1:$R$1,0)),"")</f>
        <v/>
      </c>
      <c r="F396" s="23" t="str">
        <f>IFERROR(INDEX(vdata_regressors!$A$1:$L$2000,MATCH($A396,vdata_regressors!$A$2:$A$2000,0)+1,MATCH(F$2,vdata_regressors!$A$1:$R$1,0)),"")</f>
        <v/>
      </c>
      <c r="G396" s="23" t="str">
        <f>IFERROR(INDEX(vdata_regressors!$A$1:$L$2000,MATCH($A396,vdata_regressors!$A$2:$A$2000,0)+1,MATCH(G$2,vdata_regressors!$A$1:$R$1,0)),"")</f>
        <v/>
      </c>
      <c r="H396" s="23" t="str">
        <f>IFERROR(INDEX(vdata_regressors!$A$1:$L$2000,MATCH($A396,vdata_regressors!$A$2:$A$2000,0)+1,MATCH(H$2,vdata_regressors!$A$1:$R$1,0)),"")</f>
        <v/>
      </c>
      <c r="I396" s="23" t="str">
        <f>IFERROR(INDEX(vdata_regressors!$A$1:$L$2000,MATCH($A396,vdata_regressors!$A$2:$A$2000,0)+1,MATCH(I$2,vdata_regressors!$A$1:$R$1,0)),"")</f>
        <v/>
      </c>
      <c r="J396" s="23" t="str">
        <f>IFERROR(INDEX(vdata_regressors!$A$1:$L$2000,MATCH($A396,vdata_regressors!$A$2:$A$2000,0)+1,MATCH(J$2,vdata_regressors!$A$1:$R$1,0)),"")</f>
        <v/>
      </c>
      <c r="K396" s="23" t="str">
        <f>IFERROR(INDEX(vdata_regressors!$A$1:$L$2000,MATCH($A396,vdata_regressors!$A$2:$A$2000,0)+1,MATCH(K$2,vdata_regressors!$A$1:$R$1,0)),"")</f>
        <v/>
      </c>
      <c r="L396" s="23" t="str">
        <f>IFERROR(INDEX(vdata_regressors!$A$1:$L$2000,MATCH($A396,vdata_regressors!$A$2:$A$2000,0)+1,MATCH(L$2,vdata_regressors!$A$1:$R$1,0)),"")</f>
        <v/>
      </c>
      <c r="M396" s="23" t="str">
        <f>IFERROR(VLOOKUP(A396,vdata_hours!$A$2:$B$1000,2,FALSE),"")</f>
        <v/>
      </c>
    </row>
    <row r="397" spans="1:13" x14ac:dyDescent="0.25">
      <c r="A397" s="23" t="str">
        <f>IF(vdata_hours!A396=0,"",vdata_hours!A396)</f>
        <v/>
      </c>
      <c r="B397" s="23" t="str">
        <f>IFERROR(INDEX(vdata_regressors!$A$1:$L$2000,MATCH($A397,vdata_regressors!$A$2:$A$2000,0)+1,MATCH(B$2,vdata_regressors!$A$1:$R$1,0)),"")</f>
        <v/>
      </c>
      <c r="C397" s="23" t="str">
        <f>IFERROR(INDEX(vdata_regressors!$A$1:$L$2000,MATCH($A397,vdata_regressors!$A$2:$A$2000,0)+1,MATCH(C$2,vdata_regressors!$A$1:$R$1,0)),"")</f>
        <v/>
      </c>
      <c r="D397" s="23" t="str">
        <f>IFERROR(INDEX(vdata_regressors!$A$1:$L$2000,MATCH($A397,vdata_regressors!$A$2:$A$2000,0)+1,MATCH(D$2,vdata_regressors!$A$1:$R$1,0)),"")</f>
        <v/>
      </c>
      <c r="E397" s="23" t="str">
        <f>IFERROR(INDEX(vdata_regressors!$A$1:$L$2000,MATCH($A397,vdata_regressors!$A$2:$A$2000,0)+1,MATCH(E$2,vdata_regressors!$A$1:$R$1,0)),"")</f>
        <v/>
      </c>
      <c r="F397" s="23" t="str">
        <f>IFERROR(INDEX(vdata_regressors!$A$1:$L$2000,MATCH($A397,vdata_regressors!$A$2:$A$2000,0)+1,MATCH(F$2,vdata_regressors!$A$1:$R$1,0)),"")</f>
        <v/>
      </c>
      <c r="G397" s="23" t="str">
        <f>IFERROR(INDEX(vdata_regressors!$A$1:$L$2000,MATCH($A397,vdata_regressors!$A$2:$A$2000,0)+1,MATCH(G$2,vdata_regressors!$A$1:$R$1,0)),"")</f>
        <v/>
      </c>
      <c r="H397" s="23" t="str">
        <f>IFERROR(INDEX(vdata_regressors!$A$1:$L$2000,MATCH($A397,vdata_regressors!$A$2:$A$2000,0)+1,MATCH(H$2,vdata_regressors!$A$1:$R$1,0)),"")</f>
        <v/>
      </c>
      <c r="I397" s="23" t="str">
        <f>IFERROR(INDEX(vdata_regressors!$A$1:$L$2000,MATCH($A397,vdata_regressors!$A$2:$A$2000,0)+1,MATCH(I$2,vdata_regressors!$A$1:$R$1,0)),"")</f>
        <v/>
      </c>
      <c r="J397" s="23" t="str">
        <f>IFERROR(INDEX(vdata_regressors!$A$1:$L$2000,MATCH($A397,vdata_regressors!$A$2:$A$2000,0)+1,MATCH(J$2,vdata_regressors!$A$1:$R$1,0)),"")</f>
        <v/>
      </c>
      <c r="K397" s="23" t="str">
        <f>IFERROR(INDEX(vdata_regressors!$A$1:$L$2000,MATCH($A397,vdata_regressors!$A$2:$A$2000,0)+1,MATCH(K$2,vdata_regressors!$A$1:$R$1,0)),"")</f>
        <v/>
      </c>
      <c r="L397" s="23" t="str">
        <f>IFERROR(INDEX(vdata_regressors!$A$1:$L$2000,MATCH($A397,vdata_regressors!$A$2:$A$2000,0)+1,MATCH(L$2,vdata_regressors!$A$1:$R$1,0)),"")</f>
        <v/>
      </c>
      <c r="M397" s="23" t="str">
        <f>IFERROR(VLOOKUP(A397,vdata_hours!$A$2:$B$1000,2,FALSE),"")</f>
        <v/>
      </c>
    </row>
    <row r="398" spans="1:13" x14ac:dyDescent="0.25">
      <c r="A398" s="23" t="str">
        <f>IF(vdata_hours!A397=0,"",vdata_hours!A397)</f>
        <v/>
      </c>
      <c r="B398" s="23" t="str">
        <f>IFERROR(INDEX(vdata_regressors!$A$1:$L$2000,MATCH($A398,vdata_regressors!$A$2:$A$2000,0)+1,MATCH(B$2,vdata_regressors!$A$1:$R$1,0)),"")</f>
        <v/>
      </c>
      <c r="C398" s="23" t="str">
        <f>IFERROR(INDEX(vdata_regressors!$A$1:$L$2000,MATCH($A398,vdata_regressors!$A$2:$A$2000,0)+1,MATCH(C$2,vdata_regressors!$A$1:$R$1,0)),"")</f>
        <v/>
      </c>
      <c r="D398" s="23" t="str">
        <f>IFERROR(INDEX(vdata_regressors!$A$1:$L$2000,MATCH($A398,vdata_regressors!$A$2:$A$2000,0)+1,MATCH(D$2,vdata_regressors!$A$1:$R$1,0)),"")</f>
        <v/>
      </c>
      <c r="E398" s="23" t="str">
        <f>IFERROR(INDEX(vdata_regressors!$A$1:$L$2000,MATCH($A398,vdata_regressors!$A$2:$A$2000,0)+1,MATCH(E$2,vdata_regressors!$A$1:$R$1,0)),"")</f>
        <v/>
      </c>
      <c r="F398" s="23" t="str">
        <f>IFERROR(INDEX(vdata_regressors!$A$1:$L$2000,MATCH($A398,vdata_regressors!$A$2:$A$2000,0)+1,MATCH(F$2,vdata_regressors!$A$1:$R$1,0)),"")</f>
        <v/>
      </c>
      <c r="G398" s="23" t="str">
        <f>IFERROR(INDEX(vdata_regressors!$A$1:$L$2000,MATCH($A398,vdata_regressors!$A$2:$A$2000,0)+1,MATCH(G$2,vdata_regressors!$A$1:$R$1,0)),"")</f>
        <v/>
      </c>
      <c r="H398" s="23" t="str">
        <f>IFERROR(INDEX(vdata_regressors!$A$1:$L$2000,MATCH($A398,vdata_regressors!$A$2:$A$2000,0)+1,MATCH(H$2,vdata_regressors!$A$1:$R$1,0)),"")</f>
        <v/>
      </c>
      <c r="I398" s="23" t="str">
        <f>IFERROR(INDEX(vdata_regressors!$A$1:$L$2000,MATCH($A398,vdata_regressors!$A$2:$A$2000,0)+1,MATCH(I$2,vdata_regressors!$A$1:$R$1,0)),"")</f>
        <v/>
      </c>
      <c r="J398" s="23" t="str">
        <f>IFERROR(INDEX(vdata_regressors!$A$1:$L$2000,MATCH($A398,vdata_regressors!$A$2:$A$2000,0)+1,MATCH(J$2,vdata_regressors!$A$1:$R$1,0)),"")</f>
        <v/>
      </c>
      <c r="K398" s="23" t="str">
        <f>IFERROR(INDEX(vdata_regressors!$A$1:$L$2000,MATCH($A398,vdata_regressors!$A$2:$A$2000,0)+1,MATCH(K$2,vdata_regressors!$A$1:$R$1,0)),"")</f>
        <v/>
      </c>
      <c r="L398" s="23" t="str">
        <f>IFERROR(INDEX(vdata_regressors!$A$1:$L$2000,MATCH($A398,vdata_regressors!$A$2:$A$2000,0)+1,MATCH(L$2,vdata_regressors!$A$1:$R$1,0)),"")</f>
        <v/>
      </c>
      <c r="M398" s="23" t="str">
        <f>IFERROR(VLOOKUP(A398,vdata_hours!$A$2:$B$1000,2,FALSE),"")</f>
        <v/>
      </c>
    </row>
    <row r="399" spans="1:13" x14ac:dyDescent="0.25">
      <c r="A399" s="23" t="str">
        <f>IF(vdata_hours!A398=0,"",vdata_hours!A398)</f>
        <v/>
      </c>
      <c r="B399" s="23" t="str">
        <f>IFERROR(INDEX(vdata_regressors!$A$1:$L$2000,MATCH($A399,vdata_regressors!$A$2:$A$2000,0)+1,MATCH(B$2,vdata_regressors!$A$1:$R$1,0)),"")</f>
        <v/>
      </c>
      <c r="C399" s="23" t="str">
        <f>IFERROR(INDEX(vdata_regressors!$A$1:$L$2000,MATCH($A399,vdata_regressors!$A$2:$A$2000,0)+1,MATCH(C$2,vdata_regressors!$A$1:$R$1,0)),"")</f>
        <v/>
      </c>
      <c r="D399" s="23" t="str">
        <f>IFERROR(INDEX(vdata_regressors!$A$1:$L$2000,MATCH($A399,vdata_regressors!$A$2:$A$2000,0)+1,MATCH(D$2,vdata_regressors!$A$1:$R$1,0)),"")</f>
        <v/>
      </c>
      <c r="E399" s="23" t="str">
        <f>IFERROR(INDEX(vdata_regressors!$A$1:$L$2000,MATCH($A399,vdata_regressors!$A$2:$A$2000,0)+1,MATCH(E$2,vdata_regressors!$A$1:$R$1,0)),"")</f>
        <v/>
      </c>
      <c r="F399" s="23" t="str">
        <f>IFERROR(INDEX(vdata_regressors!$A$1:$L$2000,MATCH($A399,vdata_regressors!$A$2:$A$2000,0)+1,MATCH(F$2,vdata_regressors!$A$1:$R$1,0)),"")</f>
        <v/>
      </c>
      <c r="G399" s="23" t="str">
        <f>IFERROR(INDEX(vdata_regressors!$A$1:$L$2000,MATCH($A399,vdata_regressors!$A$2:$A$2000,0)+1,MATCH(G$2,vdata_regressors!$A$1:$R$1,0)),"")</f>
        <v/>
      </c>
      <c r="H399" s="23" t="str">
        <f>IFERROR(INDEX(vdata_regressors!$A$1:$L$2000,MATCH($A399,vdata_regressors!$A$2:$A$2000,0)+1,MATCH(H$2,vdata_regressors!$A$1:$R$1,0)),"")</f>
        <v/>
      </c>
      <c r="I399" s="23" t="str">
        <f>IFERROR(INDEX(vdata_regressors!$A$1:$L$2000,MATCH($A399,vdata_regressors!$A$2:$A$2000,0)+1,MATCH(I$2,vdata_regressors!$A$1:$R$1,0)),"")</f>
        <v/>
      </c>
      <c r="J399" s="23" t="str">
        <f>IFERROR(INDEX(vdata_regressors!$A$1:$L$2000,MATCH($A399,vdata_regressors!$A$2:$A$2000,0)+1,MATCH(J$2,vdata_regressors!$A$1:$R$1,0)),"")</f>
        <v/>
      </c>
      <c r="K399" s="23" t="str">
        <f>IFERROR(INDEX(vdata_regressors!$A$1:$L$2000,MATCH($A399,vdata_regressors!$A$2:$A$2000,0)+1,MATCH(K$2,vdata_regressors!$A$1:$R$1,0)),"")</f>
        <v/>
      </c>
      <c r="L399" s="23" t="str">
        <f>IFERROR(INDEX(vdata_regressors!$A$1:$L$2000,MATCH($A399,vdata_regressors!$A$2:$A$2000,0)+1,MATCH(L$2,vdata_regressors!$A$1:$R$1,0)),"")</f>
        <v/>
      </c>
      <c r="M399" s="23" t="str">
        <f>IFERROR(VLOOKUP(A399,vdata_hours!$A$2:$B$1000,2,FALSE),"")</f>
        <v/>
      </c>
    </row>
    <row r="400" spans="1:13" x14ac:dyDescent="0.25">
      <c r="A400" s="23" t="str">
        <f>IF(vdata_hours!A399=0,"",vdata_hours!A399)</f>
        <v/>
      </c>
      <c r="B400" s="23" t="str">
        <f>IFERROR(INDEX(vdata_regressors!$A$1:$L$2000,MATCH($A400,vdata_regressors!$A$2:$A$2000,0)+1,MATCH(B$2,vdata_regressors!$A$1:$R$1,0)),"")</f>
        <v/>
      </c>
      <c r="C400" s="23" t="str">
        <f>IFERROR(INDEX(vdata_regressors!$A$1:$L$2000,MATCH($A400,vdata_regressors!$A$2:$A$2000,0)+1,MATCH(C$2,vdata_regressors!$A$1:$R$1,0)),"")</f>
        <v/>
      </c>
      <c r="D400" s="23" t="str">
        <f>IFERROR(INDEX(vdata_regressors!$A$1:$L$2000,MATCH($A400,vdata_regressors!$A$2:$A$2000,0)+1,MATCH(D$2,vdata_regressors!$A$1:$R$1,0)),"")</f>
        <v/>
      </c>
      <c r="E400" s="23" t="str">
        <f>IFERROR(INDEX(vdata_regressors!$A$1:$L$2000,MATCH($A400,vdata_regressors!$A$2:$A$2000,0)+1,MATCH(E$2,vdata_regressors!$A$1:$R$1,0)),"")</f>
        <v/>
      </c>
      <c r="F400" s="23" t="str">
        <f>IFERROR(INDEX(vdata_regressors!$A$1:$L$2000,MATCH($A400,vdata_regressors!$A$2:$A$2000,0)+1,MATCH(F$2,vdata_regressors!$A$1:$R$1,0)),"")</f>
        <v/>
      </c>
      <c r="G400" s="23" t="str">
        <f>IFERROR(INDEX(vdata_regressors!$A$1:$L$2000,MATCH($A400,vdata_regressors!$A$2:$A$2000,0)+1,MATCH(G$2,vdata_regressors!$A$1:$R$1,0)),"")</f>
        <v/>
      </c>
      <c r="H400" s="23" t="str">
        <f>IFERROR(INDEX(vdata_regressors!$A$1:$L$2000,MATCH($A400,vdata_regressors!$A$2:$A$2000,0)+1,MATCH(H$2,vdata_regressors!$A$1:$R$1,0)),"")</f>
        <v/>
      </c>
      <c r="I400" s="23" t="str">
        <f>IFERROR(INDEX(vdata_regressors!$A$1:$L$2000,MATCH($A400,vdata_regressors!$A$2:$A$2000,0)+1,MATCH(I$2,vdata_regressors!$A$1:$R$1,0)),"")</f>
        <v/>
      </c>
      <c r="J400" s="23" t="str">
        <f>IFERROR(INDEX(vdata_regressors!$A$1:$L$2000,MATCH($A400,vdata_regressors!$A$2:$A$2000,0)+1,MATCH(J$2,vdata_regressors!$A$1:$R$1,0)),"")</f>
        <v/>
      </c>
      <c r="K400" s="23" t="str">
        <f>IFERROR(INDEX(vdata_regressors!$A$1:$L$2000,MATCH($A400,vdata_regressors!$A$2:$A$2000,0)+1,MATCH(K$2,vdata_regressors!$A$1:$R$1,0)),"")</f>
        <v/>
      </c>
      <c r="L400" s="23" t="str">
        <f>IFERROR(INDEX(vdata_regressors!$A$1:$L$2000,MATCH($A400,vdata_regressors!$A$2:$A$2000,0)+1,MATCH(L$2,vdata_regressors!$A$1:$R$1,0)),"")</f>
        <v/>
      </c>
      <c r="M400" s="23" t="str">
        <f>IFERROR(VLOOKUP(A400,vdata_hours!$A$2:$B$1000,2,FALSE),"")</f>
        <v/>
      </c>
    </row>
    <row r="401" spans="1:13" x14ac:dyDescent="0.25">
      <c r="A401" s="23" t="str">
        <f>IF(vdata_hours!A400=0,"",vdata_hours!A400)</f>
        <v/>
      </c>
      <c r="B401" s="23" t="str">
        <f>IFERROR(INDEX(vdata_regressors!$A$1:$L$2000,MATCH($A401,vdata_regressors!$A$2:$A$2000,0)+1,MATCH(B$2,vdata_regressors!$A$1:$R$1,0)),"")</f>
        <v/>
      </c>
      <c r="C401" s="23" t="str">
        <f>IFERROR(INDEX(vdata_regressors!$A$1:$L$2000,MATCH($A401,vdata_regressors!$A$2:$A$2000,0)+1,MATCH(C$2,vdata_regressors!$A$1:$R$1,0)),"")</f>
        <v/>
      </c>
      <c r="D401" s="23" t="str">
        <f>IFERROR(INDEX(vdata_regressors!$A$1:$L$2000,MATCH($A401,vdata_regressors!$A$2:$A$2000,0)+1,MATCH(D$2,vdata_regressors!$A$1:$R$1,0)),"")</f>
        <v/>
      </c>
      <c r="E401" s="23" t="str">
        <f>IFERROR(INDEX(vdata_regressors!$A$1:$L$2000,MATCH($A401,vdata_regressors!$A$2:$A$2000,0)+1,MATCH(E$2,vdata_regressors!$A$1:$R$1,0)),"")</f>
        <v/>
      </c>
      <c r="F401" s="23" t="str">
        <f>IFERROR(INDEX(vdata_regressors!$A$1:$L$2000,MATCH($A401,vdata_regressors!$A$2:$A$2000,0)+1,MATCH(F$2,vdata_regressors!$A$1:$R$1,0)),"")</f>
        <v/>
      </c>
      <c r="G401" s="23" t="str">
        <f>IFERROR(INDEX(vdata_regressors!$A$1:$L$2000,MATCH($A401,vdata_regressors!$A$2:$A$2000,0)+1,MATCH(G$2,vdata_regressors!$A$1:$R$1,0)),"")</f>
        <v/>
      </c>
      <c r="H401" s="23" t="str">
        <f>IFERROR(INDEX(vdata_regressors!$A$1:$L$2000,MATCH($A401,vdata_regressors!$A$2:$A$2000,0)+1,MATCH(H$2,vdata_regressors!$A$1:$R$1,0)),"")</f>
        <v/>
      </c>
      <c r="I401" s="23" t="str">
        <f>IFERROR(INDEX(vdata_regressors!$A$1:$L$2000,MATCH($A401,vdata_regressors!$A$2:$A$2000,0)+1,MATCH(I$2,vdata_regressors!$A$1:$R$1,0)),"")</f>
        <v/>
      </c>
      <c r="J401" s="23" t="str">
        <f>IFERROR(INDEX(vdata_regressors!$A$1:$L$2000,MATCH($A401,vdata_regressors!$A$2:$A$2000,0)+1,MATCH(J$2,vdata_regressors!$A$1:$R$1,0)),"")</f>
        <v/>
      </c>
      <c r="K401" s="23" t="str">
        <f>IFERROR(INDEX(vdata_regressors!$A$1:$L$2000,MATCH($A401,vdata_regressors!$A$2:$A$2000,0)+1,MATCH(K$2,vdata_regressors!$A$1:$R$1,0)),"")</f>
        <v/>
      </c>
      <c r="L401" s="23" t="str">
        <f>IFERROR(INDEX(vdata_regressors!$A$1:$L$2000,MATCH($A401,vdata_regressors!$A$2:$A$2000,0)+1,MATCH(L$2,vdata_regressors!$A$1:$R$1,0)),"")</f>
        <v/>
      </c>
      <c r="M401" s="23" t="str">
        <f>IFERROR(VLOOKUP(A401,vdata_hours!$A$2:$B$1000,2,FALSE),"")</f>
        <v/>
      </c>
    </row>
    <row r="402" spans="1:13" x14ac:dyDescent="0.25">
      <c r="A402" s="23" t="str">
        <f>IF(vdata_hours!A401=0,"",vdata_hours!A401)</f>
        <v/>
      </c>
      <c r="B402" s="23" t="str">
        <f>IFERROR(INDEX(vdata_regressors!$A$1:$L$2000,MATCH($A402,vdata_regressors!$A$2:$A$2000,0)+1,MATCH(B$2,vdata_regressors!$A$1:$R$1,0)),"")</f>
        <v/>
      </c>
      <c r="C402" s="23" t="str">
        <f>IFERROR(INDEX(vdata_regressors!$A$1:$L$2000,MATCH($A402,vdata_regressors!$A$2:$A$2000,0)+1,MATCH(C$2,vdata_regressors!$A$1:$R$1,0)),"")</f>
        <v/>
      </c>
      <c r="D402" s="23" t="str">
        <f>IFERROR(INDEX(vdata_regressors!$A$1:$L$2000,MATCH($A402,vdata_regressors!$A$2:$A$2000,0)+1,MATCH(D$2,vdata_regressors!$A$1:$R$1,0)),"")</f>
        <v/>
      </c>
      <c r="E402" s="23" t="str">
        <f>IFERROR(INDEX(vdata_regressors!$A$1:$L$2000,MATCH($A402,vdata_regressors!$A$2:$A$2000,0)+1,MATCH(E$2,vdata_regressors!$A$1:$R$1,0)),"")</f>
        <v/>
      </c>
      <c r="F402" s="23" t="str">
        <f>IFERROR(INDEX(vdata_regressors!$A$1:$L$2000,MATCH($A402,vdata_regressors!$A$2:$A$2000,0)+1,MATCH(F$2,vdata_regressors!$A$1:$R$1,0)),"")</f>
        <v/>
      </c>
      <c r="G402" s="23" t="str">
        <f>IFERROR(INDEX(vdata_regressors!$A$1:$L$2000,MATCH($A402,vdata_regressors!$A$2:$A$2000,0)+1,MATCH(G$2,vdata_regressors!$A$1:$R$1,0)),"")</f>
        <v/>
      </c>
      <c r="H402" s="23" t="str">
        <f>IFERROR(INDEX(vdata_regressors!$A$1:$L$2000,MATCH($A402,vdata_regressors!$A$2:$A$2000,0)+1,MATCH(H$2,vdata_regressors!$A$1:$R$1,0)),"")</f>
        <v/>
      </c>
      <c r="I402" s="23" t="str">
        <f>IFERROR(INDEX(vdata_regressors!$A$1:$L$2000,MATCH($A402,vdata_regressors!$A$2:$A$2000,0)+1,MATCH(I$2,vdata_regressors!$A$1:$R$1,0)),"")</f>
        <v/>
      </c>
      <c r="J402" s="23" t="str">
        <f>IFERROR(INDEX(vdata_regressors!$A$1:$L$2000,MATCH($A402,vdata_regressors!$A$2:$A$2000,0)+1,MATCH(J$2,vdata_regressors!$A$1:$R$1,0)),"")</f>
        <v/>
      </c>
      <c r="K402" s="23" t="str">
        <f>IFERROR(INDEX(vdata_regressors!$A$1:$L$2000,MATCH($A402,vdata_regressors!$A$2:$A$2000,0)+1,MATCH(K$2,vdata_regressors!$A$1:$R$1,0)),"")</f>
        <v/>
      </c>
      <c r="L402" s="23" t="str">
        <f>IFERROR(INDEX(vdata_regressors!$A$1:$L$2000,MATCH($A402,vdata_regressors!$A$2:$A$2000,0)+1,MATCH(L$2,vdata_regressors!$A$1:$R$1,0)),"")</f>
        <v/>
      </c>
      <c r="M402" s="23" t="str">
        <f>IFERROR(VLOOKUP(A402,vdata_hours!$A$2:$B$1000,2,FALSE),"")</f>
        <v/>
      </c>
    </row>
    <row r="403" spans="1:13" x14ac:dyDescent="0.25">
      <c r="A403" s="23" t="str">
        <f>IF(vdata_hours!A402=0,"",vdata_hours!A402)</f>
        <v/>
      </c>
      <c r="B403" s="23" t="str">
        <f>IFERROR(INDEX(vdata_regressors!$A$1:$L$2000,MATCH($A403,vdata_regressors!$A$2:$A$2000,0)+1,MATCH(B$2,vdata_regressors!$A$1:$R$1,0)),"")</f>
        <v/>
      </c>
      <c r="C403" s="23" t="str">
        <f>IFERROR(INDEX(vdata_regressors!$A$1:$L$2000,MATCH($A403,vdata_regressors!$A$2:$A$2000,0)+1,MATCH(C$2,vdata_regressors!$A$1:$R$1,0)),"")</f>
        <v/>
      </c>
      <c r="D403" s="23" t="str">
        <f>IFERROR(INDEX(vdata_regressors!$A$1:$L$2000,MATCH($A403,vdata_regressors!$A$2:$A$2000,0)+1,MATCH(D$2,vdata_regressors!$A$1:$R$1,0)),"")</f>
        <v/>
      </c>
      <c r="E403" s="23" t="str">
        <f>IFERROR(INDEX(vdata_regressors!$A$1:$L$2000,MATCH($A403,vdata_regressors!$A$2:$A$2000,0)+1,MATCH(E$2,vdata_regressors!$A$1:$R$1,0)),"")</f>
        <v/>
      </c>
      <c r="F403" s="23" t="str">
        <f>IFERROR(INDEX(vdata_regressors!$A$1:$L$2000,MATCH($A403,vdata_regressors!$A$2:$A$2000,0)+1,MATCH(F$2,vdata_regressors!$A$1:$R$1,0)),"")</f>
        <v/>
      </c>
      <c r="G403" s="23" t="str">
        <f>IFERROR(INDEX(vdata_regressors!$A$1:$L$2000,MATCH($A403,vdata_regressors!$A$2:$A$2000,0)+1,MATCH(G$2,vdata_regressors!$A$1:$R$1,0)),"")</f>
        <v/>
      </c>
      <c r="H403" s="23" t="str">
        <f>IFERROR(INDEX(vdata_regressors!$A$1:$L$2000,MATCH($A403,vdata_regressors!$A$2:$A$2000,0)+1,MATCH(H$2,vdata_regressors!$A$1:$R$1,0)),"")</f>
        <v/>
      </c>
      <c r="I403" s="23" t="str">
        <f>IFERROR(INDEX(vdata_regressors!$A$1:$L$2000,MATCH($A403,vdata_regressors!$A$2:$A$2000,0)+1,MATCH(I$2,vdata_regressors!$A$1:$R$1,0)),"")</f>
        <v/>
      </c>
      <c r="J403" s="23" t="str">
        <f>IFERROR(INDEX(vdata_regressors!$A$1:$L$2000,MATCH($A403,vdata_regressors!$A$2:$A$2000,0)+1,MATCH(J$2,vdata_regressors!$A$1:$R$1,0)),"")</f>
        <v/>
      </c>
      <c r="K403" s="23" t="str">
        <f>IFERROR(INDEX(vdata_regressors!$A$1:$L$2000,MATCH($A403,vdata_regressors!$A$2:$A$2000,0)+1,MATCH(K$2,vdata_regressors!$A$1:$R$1,0)),"")</f>
        <v/>
      </c>
      <c r="L403" s="23" t="str">
        <f>IFERROR(INDEX(vdata_regressors!$A$1:$L$2000,MATCH($A403,vdata_regressors!$A$2:$A$2000,0)+1,MATCH(L$2,vdata_regressors!$A$1:$R$1,0)),"")</f>
        <v/>
      </c>
      <c r="M403" s="23" t="str">
        <f>IFERROR(VLOOKUP(A403,vdata_hours!$A$2:$B$1000,2,FALSE),"")</f>
        <v/>
      </c>
    </row>
    <row r="404" spans="1:13" x14ac:dyDescent="0.25">
      <c r="A404" s="23" t="str">
        <f>IF(vdata_hours!A403=0,"",vdata_hours!A403)</f>
        <v/>
      </c>
      <c r="B404" s="23" t="str">
        <f>IFERROR(INDEX(vdata_regressors!$A$1:$L$2000,MATCH($A404,vdata_regressors!$A$2:$A$2000,0)+1,MATCH(B$2,vdata_regressors!$A$1:$R$1,0)),"")</f>
        <v/>
      </c>
      <c r="C404" s="23" t="str">
        <f>IFERROR(INDEX(vdata_regressors!$A$1:$L$2000,MATCH($A404,vdata_regressors!$A$2:$A$2000,0)+1,MATCH(C$2,vdata_regressors!$A$1:$R$1,0)),"")</f>
        <v/>
      </c>
      <c r="D404" s="23" t="str">
        <f>IFERROR(INDEX(vdata_regressors!$A$1:$L$2000,MATCH($A404,vdata_regressors!$A$2:$A$2000,0)+1,MATCH(D$2,vdata_regressors!$A$1:$R$1,0)),"")</f>
        <v/>
      </c>
      <c r="E404" s="23" t="str">
        <f>IFERROR(INDEX(vdata_regressors!$A$1:$L$2000,MATCH($A404,vdata_regressors!$A$2:$A$2000,0)+1,MATCH(E$2,vdata_regressors!$A$1:$R$1,0)),"")</f>
        <v/>
      </c>
      <c r="F404" s="23" t="str">
        <f>IFERROR(INDEX(vdata_regressors!$A$1:$L$2000,MATCH($A404,vdata_regressors!$A$2:$A$2000,0)+1,MATCH(F$2,vdata_regressors!$A$1:$R$1,0)),"")</f>
        <v/>
      </c>
      <c r="G404" s="23" t="str">
        <f>IFERROR(INDEX(vdata_regressors!$A$1:$L$2000,MATCH($A404,vdata_regressors!$A$2:$A$2000,0)+1,MATCH(G$2,vdata_regressors!$A$1:$R$1,0)),"")</f>
        <v/>
      </c>
      <c r="H404" s="23" t="str">
        <f>IFERROR(INDEX(vdata_regressors!$A$1:$L$2000,MATCH($A404,vdata_regressors!$A$2:$A$2000,0)+1,MATCH(H$2,vdata_regressors!$A$1:$R$1,0)),"")</f>
        <v/>
      </c>
      <c r="I404" s="23" t="str">
        <f>IFERROR(INDEX(vdata_regressors!$A$1:$L$2000,MATCH($A404,vdata_regressors!$A$2:$A$2000,0)+1,MATCH(I$2,vdata_regressors!$A$1:$R$1,0)),"")</f>
        <v/>
      </c>
      <c r="J404" s="23" t="str">
        <f>IFERROR(INDEX(vdata_regressors!$A$1:$L$2000,MATCH($A404,vdata_regressors!$A$2:$A$2000,0)+1,MATCH(J$2,vdata_regressors!$A$1:$R$1,0)),"")</f>
        <v/>
      </c>
      <c r="K404" s="23" t="str">
        <f>IFERROR(INDEX(vdata_regressors!$A$1:$L$2000,MATCH($A404,vdata_regressors!$A$2:$A$2000,0)+1,MATCH(K$2,vdata_regressors!$A$1:$R$1,0)),"")</f>
        <v/>
      </c>
      <c r="L404" s="23" t="str">
        <f>IFERROR(INDEX(vdata_regressors!$A$1:$L$2000,MATCH($A404,vdata_regressors!$A$2:$A$2000,0)+1,MATCH(L$2,vdata_regressors!$A$1:$R$1,0)),"")</f>
        <v/>
      </c>
      <c r="M404" s="23" t="str">
        <f>IFERROR(VLOOKUP(A404,vdata_hours!$A$2:$B$1000,2,FALSE),"")</f>
        <v/>
      </c>
    </row>
    <row r="405" spans="1:13" x14ac:dyDescent="0.25">
      <c r="A405" s="23" t="str">
        <f>IF(vdata_hours!A404=0,"",vdata_hours!A404)</f>
        <v/>
      </c>
      <c r="B405" s="23" t="str">
        <f>IFERROR(INDEX(vdata_regressors!$A$1:$L$2000,MATCH($A405,vdata_regressors!$A$2:$A$2000,0)+1,MATCH(B$2,vdata_regressors!$A$1:$R$1,0)),"")</f>
        <v/>
      </c>
      <c r="C405" s="23" t="str">
        <f>IFERROR(INDEX(vdata_regressors!$A$1:$L$2000,MATCH($A405,vdata_regressors!$A$2:$A$2000,0)+1,MATCH(C$2,vdata_regressors!$A$1:$R$1,0)),"")</f>
        <v/>
      </c>
      <c r="D405" s="23" t="str">
        <f>IFERROR(INDEX(vdata_regressors!$A$1:$L$2000,MATCH($A405,vdata_regressors!$A$2:$A$2000,0)+1,MATCH(D$2,vdata_regressors!$A$1:$R$1,0)),"")</f>
        <v/>
      </c>
      <c r="E405" s="23" t="str">
        <f>IFERROR(INDEX(vdata_regressors!$A$1:$L$2000,MATCH($A405,vdata_regressors!$A$2:$A$2000,0)+1,MATCH(E$2,vdata_regressors!$A$1:$R$1,0)),"")</f>
        <v/>
      </c>
      <c r="F405" s="23" t="str">
        <f>IFERROR(INDEX(vdata_regressors!$A$1:$L$2000,MATCH($A405,vdata_regressors!$A$2:$A$2000,0)+1,MATCH(F$2,vdata_regressors!$A$1:$R$1,0)),"")</f>
        <v/>
      </c>
      <c r="G405" s="23" t="str">
        <f>IFERROR(INDEX(vdata_regressors!$A$1:$L$2000,MATCH($A405,vdata_regressors!$A$2:$A$2000,0)+1,MATCH(G$2,vdata_regressors!$A$1:$R$1,0)),"")</f>
        <v/>
      </c>
      <c r="H405" s="23" t="str">
        <f>IFERROR(INDEX(vdata_regressors!$A$1:$L$2000,MATCH($A405,vdata_regressors!$A$2:$A$2000,0)+1,MATCH(H$2,vdata_regressors!$A$1:$R$1,0)),"")</f>
        <v/>
      </c>
      <c r="I405" s="23" t="str">
        <f>IFERROR(INDEX(vdata_regressors!$A$1:$L$2000,MATCH($A405,vdata_regressors!$A$2:$A$2000,0)+1,MATCH(I$2,vdata_regressors!$A$1:$R$1,0)),"")</f>
        <v/>
      </c>
      <c r="J405" s="23" t="str">
        <f>IFERROR(INDEX(vdata_regressors!$A$1:$L$2000,MATCH($A405,vdata_regressors!$A$2:$A$2000,0)+1,MATCH(J$2,vdata_regressors!$A$1:$R$1,0)),"")</f>
        <v/>
      </c>
      <c r="K405" s="23" t="str">
        <f>IFERROR(INDEX(vdata_regressors!$A$1:$L$2000,MATCH($A405,vdata_regressors!$A$2:$A$2000,0)+1,MATCH(K$2,vdata_regressors!$A$1:$R$1,0)),"")</f>
        <v/>
      </c>
      <c r="L405" s="23" t="str">
        <f>IFERROR(INDEX(vdata_regressors!$A$1:$L$2000,MATCH($A405,vdata_regressors!$A$2:$A$2000,0)+1,MATCH(L$2,vdata_regressors!$A$1:$R$1,0)),"")</f>
        <v/>
      </c>
      <c r="M405" s="23" t="str">
        <f>IFERROR(VLOOKUP(A405,vdata_hours!$A$2:$B$1000,2,FALSE),"")</f>
        <v/>
      </c>
    </row>
    <row r="406" spans="1:13" x14ac:dyDescent="0.25">
      <c r="A406" s="23" t="str">
        <f>IF(vdata_hours!A405=0,"",vdata_hours!A405)</f>
        <v/>
      </c>
      <c r="B406" s="23" t="str">
        <f>IFERROR(INDEX(vdata_regressors!$A$1:$L$2000,MATCH($A406,vdata_regressors!$A$2:$A$2000,0)+1,MATCH(B$2,vdata_regressors!$A$1:$R$1,0)),"")</f>
        <v/>
      </c>
      <c r="C406" s="23" t="str">
        <f>IFERROR(INDEX(vdata_regressors!$A$1:$L$2000,MATCH($A406,vdata_regressors!$A$2:$A$2000,0)+1,MATCH(C$2,vdata_regressors!$A$1:$R$1,0)),"")</f>
        <v/>
      </c>
      <c r="D406" s="23" t="str">
        <f>IFERROR(INDEX(vdata_regressors!$A$1:$L$2000,MATCH($A406,vdata_regressors!$A$2:$A$2000,0)+1,MATCH(D$2,vdata_regressors!$A$1:$R$1,0)),"")</f>
        <v/>
      </c>
      <c r="E406" s="23" t="str">
        <f>IFERROR(INDEX(vdata_regressors!$A$1:$L$2000,MATCH($A406,vdata_regressors!$A$2:$A$2000,0)+1,MATCH(E$2,vdata_regressors!$A$1:$R$1,0)),"")</f>
        <v/>
      </c>
      <c r="F406" s="23" t="str">
        <f>IFERROR(INDEX(vdata_regressors!$A$1:$L$2000,MATCH($A406,vdata_regressors!$A$2:$A$2000,0)+1,MATCH(F$2,vdata_regressors!$A$1:$R$1,0)),"")</f>
        <v/>
      </c>
      <c r="G406" s="23" t="str">
        <f>IFERROR(INDEX(vdata_regressors!$A$1:$L$2000,MATCH($A406,vdata_regressors!$A$2:$A$2000,0)+1,MATCH(G$2,vdata_regressors!$A$1:$R$1,0)),"")</f>
        <v/>
      </c>
      <c r="H406" s="23" t="str">
        <f>IFERROR(INDEX(vdata_regressors!$A$1:$L$2000,MATCH($A406,vdata_regressors!$A$2:$A$2000,0)+1,MATCH(H$2,vdata_regressors!$A$1:$R$1,0)),"")</f>
        <v/>
      </c>
      <c r="I406" s="23" t="str">
        <f>IFERROR(INDEX(vdata_regressors!$A$1:$L$2000,MATCH($A406,vdata_regressors!$A$2:$A$2000,0)+1,MATCH(I$2,vdata_regressors!$A$1:$R$1,0)),"")</f>
        <v/>
      </c>
      <c r="J406" s="23" t="str">
        <f>IFERROR(INDEX(vdata_regressors!$A$1:$L$2000,MATCH($A406,vdata_regressors!$A$2:$A$2000,0)+1,MATCH(J$2,vdata_regressors!$A$1:$R$1,0)),"")</f>
        <v/>
      </c>
      <c r="K406" s="23" t="str">
        <f>IFERROR(INDEX(vdata_regressors!$A$1:$L$2000,MATCH($A406,vdata_regressors!$A$2:$A$2000,0)+1,MATCH(K$2,vdata_regressors!$A$1:$R$1,0)),"")</f>
        <v/>
      </c>
      <c r="L406" s="23" t="str">
        <f>IFERROR(INDEX(vdata_regressors!$A$1:$L$2000,MATCH($A406,vdata_regressors!$A$2:$A$2000,0)+1,MATCH(L$2,vdata_regressors!$A$1:$R$1,0)),"")</f>
        <v/>
      </c>
      <c r="M406" s="23" t="str">
        <f>IFERROR(VLOOKUP(A406,vdata_hours!$A$2:$B$1000,2,FALSE),"")</f>
        <v/>
      </c>
    </row>
    <row r="407" spans="1:13" x14ac:dyDescent="0.25">
      <c r="A407" s="23" t="str">
        <f>IF(vdata_hours!A406=0,"",vdata_hours!A406)</f>
        <v/>
      </c>
      <c r="B407" s="23" t="str">
        <f>IFERROR(INDEX(vdata_regressors!$A$1:$L$2000,MATCH($A407,vdata_regressors!$A$2:$A$2000,0)+1,MATCH(B$2,vdata_regressors!$A$1:$R$1,0)),"")</f>
        <v/>
      </c>
      <c r="C407" s="23" t="str">
        <f>IFERROR(INDEX(vdata_regressors!$A$1:$L$2000,MATCH($A407,vdata_regressors!$A$2:$A$2000,0)+1,MATCH(C$2,vdata_regressors!$A$1:$R$1,0)),"")</f>
        <v/>
      </c>
      <c r="D407" s="23" t="str">
        <f>IFERROR(INDEX(vdata_regressors!$A$1:$L$2000,MATCH($A407,vdata_regressors!$A$2:$A$2000,0)+1,MATCH(D$2,vdata_regressors!$A$1:$R$1,0)),"")</f>
        <v/>
      </c>
      <c r="E407" s="23" t="str">
        <f>IFERROR(INDEX(vdata_regressors!$A$1:$L$2000,MATCH($A407,vdata_regressors!$A$2:$A$2000,0)+1,MATCH(E$2,vdata_regressors!$A$1:$R$1,0)),"")</f>
        <v/>
      </c>
      <c r="F407" s="23" t="str">
        <f>IFERROR(INDEX(vdata_regressors!$A$1:$L$2000,MATCH($A407,vdata_regressors!$A$2:$A$2000,0)+1,MATCH(F$2,vdata_regressors!$A$1:$R$1,0)),"")</f>
        <v/>
      </c>
      <c r="G407" s="23" t="str">
        <f>IFERROR(INDEX(vdata_regressors!$A$1:$L$2000,MATCH($A407,vdata_regressors!$A$2:$A$2000,0)+1,MATCH(G$2,vdata_regressors!$A$1:$R$1,0)),"")</f>
        <v/>
      </c>
      <c r="H407" s="23" t="str">
        <f>IFERROR(INDEX(vdata_regressors!$A$1:$L$2000,MATCH($A407,vdata_regressors!$A$2:$A$2000,0)+1,MATCH(H$2,vdata_regressors!$A$1:$R$1,0)),"")</f>
        <v/>
      </c>
      <c r="I407" s="23" t="str">
        <f>IFERROR(INDEX(vdata_regressors!$A$1:$L$2000,MATCH($A407,vdata_regressors!$A$2:$A$2000,0)+1,MATCH(I$2,vdata_regressors!$A$1:$R$1,0)),"")</f>
        <v/>
      </c>
      <c r="J407" s="23" t="str">
        <f>IFERROR(INDEX(vdata_regressors!$A$1:$L$2000,MATCH($A407,vdata_regressors!$A$2:$A$2000,0)+1,MATCH(J$2,vdata_regressors!$A$1:$R$1,0)),"")</f>
        <v/>
      </c>
      <c r="K407" s="23" t="str">
        <f>IFERROR(INDEX(vdata_regressors!$A$1:$L$2000,MATCH($A407,vdata_regressors!$A$2:$A$2000,0)+1,MATCH(K$2,vdata_regressors!$A$1:$R$1,0)),"")</f>
        <v/>
      </c>
      <c r="L407" s="23" t="str">
        <f>IFERROR(INDEX(vdata_regressors!$A$1:$L$2000,MATCH($A407,vdata_regressors!$A$2:$A$2000,0)+1,MATCH(L$2,vdata_regressors!$A$1:$R$1,0)),"")</f>
        <v/>
      </c>
      <c r="M407" s="23" t="str">
        <f>IFERROR(VLOOKUP(A407,vdata_hours!$A$2:$B$1000,2,FALSE),"")</f>
        <v/>
      </c>
    </row>
    <row r="408" spans="1:13" x14ac:dyDescent="0.25">
      <c r="A408" s="23" t="str">
        <f>IF(vdata_hours!A407=0,"",vdata_hours!A407)</f>
        <v/>
      </c>
      <c r="B408" s="23" t="str">
        <f>IFERROR(INDEX(vdata_regressors!$A$1:$L$2000,MATCH($A408,vdata_regressors!$A$2:$A$2000,0)+1,MATCH(B$2,vdata_regressors!$A$1:$R$1,0)),"")</f>
        <v/>
      </c>
      <c r="C408" s="23" t="str">
        <f>IFERROR(INDEX(vdata_regressors!$A$1:$L$2000,MATCH($A408,vdata_regressors!$A$2:$A$2000,0)+1,MATCH(C$2,vdata_regressors!$A$1:$R$1,0)),"")</f>
        <v/>
      </c>
      <c r="D408" s="23" t="str">
        <f>IFERROR(INDEX(vdata_regressors!$A$1:$L$2000,MATCH($A408,vdata_regressors!$A$2:$A$2000,0)+1,MATCH(D$2,vdata_regressors!$A$1:$R$1,0)),"")</f>
        <v/>
      </c>
      <c r="E408" s="23" t="str">
        <f>IFERROR(INDEX(vdata_regressors!$A$1:$L$2000,MATCH($A408,vdata_regressors!$A$2:$A$2000,0)+1,MATCH(E$2,vdata_regressors!$A$1:$R$1,0)),"")</f>
        <v/>
      </c>
      <c r="F408" s="23" t="str">
        <f>IFERROR(INDEX(vdata_regressors!$A$1:$L$2000,MATCH($A408,vdata_regressors!$A$2:$A$2000,0)+1,MATCH(F$2,vdata_regressors!$A$1:$R$1,0)),"")</f>
        <v/>
      </c>
      <c r="G408" s="23" t="str">
        <f>IFERROR(INDEX(vdata_regressors!$A$1:$L$2000,MATCH($A408,vdata_regressors!$A$2:$A$2000,0)+1,MATCH(G$2,vdata_regressors!$A$1:$R$1,0)),"")</f>
        <v/>
      </c>
      <c r="H408" s="23" t="str">
        <f>IFERROR(INDEX(vdata_regressors!$A$1:$L$2000,MATCH($A408,vdata_regressors!$A$2:$A$2000,0)+1,MATCH(H$2,vdata_regressors!$A$1:$R$1,0)),"")</f>
        <v/>
      </c>
      <c r="I408" s="23" t="str">
        <f>IFERROR(INDEX(vdata_regressors!$A$1:$L$2000,MATCH($A408,vdata_regressors!$A$2:$A$2000,0)+1,MATCH(I$2,vdata_regressors!$A$1:$R$1,0)),"")</f>
        <v/>
      </c>
      <c r="J408" s="23" t="str">
        <f>IFERROR(INDEX(vdata_regressors!$A$1:$L$2000,MATCH($A408,vdata_regressors!$A$2:$A$2000,0)+1,MATCH(J$2,vdata_regressors!$A$1:$R$1,0)),"")</f>
        <v/>
      </c>
      <c r="K408" s="23" t="str">
        <f>IFERROR(INDEX(vdata_regressors!$A$1:$L$2000,MATCH($A408,vdata_regressors!$A$2:$A$2000,0)+1,MATCH(K$2,vdata_regressors!$A$1:$R$1,0)),"")</f>
        <v/>
      </c>
      <c r="L408" s="23" t="str">
        <f>IFERROR(INDEX(vdata_regressors!$A$1:$L$2000,MATCH($A408,vdata_regressors!$A$2:$A$2000,0)+1,MATCH(L$2,vdata_regressors!$A$1:$R$1,0)),"")</f>
        <v/>
      </c>
      <c r="M408" s="23" t="str">
        <f>IFERROR(VLOOKUP(A408,vdata_hours!$A$2:$B$1000,2,FALSE),"")</f>
        <v/>
      </c>
    </row>
    <row r="409" spans="1:13" x14ac:dyDescent="0.25">
      <c r="A409" s="23" t="str">
        <f>IF(vdata_hours!A408=0,"",vdata_hours!A408)</f>
        <v/>
      </c>
      <c r="B409" s="23" t="str">
        <f>IFERROR(INDEX(vdata_regressors!$A$1:$L$2000,MATCH($A409,vdata_regressors!$A$2:$A$2000,0)+1,MATCH(B$2,vdata_regressors!$A$1:$R$1,0)),"")</f>
        <v/>
      </c>
      <c r="C409" s="23" t="str">
        <f>IFERROR(INDEX(vdata_regressors!$A$1:$L$2000,MATCH($A409,vdata_regressors!$A$2:$A$2000,0)+1,MATCH(C$2,vdata_regressors!$A$1:$R$1,0)),"")</f>
        <v/>
      </c>
      <c r="D409" s="23" t="str">
        <f>IFERROR(INDEX(vdata_regressors!$A$1:$L$2000,MATCH($A409,vdata_regressors!$A$2:$A$2000,0)+1,MATCH(D$2,vdata_regressors!$A$1:$R$1,0)),"")</f>
        <v/>
      </c>
      <c r="E409" s="23" t="str">
        <f>IFERROR(INDEX(vdata_regressors!$A$1:$L$2000,MATCH($A409,vdata_regressors!$A$2:$A$2000,0)+1,MATCH(E$2,vdata_regressors!$A$1:$R$1,0)),"")</f>
        <v/>
      </c>
      <c r="F409" s="23" t="str">
        <f>IFERROR(INDEX(vdata_regressors!$A$1:$L$2000,MATCH($A409,vdata_regressors!$A$2:$A$2000,0)+1,MATCH(F$2,vdata_regressors!$A$1:$R$1,0)),"")</f>
        <v/>
      </c>
      <c r="G409" s="23" t="str">
        <f>IFERROR(INDEX(vdata_regressors!$A$1:$L$2000,MATCH($A409,vdata_regressors!$A$2:$A$2000,0)+1,MATCH(G$2,vdata_regressors!$A$1:$R$1,0)),"")</f>
        <v/>
      </c>
      <c r="H409" s="23" t="str">
        <f>IFERROR(INDEX(vdata_regressors!$A$1:$L$2000,MATCH($A409,vdata_regressors!$A$2:$A$2000,0)+1,MATCH(H$2,vdata_regressors!$A$1:$R$1,0)),"")</f>
        <v/>
      </c>
      <c r="I409" s="23" t="str">
        <f>IFERROR(INDEX(vdata_regressors!$A$1:$L$2000,MATCH($A409,vdata_regressors!$A$2:$A$2000,0)+1,MATCH(I$2,vdata_regressors!$A$1:$R$1,0)),"")</f>
        <v/>
      </c>
      <c r="J409" s="23" t="str">
        <f>IFERROR(INDEX(vdata_regressors!$A$1:$L$2000,MATCH($A409,vdata_regressors!$A$2:$A$2000,0)+1,MATCH(J$2,vdata_regressors!$A$1:$R$1,0)),"")</f>
        <v/>
      </c>
      <c r="K409" s="23" t="str">
        <f>IFERROR(INDEX(vdata_regressors!$A$1:$L$2000,MATCH($A409,vdata_regressors!$A$2:$A$2000,0)+1,MATCH(K$2,vdata_regressors!$A$1:$R$1,0)),"")</f>
        <v/>
      </c>
      <c r="L409" s="23" t="str">
        <f>IFERROR(INDEX(vdata_regressors!$A$1:$L$2000,MATCH($A409,vdata_regressors!$A$2:$A$2000,0)+1,MATCH(L$2,vdata_regressors!$A$1:$R$1,0)),"")</f>
        <v/>
      </c>
      <c r="M409" s="23" t="str">
        <f>IFERROR(VLOOKUP(A409,vdata_hours!$A$2:$B$1000,2,FALSE),"")</f>
        <v/>
      </c>
    </row>
    <row r="410" spans="1:13" x14ac:dyDescent="0.25">
      <c r="A410" s="23" t="str">
        <f>IF(vdata_hours!A409=0,"",vdata_hours!A409)</f>
        <v/>
      </c>
      <c r="B410" s="23" t="str">
        <f>IFERROR(INDEX(vdata_regressors!$A$1:$L$2000,MATCH($A410,vdata_regressors!$A$2:$A$2000,0)+1,MATCH(B$2,vdata_regressors!$A$1:$R$1,0)),"")</f>
        <v/>
      </c>
      <c r="C410" s="23" t="str">
        <f>IFERROR(INDEX(vdata_regressors!$A$1:$L$2000,MATCH($A410,vdata_regressors!$A$2:$A$2000,0)+1,MATCH(C$2,vdata_regressors!$A$1:$R$1,0)),"")</f>
        <v/>
      </c>
      <c r="D410" s="23" t="str">
        <f>IFERROR(INDEX(vdata_regressors!$A$1:$L$2000,MATCH($A410,vdata_regressors!$A$2:$A$2000,0)+1,MATCH(D$2,vdata_regressors!$A$1:$R$1,0)),"")</f>
        <v/>
      </c>
      <c r="E410" s="23" t="str">
        <f>IFERROR(INDEX(vdata_regressors!$A$1:$L$2000,MATCH($A410,vdata_regressors!$A$2:$A$2000,0)+1,MATCH(E$2,vdata_regressors!$A$1:$R$1,0)),"")</f>
        <v/>
      </c>
      <c r="F410" s="23" t="str">
        <f>IFERROR(INDEX(vdata_regressors!$A$1:$L$2000,MATCH($A410,vdata_regressors!$A$2:$A$2000,0)+1,MATCH(F$2,vdata_regressors!$A$1:$R$1,0)),"")</f>
        <v/>
      </c>
      <c r="G410" s="23" t="str">
        <f>IFERROR(INDEX(vdata_regressors!$A$1:$L$2000,MATCH($A410,vdata_regressors!$A$2:$A$2000,0)+1,MATCH(G$2,vdata_regressors!$A$1:$R$1,0)),"")</f>
        <v/>
      </c>
      <c r="H410" s="23" t="str">
        <f>IFERROR(INDEX(vdata_regressors!$A$1:$L$2000,MATCH($A410,vdata_regressors!$A$2:$A$2000,0)+1,MATCH(H$2,vdata_regressors!$A$1:$R$1,0)),"")</f>
        <v/>
      </c>
      <c r="I410" s="23" t="str">
        <f>IFERROR(INDEX(vdata_regressors!$A$1:$L$2000,MATCH($A410,vdata_regressors!$A$2:$A$2000,0)+1,MATCH(I$2,vdata_regressors!$A$1:$R$1,0)),"")</f>
        <v/>
      </c>
      <c r="J410" s="23" t="str">
        <f>IFERROR(INDEX(vdata_regressors!$A$1:$L$2000,MATCH($A410,vdata_regressors!$A$2:$A$2000,0)+1,MATCH(J$2,vdata_regressors!$A$1:$R$1,0)),"")</f>
        <v/>
      </c>
      <c r="K410" s="23" t="str">
        <f>IFERROR(INDEX(vdata_regressors!$A$1:$L$2000,MATCH($A410,vdata_regressors!$A$2:$A$2000,0)+1,MATCH(K$2,vdata_regressors!$A$1:$R$1,0)),"")</f>
        <v/>
      </c>
      <c r="L410" s="23" t="str">
        <f>IFERROR(INDEX(vdata_regressors!$A$1:$L$2000,MATCH($A410,vdata_regressors!$A$2:$A$2000,0)+1,MATCH(L$2,vdata_regressors!$A$1:$R$1,0)),"")</f>
        <v/>
      </c>
      <c r="M410" s="23" t="str">
        <f>IFERROR(VLOOKUP(A410,vdata_hours!$A$2:$B$1000,2,FALSE),"")</f>
        <v/>
      </c>
    </row>
    <row r="411" spans="1:13" x14ac:dyDescent="0.25">
      <c r="A411" s="23" t="str">
        <f>IF(vdata_hours!A410=0,"",vdata_hours!A410)</f>
        <v/>
      </c>
      <c r="B411" s="23" t="str">
        <f>IFERROR(INDEX(vdata_regressors!$A$1:$L$2000,MATCH($A411,vdata_regressors!$A$2:$A$2000,0)+1,MATCH(B$2,vdata_regressors!$A$1:$R$1,0)),"")</f>
        <v/>
      </c>
      <c r="C411" s="23" t="str">
        <f>IFERROR(INDEX(vdata_regressors!$A$1:$L$2000,MATCH($A411,vdata_regressors!$A$2:$A$2000,0)+1,MATCH(C$2,vdata_regressors!$A$1:$R$1,0)),"")</f>
        <v/>
      </c>
      <c r="D411" s="23" t="str">
        <f>IFERROR(INDEX(vdata_regressors!$A$1:$L$2000,MATCH($A411,vdata_regressors!$A$2:$A$2000,0)+1,MATCH(D$2,vdata_regressors!$A$1:$R$1,0)),"")</f>
        <v/>
      </c>
      <c r="E411" s="23" t="str">
        <f>IFERROR(INDEX(vdata_regressors!$A$1:$L$2000,MATCH($A411,vdata_regressors!$A$2:$A$2000,0)+1,MATCH(E$2,vdata_regressors!$A$1:$R$1,0)),"")</f>
        <v/>
      </c>
      <c r="F411" s="23" t="str">
        <f>IFERROR(INDEX(vdata_regressors!$A$1:$L$2000,MATCH($A411,vdata_regressors!$A$2:$A$2000,0)+1,MATCH(F$2,vdata_regressors!$A$1:$R$1,0)),"")</f>
        <v/>
      </c>
      <c r="G411" s="23" t="str">
        <f>IFERROR(INDEX(vdata_regressors!$A$1:$L$2000,MATCH($A411,vdata_regressors!$A$2:$A$2000,0)+1,MATCH(G$2,vdata_regressors!$A$1:$R$1,0)),"")</f>
        <v/>
      </c>
      <c r="H411" s="23" t="str">
        <f>IFERROR(INDEX(vdata_regressors!$A$1:$L$2000,MATCH($A411,vdata_regressors!$A$2:$A$2000,0)+1,MATCH(H$2,vdata_regressors!$A$1:$R$1,0)),"")</f>
        <v/>
      </c>
      <c r="I411" s="23" t="str">
        <f>IFERROR(INDEX(vdata_regressors!$A$1:$L$2000,MATCH($A411,vdata_regressors!$A$2:$A$2000,0)+1,MATCH(I$2,vdata_regressors!$A$1:$R$1,0)),"")</f>
        <v/>
      </c>
      <c r="J411" s="23" t="str">
        <f>IFERROR(INDEX(vdata_regressors!$A$1:$L$2000,MATCH($A411,vdata_regressors!$A$2:$A$2000,0)+1,MATCH(J$2,vdata_regressors!$A$1:$R$1,0)),"")</f>
        <v/>
      </c>
      <c r="K411" s="23" t="str">
        <f>IFERROR(INDEX(vdata_regressors!$A$1:$L$2000,MATCH($A411,vdata_regressors!$A$2:$A$2000,0)+1,MATCH(K$2,vdata_regressors!$A$1:$R$1,0)),"")</f>
        <v/>
      </c>
      <c r="L411" s="23" t="str">
        <f>IFERROR(INDEX(vdata_regressors!$A$1:$L$2000,MATCH($A411,vdata_regressors!$A$2:$A$2000,0)+1,MATCH(L$2,vdata_regressors!$A$1:$R$1,0)),"")</f>
        <v/>
      </c>
      <c r="M411" s="23" t="str">
        <f>IFERROR(VLOOKUP(A411,vdata_hours!$A$2:$B$1000,2,FALSE),"")</f>
        <v/>
      </c>
    </row>
    <row r="412" spans="1:13" x14ac:dyDescent="0.25">
      <c r="A412" s="23" t="str">
        <f>IF(vdata_hours!A411=0,"",vdata_hours!A411)</f>
        <v/>
      </c>
      <c r="B412" s="23" t="str">
        <f>IFERROR(INDEX(vdata_regressors!$A$1:$L$2000,MATCH($A412,vdata_regressors!$A$2:$A$2000,0)+1,MATCH(B$2,vdata_regressors!$A$1:$R$1,0)),"")</f>
        <v/>
      </c>
      <c r="C412" s="23" t="str">
        <f>IFERROR(INDEX(vdata_regressors!$A$1:$L$2000,MATCH($A412,vdata_regressors!$A$2:$A$2000,0)+1,MATCH(C$2,vdata_regressors!$A$1:$R$1,0)),"")</f>
        <v/>
      </c>
      <c r="D412" s="23" t="str">
        <f>IFERROR(INDEX(vdata_regressors!$A$1:$L$2000,MATCH($A412,vdata_regressors!$A$2:$A$2000,0)+1,MATCH(D$2,vdata_regressors!$A$1:$R$1,0)),"")</f>
        <v/>
      </c>
      <c r="E412" s="23" t="str">
        <f>IFERROR(INDEX(vdata_regressors!$A$1:$L$2000,MATCH($A412,vdata_regressors!$A$2:$A$2000,0)+1,MATCH(E$2,vdata_regressors!$A$1:$R$1,0)),"")</f>
        <v/>
      </c>
      <c r="F412" s="23" t="str">
        <f>IFERROR(INDEX(vdata_regressors!$A$1:$L$2000,MATCH($A412,vdata_regressors!$A$2:$A$2000,0)+1,MATCH(F$2,vdata_regressors!$A$1:$R$1,0)),"")</f>
        <v/>
      </c>
      <c r="G412" s="23" t="str">
        <f>IFERROR(INDEX(vdata_regressors!$A$1:$L$2000,MATCH($A412,vdata_regressors!$A$2:$A$2000,0)+1,MATCH(G$2,vdata_regressors!$A$1:$R$1,0)),"")</f>
        <v/>
      </c>
      <c r="H412" s="23" t="str">
        <f>IFERROR(INDEX(vdata_regressors!$A$1:$L$2000,MATCH($A412,vdata_regressors!$A$2:$A$2000,0)+1,MATCH(H$2,vdata_regressors!$A$1:$R$1,0)),"")</f>
        <v/>
      </c>
      <c r="I412" s="23" t="str">
        <f>IFERROR(INDEX(vdata_regressors!$A$1:$L$2000,MATCH($A412,vdata_regressors!$A$2:$A$2000,0)+1,MATCH(I$2,vdata_regressors!$A$1:$R$1,0)),"")</f>
        <v/>
      </c>
      <c r="J412" s="23" t="str">
        <f>IFERROR(INDEX(vdata_regressors!$A$1:$L$2000,MATCH($A412,vdata_regressors!$A$2:$A$2000,0)+1,MATCH(J$2,vdata_regressors!$A$1:$R$1,0)),"")</f>
        <v/>
      </c>
      <c r="K412" s="23" t="str">
        <f>IFERROR(INDEX(vdata_regressors!$A$1:$L$2000,MATCH($A412,vdata_regressors!$A$2:$A$2000,0)+1,MATCH(K$2,vdata_regressors!$A$1:$R$1,0)),"")</f>
        <v/>
      </c>
      <c r="L412" s="23" t="str">
        <f>IFERROR(INDEX(vdata_regressors!$A$1:$L$2000,MATCH($A412,vdata_regressors!$A$2:$A$2000,0)+1,MATCH(L$2,vdata_regressors!$A$1:$R$1,0)),"")</f>
        <v/>
      </c>
      <c r="M412" s="23" t="str">
        <f>IFERROR(VLOOKUP(A412,vdata_hours!$A$2:$B$1000,2,FALSE),"")</f>
        <v/>
      </c>
    </row>
    <row r="413" spans="1:13" x14ac:dyDescent="0.25">
      <c r="A413" s="23" t="str">
        <f>IF(vdata_hours!A412=0,"",vdata_hours!A412)</f>
        <v/>
      </c>
      <c r="B413" s="23" t="str">
        <f>IFERROR(INDEX(vdata_regressors!$A$1:$L$2000,MATCH($A413,vdata_regressors!$A$2:$A$2000,0)+1,MATCH(B$2,vdata_regressors!$A$1:$R$1,0)),"")</f>
        <v/>
      </c>
      <c r="C413" s="23" t="str">
        <f>IFERROR(INDEX(vdata_regressors!$A$1:$L$2000,MATCH($A413,vdata_regressors!$A$2:$A$2000,0)+1,MATCH(C$2,vdata_regressors!$A$1:$R$1,0)),"")</f>
        <v/>
      </c>
      <c r="D413" s="23" t="str">
        <f>IFERROR(INDEX(vdata_regressors!$A$1:$L$2000,MATCH($A413,vdata_regressors!$A$2:$A$2000,0)+1,MATCH(D$2,vdata_regressors!$A$1:$R$1,0)),"")</f>
        <v/>
      </c>
      <c r="E413" s="23" t="str">
        <f>IFERROR(INDEX(vdata_regressors!$A$1:$L$2000,MATCH($A413,vdata_regressors!$A$2:$A$2000,0)+1,MATCH(E$2,vdata_regressors!$A$1:$R$1,0)),"")</f>
        <v/>
      </c>
      <c r="F413" s="23" t="str">
        <f>IFERROR(INDEX(vdata_regressors!$A$1:$L$2000,MATCH($A413,vdata_regressors!$A$2:$A$2000,0)+1,MATCH(F$2,vdata_regressors!$A$1:$R$1,0)),"")</f>
        <v/>
      </c>
      <c r="G413" s="23" t="str">
        <f>IFERROR(INDEX(vdata_regressors!$A$1:$L$2000,MATCH($A413,vdata_regressors!$A$2:$A$2000,0)+1,MATCH(G$2,vdata_regressors!$A$1:$R$1,0)),"")</f>
        <v/>
      </c>
      <c r="H413" s="23" t="str">
        <f>IFERROR(INDEX(vdata_regressors!$A$1:$L$2000,MATCH($A413,vdata_regressors!$A$2:$A$2000,0)+1,MATCH(H$2,vdata_regressors!$A$1:$R$1,0)),"")</f>
        <v/>
      </c>
      <c r="I413" s="23" t="str">
        <f>IFERROR(INDEX(vdata_regressors!$A$1:$L$2000,MATCH($A413,vdata_regressors!$A$2:$A$2000,0)+1,MATCH(I$2,vdata_regressors!$A$1:$R$1,0)),"")</f>
        <v/>
      </c>
      <c r="J413" s="23" t="str">
        <f>IFERROR(INDEX(vdata_regressors!$A$1:$L$2000,MATCH($A413,vdata_regressors!$A$2:$A$2000,0)+1,MATCH(J$2,vdata_regressors!$A$1:$R$1,0)),"")</f>
        <v/>
      </c>
      <c r="K413" s="23" t="str">
        <f>IFERROR(INDEX(vdata_regressors!$A$1:$L$2000,MATCH($A413,vdata_regressors!$A$2:$A$2000,0)+1,MATCH(K$2,vdata_regressors!$A$1:$R$1,0)),"")</f>
        <v/>
      </c>
      <c r="L413" s="23" t="str">
        <f>IFERROR(INDEX(vdata_regressors!$A$1:$L$2000,MATCH($A413,vdata_regressors!$A$2:$A$2000,0)+1,MATCH(L$2,vdata_regressors!$A$1:$R$1,0)),"")</f>
        <v/>
      </c>
      <c r="M413" s="23" t="str">
        <f>IFERROR(VLOOKUP(A413,vdata_hours!$A$2:$B$1000,2,FALSE),"")</f>
        <v/>
      </c>
    </row>
    <row r="414" spans="1:13" x14ac:dyDescent="0.25">
      <c r="A414" s="23" t="str">
        <f>IF(vdata_hours!A413=0,"",vdata_hours!A413)</f>
        <v/>
      </c>
      <c r="B414" s="23" t="str">
        <f>IFERROR(INDEX(vdata_regressors!$A$1:$L$2000,MATCH($A414,vdata_regressors!$A$2:$A$2000,0)+1,MATCH(B$2,vdata_regressors!$A$1:$R$1,0)),"")</f>
        <v/>
      </c>
      <c r="C414" s="23" t="str">
        <f>IFERROR(INDEX(vdata_regressors!$A$1:$L$2000,MATCH($A414,vdata_regressors!$A$2:$A$2000,0)+1,MATCH(C$2,vdata_regressors!$A$1:$R$1,0)),"")</f>
        <v/>
      </c>
      <c r="D414" s="23" t="str">
        <f>IFERROR(INDEX(vdata_regressors!$A$1:$L$2000,MATCH($A414,vdata_regressors!$A$2:$A$2000,0)+1,MATCH(D$2,vdata_regressors!$A$1:$R$1,0)),"")</f>
        <v/>
      </c>
      <c r="E414" s="23" t="str">
        <f>IFERROR(INDEX(vdata_regressors!$A$1:$L$2000,MATCH($A414,vdata_regressors!$A$2:$A$2000,0)+1,MATCH(E$2,vdata_regressors!$A$1:$R$1,0)),"")</f>
        <v/>
      </c>
      <c r="F414" s="23" t="str">
        <f>IFERROR(INDEX(vdata_regressors!$A$1:$L$2000,MATCH($A414,vdata_regressors!$A$2:$A$2000,0)+1,MATCH(F$2,vdata_regressors!$A$1:$R$1,0)),"")</f>
        <v/>
      </c>
      <c r="G414" s="23" t="str">
        <f>IFERROR(INDEX(vdata_regressors!$A$1:$L$2000,MATCH($A414,vdata_regressors!$A$2:$A$2000,0)+1,MATCH(G$2,vdata_regressors!$A$1:$R$1,0)),"")</f>
        <v/>
      </c>
      <c r="H414" s="23" t="str">
        <f>IFERROR(INDEX(vdata_regressors!$A$1:$L$2000,MATCH($A414,vdata_regressors!$A$2:$A$2000,0)+1,MATCH(H$2,vdata_regressors!$A$1:$R$1,0)),"")</f>
        <v/>
      </c>
      <c r="I414" s="23" t="str">
        <f>IFERROR(INDEX(vdata_regressors!$A$1:$L$2000,MATCH($A414,vdata_regressors!$A$2:$A$2000,0)+1,MATCH(I$2,vdata_regressors!$A$1:$R$1,0)),"")</f>
        <v/>
      </c>
      <c r="J414" s="23" t="str">
        <f>IFERROR(INDEX(vdata_regressors!$A$1:$L$2000,MATCH($A414,vdata_regressors!$A$2:$A$2000,0)+1,MATCH(J$2,vdata_regressors!$A$1:$R$1,0)),"")</f>
        <v/>
      </c>
      <c r="K414" s="23" t="str">
        <f>IFERROR(INDEX(vdata_regressors!$A$1:$L$2000,MATCH($A414,vdata_regressors!$A$2:$A$2000,0)+1,MATCH(K$2,vdata_regressors!$A$1:$R$1,0)),"")</f>
        <v/>
      </c>
      <c r="L414" s="23" t="str">
        <f>IFERROR(INDEX(vdata_regressors!$A$1:$L$2000,MATCH($A414,vdata_regressors!$A$2:$A$2000,0)+1,MATCH(L$2,vdata_regressors!$A$1:$R$1,0)),"")</f>
        <v/>
      </c>
      <c r="M414" s="23" t="str">
        <f>IFERROR(VLOOKUP(A414,vdata_hours!$A$2:$B$1000,2,FALSE),"")</f>
        <v/>
      </c>
    </row>
    <row r="415" spans="1:13" x14ac:dyDescent="0.25">
      <c r="A415" s="23" t="str">
        <f>IF(vdata_hours!A414=0,"",vdata_hours!A414)</f>
        <v/>
      </c>
      <c r="B415" s="23" t="str">
        <f>IFERROR(INDEX(vdata_regressors!$A$1:$L$2000,MATCH($A415,vdata_regressors!$A$2:$A$2000,0)+1,MATCH(B$2,vdata_regressors!$A$1:$R$1,0)),"")</f>
        <v/>
      </c>
      <c r="C415" s="23" t="str">
        <f>IFERROR(INDEX(vdata_regressors!$A$1:$L$2000,MATCH($A415,vdata_regressors!$A$2:$A$2000,0)+1,MATCH(C$2,vdata_regressors!$A$1:$R$1,0)),"")</f>
        <v/>
      </c>
      <c r="D415" s="23" t="str">
        <f>IFERROR(INDEX(vdata_regressors!$A$1:$L$2000,MATCH($A415,vdata_regressors!$A$2:$A$2000,0)+1,MATCH(D$2,vdata_regressors!$A$1:$R$1,0)),"")</f>
        <v/>
      </c>
      <c r="E415" s="23" t="str">
        <f>IFERROR(INDEX(vdata_regressors!$A$1:$L$2000,MATCH($A415,vdata_regressors!$A$2:$A$2000,0)+1,MATCH(E$2,vdata_regressors!$A$1:$R$1,0)),"")</f>
        <v/>
      </c>
      <c r="F415" s="23" t="str">
        <f>IFERROR(INDEX(vdata_regressors!$A$1:$L$2000,MATCH($A415,vdata_regressors!$A$2:$A$2000,0)+1,MATCH(F$2,vdata_regressors!$A$1:$R$1,0)),"")</f>
        <v/>
      </c>
      <c r="G415" s="23" t="str">
        <f>IFERROR(INDEX(vdata_regressors!$A$1:$L$2000,MATCH($A415,vdata_regressors!$A$2:$A$2000,0)+1,MATCH(G$2,vdata_regressors!$A$1:$R$1,0)),"")</f>
        <v/>
      </c>
      <c r="H415" s="23" t="str">
        <f>IFERROR(INDEX(vdata_regressors!$A$1:$L$2000,MATCH($A415,vdata_regressors!$A$2:$A$2000,0)+1,MATCH(H$2,vdata_regressors!$A$1:$R$1,0)),"")</f>
        <v/>
      </c>
      <c r="I415" s="23" t="str">
        <f>IFERROR(INDEX(vdata_regressors!$A$1:$L$2000,MATCH($A415,vdata_regressors!$A$2:$A$2000,0)+1,MATCH(I$2,vdata_regressors!$A$1:$R$1,0)),"")</f>
        <v/>
      </c>
      <c r="J415" s="23" t="str">
        <f>IFERROR(INDEX(vdata_regressors!$A$1:$L$2000,MATCH($A415,vdata_regressors!$A$2:$A$2000,0)+1,MATCH(J$2,vdata_regressors!$A$1:$R$1,0)),"")</f>
        <v/>
      </c>
      <c r="K415" s="23" t="str">
        <f>IFERROR(INDEX(vdata_regressors!$A$1:$L$2000,MATCH($A415,vdata_regressors!$A$2:$A$2000,0)+1,MATCH(K$2,vdata_regressors!$A$1:$R$1,0)),"")</f>
        <v/>
      </c>
      <c r="L415" s="23" t="str">
        <f>IFERROR(INDEX(vdata_regressors!$A$1:$L$2000,MATCH($A415,vdata_regressors!$A$2:$A$2000,0)+1,MATCH(L$2,vdata_regressors!$A$1:$R$1,0)),"")</f>
        <v/>
      </c>
      <c r="M415" s="23" t="str">
        <f>IFERROR(VLOOKUP(A415,vdata_hours!$A$2:$B$1000,2,FALSE),"")</f>
        <v/>
      </c>
    </row>
    <row r="416" spans="1:13" x14ac:dyDescent="0.25">
      <c r="A416" s="23" t="str">
        <f>IF(vdata_hours!A415=0,"",vdata_hours!A415)</f>
        <v/>
      </c>
      <c r="B416" s="23" t="str">
        <f>IFERROR(INDEX(vdata_regressors!$A$1:$L$2000,MATCH($A416,vdata_regressors!$A$2:$A$2000,0)+1,MATCH(B$2,vdata_regressors!$A$1:$R$1,0)),"")</f>
        <v/>
      </c>
      <c r="C416" s="23" t="str">
        <f>IFERROR(INDEX(vdata_regressors!$A$1:$L$2000,MATCH($A416,vdata_regressors!$A$2:$A$2000,0)+1,MATCH(C$2,vdata_regressors!$A$1:$R$1,0)),"")</f>
        <v/>
      </c>
      <c r="D416" s="23" t="str">
        <f>IFERROR(INDEX(vdata_regressors!$A$1:$L$2000,MATCH($A416,vdata_regressors!$A$2:$A$2000,0)+1,MATCH(D$2,vdata_regressors!$A$1:$R$1,0)),"")</f>
        <v/>
      </c>
      <c r="E416" s="23" t="str">
        <f>IFERROR(INDEX(vdata_regressors!$A$1:$L$2000,MATCH($A416,vdata_regressors!$A$2:$A$2000,0)+1,MATCH(E$2,vdata_regressors!$A$1:$R$1,0)),"")</f>
        <v/>
      </c>
      <c r="F416" s="23" t="str">
        <f>IFERROR(INDEX(vdata_regressors!$A$1:$L$2000,MATCH($A416,vdata_regressors!$A$2:$A$2000,0)+1,MATCH(F$2,vdata_regressors!$A$1:$R$1,0)),"")</f>
        <v/>
      </c>
      <c r="G416" s="23" t="str">
        <f>IFERROR(INDEX(vdata_regressors!$A$1:$L$2000,MATCH($A416,vdata_regressors!$A$2:$A$2000,0)+1,MATCH(G$2,vdata_regressors!$A$1:$R$1,0)),"")</f>
        <v/>
      </c>
      <c r="H416" s="23" t="str">
        <f>IFERROR(INDEX(vdata_regressors!$A$1:$L$2000,MATCH($A416,vdata_regressors!$A$2:$A$2000,0)+1,MATCH(H$2,vdata_regressors!$A$1:$R$1,0)),"")</f>
        <v/>
      </c>
      <c r="I416" s="23" t="str">
        <f>IFERROR(INDEX(vdata_regressors!$A$1:$L$2000,MATCH($A416,vdata_regressors!$A$2:$A$2000,0)+1,MATCH(I$2,vdata_regressors!$A$1:$R$1,0)),"")</f>
        <v/>
      </c>
      <c r="J416" s="23" t="str">
        <f>IFERROR(INDEX(vdata_regressors!$A$1:$L$2000,MATCH($A416,vdata_regressors!$A$2:$A$2000,0)+1,MATCH(J$2,vdata_regressors!$A$1:$R$1,0)),"")</f>
        <v/>
      </c>
      <c r="K416" s="23" t="str">
        <f>IFERROR(INDEX(vdata_regressors!$A$1:$L$2000,MATCH($A416,vdata_regressors!$A$2:$A$2000,0)+1,MATCH(K$2,vdata_regressors!$A$1:$R$1,0)),"")</f>
        <v/>
      </c>
      <c r="L416" s="23" t="str">
        <f>IFERROR(INDEX(vdata_regressors!$A$1:$L$2000,MATCH($A416,vdata_regressors!$A$2:$A$2000,0)+1,MATCH(L$2,vdata_regressors!$A$1:$R$1,0)),"")</f>
        <v/>
      </c>
      <c r="M416" s="23" t="str">
        <f>IFERROR(VLOOKUP(A416,vdata_hours!$A$2:$B$1000,2,FALSE),"")</f>
        <v/>
      </c>
    </row>
    <row r="417" spans="1:13" x14ac:dyDescent="0.25">
      <c r="A417" s="23" t="str">
        <f>IF(vdata_hours!A416=0,"",vdata_hours!A416)</f>
        <v/>
      </c>
      <c r="B417" s="23" t="str">
        <f>IFERROR(INDEX(vdata_regressors!$A$1:$L$2000,MATCH($A417,vdata_regressors!$A$2:$A$2000,0)+1,MATCH(B$2,vdata_regressors!$A$1:$R$1,0)),"")</f>
        <v/>
      </c>
      <c r="C417" s="23" t="str">
        <f>IFERROR(INDEX(vdata_regressors!$A$1:$L$2000,MATCH($A417,vdata_regressors!$A$2:$A$2000,0)+1,MATCH(C$2,vdata_regressors!$A$1:$R$1,0)),"")</f>
        <v/>
      </c>
      <c r="D417" s="23" t="str">
        <f>IFERROR(INDEX(vdata_regressors!$A$1:$L$2000,MATCH($A417,vdata_regressors!$A$2:$A$2000,0)+1,MATCH(D$2,vdata_regressors!$A$1:$R$1,0)),"")</f>
        <v/>
      </c>
      <c r="E417" s="23" t="str">
        <f>IFERROR(INDEX(vdata_regressors!$A$1:$L$2000,MATCH($A417,vdata_regressors!$A$2:$A$2000,0)+1,MATCH(E$2,vdata_regressors!$A$1:$R$1,0)),"")</f>
        <v/>
      </c>
      <c r="F417" s="23" t="str">
        <f>IFERROR(INDEX(vdata_regressors!$A$1:$L$2000,MATCH($A417,vdata_regressors!$A$2:$A$2000,0)+1,MATCH(F$2,vdata_regressors!$A$1:$R$1,0)),"")</f>
        <v/>
      </c>
      <c r="G417" s="23" t="str">
        <f>IFERROR(INDEX(vdata_regressors!$A$1:$L$2000,MATCH($A417,vdata_regressors!$A$2:$A$2000,0)+1,MATCH(G$2,vdata_regressors!$A$1:$R$1,0)),"")</f>
        <v/>
      </c>
      <c r="H417" s="23" t="str">
        <f>IFERROR(INDEX(vdata_regressors!$A$1:$L$2000,MATCH($A417,vdata_regressors!$A$2:$A$2000,0)+1,MATCH(H$2,vdata_regressors!$A$1:$R$1,0)),"")</f>
        <v/>
      </c>
      <c r="I417" s="23" t="str">
        <f>IFERROR(INDEX(vdata_regressors!$A$1:$L$2000,MATCH($A417,vdata_regressors!$A$2:$A$2000,0)+1,MATCH(I$2,vdata_regressors!$A$1:$R$1,0)),"")</f>
        <v/>
      </c>
      <c r="J417" s="23" t="str">
        <f>IFERROR(INDEX(vdata_regressors!$A$1:$L$2000,MATCH($A417,vdata_regressors!$A$2:$A$2000,0)+1,MATCH(J$2,vdata_regressors!$A$1:$R$1,0)),"")</f>
        <v/>
      </c>
      <c r="K417" s="23" t="str">
        <f>IFERROR(INDEX(vdata_regressors!$A$1:$L$2000,MATCH($A417,vdata_regressors!$A$2:$A$2000,0)+1,MATCH(K$2,vdata_regressors!$A$1:$R$1,0)),"")</f>
        <v/>
      </c>
      <c r="L417" s="23" t="str">
        <f>IFERROR(INDEX(vdata_regressors!$A$1:$L$2000,MATCH($A417,vdata_regressors!$A$2:$A$2000,0)+1,MATCH(L$2,vdata_regressors!$A$1:$R$1,0)),"")</f>
        <v/>
      </c>
      <c r="M417" s="23" t="str">
        <f>IFERROR(VLOOKUP(A417,vdata_hours!$A$2:$B$1000,2,FALSE),"")</f>
        <v/>
      </c>
    </row>
    <row r="418" spans="1:13" x14ac:dyDescent="0.25">
      <c r="A418" s="23" t="str">
        <f>IF(vdata_hours!A417=0,"",vdata_hours!A417)</f>
        <v/>
      </c>
      <c r="B418" s="23" t="str">
        <f>IFERROR(INDEX(vdata_regressors!$A$1:$L$2000,MATCH($A418,vdata_regressors!$A$2:$A$2000,0)+1,MATCH(B$2,vdata_regressors!$A$1:$R$1,0)),"")</f>
        <v/>
      </c>
      <c r="C418" s="23" t="str">
        <f>IFERROR(INDEX(vdata_regressors!$A$1:$L$2000,MATCH($A418,vdata_regressors!$A$2:$A$2000,0)+1,MATCH(C$2,vdata_regressors!$A$1:$R$1,0)),"")</f>
        <v/>
      </c>
      <c r="D418" s="23" t="str">
        <f>IFERROR(INDEX(vdata_regressors!$A$1:$L$2000,MATCH($A418,vdata_regressors!$A$2:$A$2000,0)+1,MATCH(D$2,vdata_regressors!$A$1:$R$1,0)),"")</f>
        <v/>
      </c>
      <c r="E418" s="23" t="str">
        <f>IFERROR(INDEX(vdata_regressors!$A$1:$L$2000,MATCH($A418,vdata_regressors!$A$2:$A$2000,0)+1,MATCH(E$2,vdata_regressors!$A$1:$R$1,0)),"")</f>
        <v/>
      </c>
      <c r="F418" s="23" t="str">
        <f>IFERROR(INDEX(vdata_regressors!$A$1:$L$2000,MATCH($A418,vdata_regressors!$A$2:$A$2000,0)+1,MATCH(F$2,vdata_regressors!$A$1:$R$1,0)),"")</f>
        <v/>
      </c>
      <c r="G418" s="23" t="str">
        <f>IFERROR(INDEX(vdata_regressors!$A$1:$L$2000,MATCH($A418,vdata_regressors!$A$2:$A$2000,0)+1,MATCH(G$2,vdata_regressors!$A$1:$R$1,0)),"")</f>
        <v/>
      </c>
      <c r="H418" s="23" t="str">
        <f>IFERROR(INDEX(vdata_regressors!$A$1:$L$2000,MATCH($A418,vdata_regressors!$A$2:$A$2000,0)+1,MATCH(H$2,vdata_regressors!$A$1:$R$1,0)),"")</f>
        <v/>
      </c>
      <c r="I418" s="23" t="str">
        <f>IFERROR(INDEX(vdata_regressors!$A$1:$L$2000,MATCH($A418,vdata_regressors!$A$2:$A$2000,0)+1,MATCH(I$2,vdata_regressors!$A$1:$R$1,0)),"")</f>
        <v/>
      </c>
      <c r="J418" s="23" t="str">
        <f>IFERROR(INDEX(vdata_regressors!$A$1:$L$2000,MATCH($A418,vdata_regressors!$A$2:$A$2000,0)+1,MATCH(J$2,vdata_regressors!$A$1:$R$1,0)),"")</f>
        <v/>
      </c>
      <c r="K418" s="23" t="str">
        <f>IFERROR(INDEX(vdata_regressors!$A$1:$L$2000,MATCH($A418,vdata_regressors!$A$2:$A$2000,0)+1,MATCH(K$2,vdata_regressors!$A$1:$R$1,0)),"")</f>
        <v/>
      </c>
      <c r="L418" s="23" t="str">
        <f>IFERROR(INDEX(vdata_regressors!$A$1:$L$2000,MATCH($A418,vdata_regressors!$A$2:$A$2000,0)+1,MATCH(L$2,vdata_regressors!$A$1:$R$1,0)),"")</f>
        <v/>
      </c>
      <c r="M418" s="23" t="str">
        <f>IFERROR(VLOOKUP(A418,vdata_hours!$A$2:$B$1000,2,FALSE),"")</f>
        <v/>
      </c>
    </row>
    <row r="419" spans="1:13" x14ac:dyDescent="0.25">
      <c r="A419" s="23" t="str">
        <f>IF(vdata_hours!A418=0,"",vdata_hours!A418)</f>
        <v/>
      </c>
      <c r="B419" s="23" t="str">
        <f>IFERROR(INDEX(vdata_regressors!$A$1:$L$2000,MATCH($A419,vdata_regressors!$A$2:$A$2000,0)+1,MATCH(B$2,vdata_regressors!$A$1:$R$1,0)),"")</f>
        <v/>
      </c>
      <c r="C419" s="23" t="str">
        <f>IFERROR(INDEX(vdata_regressors!$A$1:$L$2000,MATCH($A419,vdata_regressors!$A$2:$A$2000,0)+1,MATCH(C$2,vdata_regressors!$A$1:$R$1,0)),"")</f>
        <v/>
      </c>
      <c r="D419" s="23" t="str">
        <f>IFERROR(INDEX(vdata_regressors!$A$1:$L$2000,MATCH($A419,vdata_regressors!$A$2:$A$2000,0)+1,MATCH(D$2,vdata_regressors!$A$1:$R$1,0)),"")</f>
        <v/>
      </c>
      <c r="E419" s="23" t="str">
        <f>IFERROR(INDEX(vdata_regressors!$A$1:$L$2000,MATCH($A419,vdata_regressors!$A$2:$A$2000,0)+1,MATCH(E$2,vdata_regressors!$A$1:$R$1,0)),"")</f>
        <v/>
      </c>
      <c r="F419" s="23" t="str">
        <f>IFERROR(INDEX(vdata_regressors!$A$1:$L$2000,MATCH($A419,vdata_regressors!$A$2:$A$2000,0)+1,MATCH(F$2,vdata_regressors!$A$1:$R$1,0)),"")</f>
        <v/>
      </c>
      <c r="G419" s="23" t="str">
        <f>IFERROR(INDEX(vdata_regressors!$A$1:$L$2000,MATCH($A419,vdata_regressors!$A$2:$A$2000,0)+1,MATCH(G$2,vdata_regressors!$A$1:$R$1,0)),"")</f>
        <v/>
      </c>
      <c r="H419" s="23" t="str">
        <f>IFERROR(INDEX(vdata_regressors!$A$1:$L$2000,MATCH($A419,vdata_regressors!$A$2:$A$2000,0)+1,MATCH(H$2,vdata_regressors!$A$1:$R$1,0)),"")</f>
        <v/>
      </c>
      <c r="I419" s="23" t="str">
        <f>IFERROR(INDEX(vdata_regressors!$A$1:$L$2000,MATCH($A419,vdata_regressors!$A$2:$A$2000,0)+1,MATCH(I$2,vdata_regressors!$A$1:$R$1,0)),"")</f>
        <v/>
      </c>
      <c r="J419" s="23" t="str">
        <f>IFERROR(INDEX(vdata_regressors!$A$1:$L$2000,MATCH($A419,vdata_regressors!$A$2:$A$2000,0)+1,MATCH(J$2,vdata_regressors!$A$1:$R$1,0)),"")</f>
        <v/>
      </c>
      <c r="K419" s="23" t="str">
        <f>IFERROR(INDEX(vdata_regressors!$A$1:$L$2000,MATCH($A419,vdata_regressors!$A$2:$A$2000,0)+1,MATCH(K$2,vdata_regressors!$A$1:$R$1,0)),"")</f>
        <v/>
      </c>
      <c r="L419" s="23" t="str">
        <f>IFERROR(INDEX(vdata_regressors!$A$1:$L$2000,MATCH($A419,vdata_regressors!$A$2:$A$2000,0)+1,MATCH(L$2,vdata_regressors!$A$1:$R$1,0)),"")</f>
        <v/>
      </c>
      <c r="M419" s="23" t="str">
        <f>IFERROR(VLOOKUP(A419,vdata_hours!$A$2:$B$1000,2,FALSE),"")</f>
        <v/>
      </c>
    </row>
    <row r="420" spans="1:13" x14ac:dyDescent="0.25">
      <c r="A420" s="23" t="str">
        <f>IF(vdata_hours!A419=0,"",vdata_hours!A419)</f>
        <v/>
      </c>
      <c r="B420" s="23" t="str">
        <f>IFERROR(INDEX(vdata_regressors!$A$1:$L$2000,MATCH($A420,vdata_regressors!$A$2:$A$2000,0)+1,MATCH(B$2,vdata_regressors!$A$1:$R$1,0)),"")</f>
        <v/>
      </c>
      <c r="C420" s="23" t="str">
        <f>IFERROR(INDEX(vdata_regressors!$A$1:$L$2000,MATCH($A420,vdata_regressors!$A$2:$A$2000,0)+1,MATCH(C$2,vdata_regressors!$A$1:$R$1,0)),"")</f>
        <v/>
      </c>
      <c r="D420" s="23" t="str">
        <f>IFERROR(INDEX(vdata_regressors!$A$1:$L$2000,MATCH($A420,vdata_regressors!$A$2:$A$2000,0)+1,MATCH(D$2,vdata_regressors!$A$1:$R$1,0)),"")</f>
        <v/>
      </c>
      <c r="E420" s="23" t="str">
        <f>IFERROR(INDEX(vdata_regressors!$A$1:$L$2000,MATCH($A420,vdata_regressors!$A$2:$A$2000,0)+1,MATCH(E$2,vdata_regressors!$A$1:$R$1,0)),"")</f>
        <v/>
      </c>
      <c r="F420" s="23" t="str">
        <f>IFERROR(INDEX(vdata_regressors!$A$1:$L$2000,MATCH($A420,vdata_regressors!$A$2:$A$2000,0)+1,MATCH(F$2,vdata_regressors!$A$1:$R$1,0)),"")</f>
        <v/>
      </c>
      <c r="G420" s="23" t="str">
        <f>IFERROR(INDEX(vdata_regressors!$A$1:$L$2000,MATCH($A420,vdata_regressors!$A$2:$A$2000,0)+1,MATCH(G$2,vdata_regressors!$A$1:$R$1,0)),"")</f>
        <v/>
      </c>
      <c r="H420" s="23" t="str">
        <f>IFERROR(INDEX(vdata_regressors!$A$1:$L$2000,MATCH($A420,vdata_regressors!$A$2:$A$2000,0)+1,MATCH(H$2,vdata_regressors!$A$1:$R$1,0)),"")</f>
        <v/>
      </c>
      <c r="I420" s="23" t="str">
        <f>IFERROR(INDEX(vdata_regressors!$A$1:$L$2000,MATCH($A420,vdata_regressors!$A$2:$A$2000,0)+1,MATCH(I$2,vdata_regressors!$A$1:$R$1,0)),"")</f>
        <v/>
      </c>
      <c r="J420" s="23" t="str">
        <f>IFERROR(INDEX(vdata_regressors!$A$1:$L$2000,MATCH($A420,vdata_regressors!$A$2:$A$2000,0)+1,MATCH(J$2,vdata_regressors!$A$1:$R$1,0)),"")</f>
        <v/>
      </c>
      <c r="K420" s="23" t="str">
        <f>IFERROR(INDEX(vdata_regressors!$A$1:$L$2000,MATCH($A420,vdata_regressors!$A$2:$A$2000,0)+1,MATCH(K$2,vdata_regressors!$A$1:$R$1,0)),"")</f>
        <v/>
      </c>
      <c r="L420" s="23" t="str">
        <f>IFERROR(INDEX(vdata_regressors!$A$1:$L$2000,MATCH($A420,vdata_regressors!$A$2:$A$2000,0)+1,MATCH(L$2,vdata_regressors!$A$1:$R$1,0)),"")</f>
        <v/>
      </c>
      <c r="M420" s="23" t="str">
        <f>IFERROR(VLOOKUP(A420,vdata_hours!$A$2:$B$1000,2,FALSE),"")</f>
        <v/>
      </c>
    </row>
    <row r="421" spans="1:13" x14ac:dyDescent="0.25">
      <c r="A421" s="23" t="str">
        <f>IF(vdata_hours!A420=0,"",vdata_hours!A420)</f>
        <v/>
      </c>
      <c r="B421" s="23" t="str">
        <f>IFERROR(INDEX(vdata_regressors!$A$1:$L$2000,MATCH($A421,vdata_regressors!$A$2:$A$2000,0)+1,MATCH(B$2,vdata_regressors!$A$1:$R$1,0)),"")</f>
        <v/>
      </c>
      <c r="C421" s="23" t="str">
        <f>IFERROR(INDEX(vdata_regressors!$A$1:$L$2000,MATCH($A421,vdata_regressors!$A$2:$A$2000,0)+1,MATCH(C$2,vdata_regressors!$A$1:$R$1,0)),"")</f>
        <v/>
      </c>
      <c r="D421" s="23" t="str">
        <f>IFERROR(INDEX(vdata_regressors!$A$1:$L$2000,MATCH($A421,vdata_regressors!$A$2:$A$2000,0)+1,MATCH(D$2,vdata_regressors!$A$1:$R$1,0)),"")</f>
        <v/>
      </c>
      <c r="E421" s="23" t="str">
        <f>IFERROR(INDEX(vdata_regressors!$A$1:$L$2000,MATCH($A421,vdata_regressors!$A$2:$A$2000,0)+1,MATCH(E$2,vdata_regressors!$A$1:$R$1,0)),"")</f>
        <v/>
      </c>
      <c r="F421" s="23" t="str">
        <f>IFERROR(INDEX(vdata_regressors!$A$1:$L$2000,MATCH($A421,vdata_regressors!$A$2:$A$2000,0)+1,MATCH(F$2,vdata_regressors!$A$1:$R$1,0)),"")</f>
        <v/>
      </c>
      <c r="G421" s="23" t="str">
        <f>IFERROR(INDEX(vdata_regressors!$A$1:$L$2000,MATCH($A421,vdata_regressors!$A$2:$A$2000,0)+1,MATCH(G$2,vdata_regressors!$A$1:$R$1,0)),"")</f>
        <v/>
      </c>
      <c r="H421" s="23" t="str">
        <f>IFERROR(INDEX(vdata_regressors!$A$1:$L$2000,MATCH($A421,vdata_regressors!$A$2:$A$2000,0)+1,MATCH(H$2,vdata_regressors!$A$1:$R$1,0)),"")</f>
        <v/>
      </c>
      <c r="I421" s="23" t="str">
        <f>IFERROR(INDEX(vdata_regressors!$A$1:$L$2000,MATCH($A421,vdata_regressors!$A$2:$A$2000,0)+1,MATCH(I$2,vdata_regressors!$A$1:$R$1,0)),"")</f>
        <v/>
      </c>
      <c r="J421" s="23" t="str">
        <f>IFERROR(INDEX(vdata_regressors!$A$1:$L$2000,MATCH($A421,vdata_regressors!$A$2:$A$2000,0)+1,MATCH(J$2,vdata_regressors!$A$1:$R$1,0)),"")</f>
        <v/>
      </c>
      <c r="K421" s="23" t="str">
        <f>IFERROR(INDEX(vdata_regressors!$A$1:$L$2000,MATCH($A421,vdata_regressors!$A$2:$A$2000,0)+1,MATCH(K$2,vdata_regressors!$A$1:$R$1,0)),"")</f>
        <v/>
      </c>
      <c r="L421" s="23" t="str">
        <f>IFERROR(INDEX(vdata_regressors!$A$1:$L$2000,MATCH($A421,vdata_regressors!$A$2:$A$2000,0)+1,MATCH(L$2,vdata_regressors!$A$1:$R$1,0)),"")</f>
        <v/>
      </c>
      <c r="M421" s="23" t="str">
        <f>IFERROR(VLOOKUP(A421,vdata_hours!$A$2:$B$1000,2,FALSE),"")</f>
        <v/>
      </c>
    </row>
    <row r="422" spans="1:13" x14ac:dyDescent="0.25">
      <c r="A422" s="23" t="str">
        <f>IF(vdata_hours!A421=0,"",vdata_hours!A421)</f>
        <v/>
      </c>
      <c r="B422" s="23" t="str">
        <f>IFERROR(INDEX(vdata_regressors!$A$1:$L$2000,MATCH($A422,vdata_regressors!$A$2:$A$2000,0)+1,MATCH(B$2,vdata_regressors!$A$1:$R$1,0)),"")</f>
        <v/>
      </c>
      <c r="C422" s="23" t="str">
        <f>IFERROR(INDEX(vdata_regressors!$A$1:$L$2000,MATCH($A422,vdata_regressors!$A$2:$A$2000,0)+1,MATCH(C$2,vdata_regressors!$A$1:$R$1,0)),"")</f>
        <v/>
      </c>
      <c r="D422" s="23" t="str">
        <f>IFERROR(INDEX(vdata_regressors!$A$1:$L$2000,MATCH($A422,vdata_regressors!$A$2:$A$2000,0)+1,MATCH(D$2,vdata_regressors!$A$1:$R$1,0)),"")</f>
        <v/>
      </c>
      <c r="E422" s="23" t="str">
        <f>IFERROR(INDEX(vdata_regressors!$A$1:$L$2000,MATCH($A422,vdata_regressors!$A$2:$A$2000,0)+1,MATCH(E$2,vdata_regressors!$A$1:$R$1,0)),"")</f>
        <v/>
      </c>
      <c r="F422" s="23" t="str">
        <f>IFERROR(INDEX(vdata_regressors!$A$1:$L$2000,MATCH($A422,vdata_regressors!$A$2:$A$2000,0)+1,MATCH(F$2,vdata_regressors!$A$1:$R$1,0)),"")</f>
        <v/>
      </c>
      <c r="G422" s="23" t="str">
        <f>IFERROR(INDEX(vdata_regressors!$A$1:$L$2000,MATCH($A422,vdata_regressors!$A$2:$A$2000,0)+1,MATCH(G$2,vdata_regressors!$A$1:$R$1,0)),"")</f>
        <v/>
      </c>
      <c r="H422" s="23" t="str">
        <f>IFERROR(INDEX(vdata_regressors!$A$1:$L$2000,MATCH($A422,vdata_regressors!$A$2:$A$2000,0)+1,MATCH(H$2,vdata_regressors!$A$1:$R$1,0)),"")</f>
        <v/>
      </c>
      <c r="I422" s="23" t="str">
        <f>IFERROR(INDEX(vdata_regressors!$A$1:$L$2000,MATCH($A422,vdata_regressors!$A$2:$A$2000,0)+1,MATCH(I$2,vdata_regressors!$A$1:$R$1,0)),"")</f>
        <v/>
      </c>
      <c r="J422" s="23" t="str">
        <f>IFERROR(INDEX(vdata_regressors!$A$1:$L$2000,MATCH($A422,vdata_regressors!$A$2:$A$2000,0)+1,MATCH(J$2,vdata_regressors!$A$1:$R$1,0)),"")</f>
        <v/>
      </c>
      <c r="K422" s="23" t="str">
        <f>IFERROR(INDEX(vdata_regressors!$A$1:$L$2000,MATCH($A422,vdata_regressors!$A$2:$A$2000,0)+1,MATCH(K$2,vdata_regressors!$A$1:$R$1,0)),"")</f>
        <v/>
      </c>
      <c r="L422" s="23" t="str">
        <f>IFERROR(INDEX(vdata_regressors!$A$1:$L$2000,MATCH($A422,vdata_regressors!$A$2:$A$2000,0)+1,MATCH(L$2,vdata_regressors!$A$1:$R$1,0)),"")</f>
        <v/>
      </c>
      <c r="M422" s="23" t="str">
        <f>IFERROR(VLOOKUP(A422,vdata_hours!$A$2:$B$1000,2,FALSE),"")</f>
        <v/>
      </c>
    </row>
    <row r="423" spans="1:13" x14ac:dyDescent="0.25">
      <c r="A423" s="23" t="str">
        <f>IF(vdata_hours!A422=0,"",vdata_hours!A422)</f>
        <v/>
      </c>
      <c r="B423" s="23" t="str">
        <f>IFERROR(INDEX(vdata_regressors!$A$1:$L$2000,MATCH($A423,vdata_regressors!$A$2:$A$2000,0)+1,MATCH(B$2,vdata_regressors!$A$1:$R$1,0)),"")</f>
        <v/>
      </c>
      <c r="C423" s="23" t="str">
        <f>IFERROR(INDEX(vdata_regressors!$A$1:$L$2000,MATCH($A423,vdata_regressors!$A$2:$A$2000,0)+1,MATCH(C$2,vdata_regressors!$A$1:$R$1,0)),"")</f>
        <v/>
      </c>
      <c r="D423" s="23" t="str">
        <f>IFERROR(INDEX(vdata_regressors!$A$1:$L$2000,MATCH($A423,vdata_regressors!$A$2:$A$2000,0)+1,MATCH(D$2,vdata_regressors!$A$1:$R$1,0)),"")</f>
        <v/>
      </c>
      <c r="E423" s="23" t="str">
        <f>IFERROR(INDEX(vdata_regressors!$A$1:$L$2000,MATCH($A423,vdata_regressors!$A$2:$A$2000,0)+1,MATCH(E$2,vdata_regressors!$A$1:$R$1,0)),"")</f>
        <v/>
      </c>
      <c r="F423" s="23" t="str">
        <f>IFERROR(INDEX(vdata_regressors!$A$1:$L$2000,MATCH($A423,vdata_regressors!$A$2:$A$2000,0)+1,MATCH(F$2,vdata_regressors!$A$1:$R$1,0)),"")</f>
        <v/>
      </c>
      <c r="G423" s="23" t="str">
        <f>IFERROR(INDEX(vdata_regressors!$A$1:$L$2000,MATCH($A423,vdata_regressors!$A$2:$A$2000,0)+1,MATCH(G$2,vdata_regressors!$A$1:$R$1,0)),"")</f>
        <v/>
      </c>
      <c r="H423" s="23" t="str">
        <f>IFERROR(INDEX(vdata_regressors!$A$1:$L$2000,MATCH($A423,vdata_regressors!$A$2:$A$2000,0)+1,MATCH(H$2,vdata_regressors!$A$1:$R$1,0)),"")</f>
        <v/>
      </c>
      <c r="I423" s="23" t="str">
        <f>IFERROR(INDEX(vdata_regressors!$A$1:$L$2000,MATCH($A423,vdata_regressors!$A$2:$A$2000,0)+1,MATCH(I$2,vdata_regressors!$A$1:$R$1,0)),"")</f>
        <v/>
      </c>
      <c r="J423" s="23" t="str">
        <f>IFERROR(INDEX(vdata_regressors!$A$1:$L$2000,MATCH($A423,vdata_regressors!$A$2:$A$2000,0)+1,MATCH(J$2,vdata_regressors!$A$1:$R$1,0)),"")</f>
        <v/>
      </c>
      <c r="K423" s="23" t="str">
        <f>IFERROR(INDEX(vdata_regressors!$A$1:$L$2000,MATCH($A423,vdata_regressors!$A$2:$A$2000,0)+1,MATCH(K$2,vdata_regressors!$A$1:$R$1,0)),"")</f>
        <v/>
      </c>
      <c r="L423" s="23" t="str">
        <f>IFERROR(INDEX(vdata_regressors!$A$1:$L$2000,MATCH($A423,vdata_regressors!$A$2:$A$2000,0)+1,MATCH(L$2,vdata_regressors!$A$1:$R$1,0)),"")</f>
        <v/>
      </c>
      <c r="M423" s="23" t="str">
        <f>IFERROR(VLOOKUP(A423,vdata_hours!$A$2:$B$1000,2,FALSE),"")</f>
        <v/>
      </c>
    </row>
    <row r="424" spans="1:13" x14ac:dyDescent="0.25">
      <c r="A424" s="23" t="str">
        <f>IF(vdata_hours!A423=0,"",vdata_hours!A423)</f>
        <v/>
      </c>
      <c r="B424" s="23" t="str">
        <f>IFERROR(INDEX(vdata_regressors!$A$1:$L$2000,MATCH($A424,vdata_regressors!$A$2:$A$2000,0)+1,MATCH(B$2,vdata_regressors!$A$1:$R$1,0)),"")</f>
        <v/>
      </c>
      <c r="C424" s="23" t="str">
        <f>IFERROR(INDEX(vdata_regressors!$A$1:$L$2000,MATCH($A424,vdata_regressors!$A$2:$A$2000,0)+1,MATCH(C$2,vdata_regressors!$A$1:$R$1,0)),"")</f>
        <v/>
      </c>
      <c r="D424" s="23" t="str">
        <f>IFERROR(INDEX(vdata_regressors!$A$1:$L$2000,MATCH($A424,vdata_regressors!$A$2:$A$2000,0)+1,MATCH(D$2,vdata_regressors!$A$1:$R$1,0)),"")</f>
        <v/>
      </c>
      <c r="E424" s="23" t="str">
        <f>IFERROR(INDEX(vdata_regressors!$A$1:$L$2000,MATCH($A424,vdata_regressors!$A$2:$A$2000,0)+1,MATCH(E$2,vdata_regressors!$A$1:$R$1,0)),"")</f>
        <v/>
      </c>
      <c r="F424" s="23" t="str">
        <f>IFERROR(INDEX(vdata_regressors!$A$1:$L$2000,MATCH($A424,vdata_regressors!$A$2:$A$2000,0)+1,MATCH(F$2,vdata_regressors!$A$1:$R$1,0)),"")</f>
        <v/>
      </c>
      <c r="G424" s="23" t="str">
        <f>IFERROR(INDEX(vdata_regressors!$A$1:$L$2000,MATCH($A424,vdata_regressors!$A$2:$A$2000,0)+1,MATCH(G$2,vdata_regressors!$A$1:$R$1,0)),"")</f>
        <v/>
      </c>
      <c r="H424" s="23" t="str">
        <f>IFERROR(INDEX(vdata_regressors!$A$1:$L$2000,MATCH($A424,vdata_regressors!$A$2:$A$2000,0)+1,MATCH(H$2,vdata_regressors!$A$1:$R$1,0)),"")</f>
        <v/>
      </c>
      <c r="I424" s="23" t="str">
        <f>IFERROR(INDEX(vdata_regressors!$A$1:$L$2000,MATCH($A424,vdata_regressors!$A$2:$A$2000,0)+1,MATCH(I$2,vdata_regressors!$A$1:$R$1,0)),"")</f>
        <v/>
      </c>
      <c r="J424" s="23" t="str">
        <f>IFERROR(INDEX(vdata_regressors!$A$1:$L$2000,MATCH($A424,vdata_regressors!$A$2:$A$2000,0)+1,MATCH(J$2,vdata_regressors!$A$1:$R$1,0)),"")</f>
        <v/>
      </c>
      <c r="K424" s="23" t="str">
        <f>IFERROR(INDEX(vdata_regressors!$A$1:$L$2000,MATCH($A424,vdata_regressors!$A$2:$A$2000,0)+1,MATCH(K$2,vdata_regressors!$A$1:$R$1,0)),"")</f>
        <v/>
      </c>
      <c r="L424" s="23" t="str">
        <f>IFERROR(INDEX(vdata_regressors!$A$1:$L$2000,MATCH($A424,vdata_regressors!$A$2:$A$2000,0)+1,MATCH(L$2,vdata_regressors!$A$1:$R$1,0)),"")</f>
        <v/>
      </c>
      <c r="M424" s="23" t="str">
        <f>IFERROR(VLOOKUP(A424,vdata_hours!$A$2:$B$1000,2,FALSE),"")</f>
        <v/>
      </c>
    </row>
    <row r="425" spans="1:13" x14ac:dyDescent="0.25">
      <c r="A425" s="23" t="str">
        <f>IF(vdata_hours!A424=0,"",vdata_hours!A424)</f>
        <v/>
      </c>
      <c r="B425" s="23" t="str">
        <f>IFERROR(INDEX(vdata_regressors!$A$1:$L$2000,MATCH($A425,vdata_regressors!$A$2:$A$2000,0)+1,MATCH(B$2,vdata_regressors!$A$1:$R$1,0)),"")</f>
        <v/>
      </c>
      <c r="C425" s="23" t="str">
        <f>IFERROR(INDEX(vdata_regressors!$A$1:$L$2000,MATCH($A425,vdata_regressors!$A$2:$A$2000,0)+1,MATCH(C$2,vdata_regressors!$A$1:$R$1,0)),"")</f>
        <v/>
      </c>
      <c r="D425" s="23" t="str">
        <f>IFERROR(INDEX(vdata_regressors!$A$1:$L$2000,MATCH($A425,vdata_regressors!$A$2:$A$2000,0)+1,MATCH(D$2,vdata_regressors!$A$1:$R$1,0)),"")</f>
        <v/>
      </c>
      <c r="E425" s="23" t="str">
        <f>IFERROR(INDEX(vdata_regressors!$A$1:$L$2000,MATCH($A425,vdata_regressors!$A$2:$A$2000,0)+1,MATCH(E$2,vdata_regressors!$A$1:$R$1,0)),"")</f>
        <v/>
      </c>
      <c r="F425" s="23" t="str">
        <f>IFERROR(INDEX(vdata_regressors!$A$1:$L$2000,MATCH($A425,vdata_regressors!$A$2:$A$2000,0)+1,MATCH(F$2,vdata_regressors!$A$1:$R$1,0)),"")</f>
        <v/>
      </c>
      <c r="G425" s="23" t="str">
        <f>IFERROR(INDEX(vdata_regressors!$A$1:$L$2000,MATCH($A425,vdata_regressors!$A$2:$A$2000,0)+1,MATCH(G$2,vdata_regressors!$A$1:$R$1,0)),"")</f>
        <v/>
      </c>
      <c r="H425" s="23" t="str">
        <f>IFERROR(INDEX(vdata_regressors!$A$1:$L$2000,MATCH($A425,vdata_regressors!$A$2:$A$2000,0)+1,MATCH(H$2,vdata_regressors!$A$1:$R$1,0)),"")</f>
        <v/>
      </c>
      <c r="I425" s="23" t="str">
        <f>IFERROR(INDEX(vdata_regressors!$A$1:$L$2000,MATCH($A425,vdata_regressors!$A$2:$A$2000,0)+1,MATCH(I$2,vdata_regressors!$A$1:$R$1,0)),"")</f>
        <v/>
      </c>
      <c r="J425" s="23" t="str">
        <f>IFERROR(INDEX(vdata_regressors!$A$1:$L$2000,MATCH($A425,vdata_regressors!$A$2:$A$2000,0)+1,MATCH(J$2,vdata_regressors!$A$1:$R$1,0)),"")</f>
        <v/>
      </c>
      <c r="K425" s="23" t="str">
        <f>IFERROR(INDEX(vdata_regressors!$A$1:$L$2000,MATCH($A425,vdata_regressors!$A$2:$A$2000,0)+1,MATCH(K$2,vdata_regressors!$A$1:$R$1,0)),"")</f>
        <v/>
      </c>
      <c r="L425" s="23" t="str">
        <f>IFERROR(INDEX(vdata_regressors!$A$1:$L$2000,MATCH($A425,vdata_regressors!$A$2:$A$2000,0)+1,MATCH(L$2,vdata_regressors!$A$1:$R$1,0)),"")</f>
        <v/>
      </c>
      <c r="M425" s="23" t="str">
        <f>IFERROR(VLOOKUP(A425,vdata_hours!$A$2:$B$1000,2,FALSE),"")</f>
        <v/>
      </c>
    </row>
    <row r="426" spans="1:13" x14ac:dyDescent="0.25">
      <c r="A426" s="23" t="str">
        <f>IF(vdata_hours!A425=0,"",vdata_hours!A425)</f>
        <v/>
      </c>
      <c r="B426" s="23" t="str">
        <f>IFERROR(INDEX(vdata_regressors!$A$1:$L$2000,MATCH($A426,vdata_regressors!$A$2:$A$2000,0)+1,MATCH(B$2,vdata_regressors!$A$1:$R$1,0)),"")</f>
        <v/>
      </c>
      <c r="C426" s="23" t="str">
        <f>IFERROR(INDEX(vdata_regressors!$A$1:$L$2000,MATCH($A426,vdata_regressors!$A$2:$A$2000,0)+1,MATCH(C$2,vdata_regressors!$A$1:$R$1,0)),"")</f>
        <v/>
      </c>
      <c r="D426" s="23" t="str">
        <f>IFERROR(INDEX(vdata_regressors!$A$1:$L$2000,MATCH($A426,vdata_regressors!$A$2:$A$2000,0)+1,MATCH(D$2,vdata_regressors!$A$1:$R$1,0)),"")</f>
        <v/>
      </c>
      <c r="E426" s="23" t="str">
        <f>IFERROR(INDEX(vdata_regressors!$A$1:$L$2000,MATCH($A426,vdata_regressors!$A$2:$A$2000,0)+1,MATCH(E$2,vdata_regressors!$A$1:$R$1,0)),"")</f>
        <v/>
      </c>
      <c r="F426" s="23" t="str">
        <f>IFERROR(INDEX(vdata_regressors!$A$1:$L$2000,MATCH($A426,vdata_regressors!$A$2:$A$2000,0)+1,MATCH(F$2,vdata_regressors!$A$1:$R$1,0)),"")</f>
        <v/>
      </c>
      <c r="G426" s="23" t="str">
        <f>IFERROR(INDEX(vdata_regressors!$A$1:$L$2000,MATCH($A426,vdata_regressors!$A$2:$A$2000,0)+1,MATCH(G$2,vdata_regressors!$A$1:$R$1,0)),"")</f>
        <v/>
      </c>
      <c r="H426" s="23" t="str">
        <f>IFERROR(INDEX(vdata_regressors!$A$1:$L$2000,MATCH($A426,vdata_regressors!$A$2:$A$2000,0)+1,MATCH(H$2,vdata_regressors!$A$1:$R$1,0)),"")</f>
        <v/>
      </c>
      <c r="I426" s="23" t="str">
        <f>IFERROR(INDEX(vdata_regressors!$A$1:$L$2000,MATCH($A426,vdata_regressors!$A$2:$A$2000,0)+1,MATCH(I$2,vdata_regressors!$A$1:$R$1,0)),"")</f>
        <v/>
      </c>
      <c r="J426" s="23" t="str">
        <f>IFERROR(INDEX(vdata_regressors!$A$1:$L$2000,MATCH($A426,vdata_regressors!$A$2:$A$2000,0)+1,MATCH(J$2,vdata_regressors!$A$1:$R$1,0)),"")</f>
        <v/>
      </c>
      <c r="K426" s="23" t="str">
        <f>IFERROR(INDEX(vdata_regressors!$A$1:$L$2000,MATCH($A426,vdata_regressors!$A$2:$A$2000,0)+1,MATCH(K$2,vdata_regressors!$A$1:$R$1,0)),"")</f>
        <v/>
      </c>
      <c r="L426" s="23" t="str">
        <f>IFERROR(INDEX(vdata_regressors!$A$1:$L$2000,MATCH($A426,vdata_regressors!$A$2:$A$2000,0)+1,MATCH(L$2,vdata_regressors!$A$1:$R$1,0)),"")</f>
        <v/>
      </c>
      <c r="M426" s="23" t="str">
        <f>IFERROR(VLOOKUP(A426,vdata_hours!$A$2:$B$1000,2,FALSE),"")</f>
        <v/>
      </c>
    </row>
    <row r="427" spans="1:13" x14ac:dyDescent="0.25">
      <c r="A427" s="23" t="str">
        <f>IF(vdata_hours!A426=0,"",vdata_hours!A426)</f>
        <v/>
      </c>
      <c r="B427" s="23" t="str">
        <f>IFERROR(INDEX(vdata_regressors!$A$1:$L$2000,MATCH($A427,vdata_regressors!$A$2:$A$2000,0)+1,MATCH(B$2,vdata_regressors!$A$1:$R$1,0)),"")</f>
        <v/>
      </c>
      <c r="C427" s="23" t="str">
        <f>IFERROR(INDEX(vdata_regressors!$A$1:$L$2000,MATCH($A427,vdata_regressors!$A$2:$A$2000,0)+1,MATCH(C$2,vdata_regressors!$A$1:$R$1,0)),"")</f>
        <v/>
      </c>
      <c r="D427" s="23" t="str">
        <f>IFERROR(INDEX(vdata_regressors!$A$1:$L$2000,MATCH($A427,vdata_regressors!$A$2:$A$2000,0)+1,MATCH(D$2,vdata_regressors!$A$1:$R$1,0)),"")</f>
        <v/>
      </c>
      <c r="E427" s="23" t="str">
        <f>IFERROR(INDEX(vdata_regressors!$A$1:$L$2000,MATCH($A427,vdata_regressors!$A$2:$A$2000,0)+1,MATCH(E$2,vdata_regressors!$A$1:$R$1,0)),"")</f>
        <v/>
      </c>
      <c r="F427" s="23" t="str">
        <f>IFERROR(INDEX(vdata_regressors!$A$1:$L$2000,MATCH($A427,vdata_regressors!$A$2:$A$2000,0)+1,MATCH(F$2,vdata_regressors!$A$1:$R$1,0)),"")</f>
        <v/>
      </c>
      <c r="G427" s="23" t="str">
        <f>IFERROR(INDEX(vdata_regressors!$A$1:$L$2000,MATCH($A427,vdata_regressors!$A$2:$A$2000,0)+1,MATCH(G$2,vdata_regressors!$A$1:$R$1,0)),"")</f>
        <v/>
      </c>
      <c r="H427" s="23" t="str">
        <f>IFERROR(INDEX(vdata_regressors!$A$1:$L$2000,MATCH($A427,vdata_regressors!$A$2:$A$2000,0)+1,MATCH(H$2,vdata_regressors!$A$1:$R$1,0)),"")</f>
        <v/>
      </c>
      <c r="I427" s="23" t="str">
        <f>IFERROR(INDEX(vdata_regressors!$A$1:$L$2000,MATCH($A427,vdata_regressors!$A$2:$A$2000,0)+1,MATCH(I$2,vdata_regressors!$A$1:$R$1,0)),"")</f>
        <v/>
      </c>
      <c r="J427" s="23" t="str">
        <f>IFERROR(INDEX(vdata_regressors!$A$1:$L$2000,MATCH($A427,vdata_regressors!$A$2:$A$2000,0)+1,MATCH(J$2,vdata_regressors!$A$1:$R$1,0)),"")</f>
        <v/>
      </c>
      <c r="K427" s="23" t="str">
        <f>IFERROR(INDEX(vdata_regressors!$A$1:$L$2000,MATCH($A427,vdata_regressors!$A$2:$A$2000,0)+1,MATCH(K$2,vdata_regressors!$A$1:$R$1,0)),"")</f>
        <v/>
      </c>
      <c r="L427" s="23" t="str">
        <f>IFERROR(INDEX(vdata_regressors!$A$1:$L$2000,MATCH($A427,vdata_regressors!$A$2:$A$2000,0)+1,MATCH(L$2,vdata_regressors!$A$1:$R$1,0)),"")</f>
        <v/>
      </c>
      <c r="M427" s="23" t="str">
        <f>IFERROR(VLOOKUP(A427,vdata_hours!$A$2:$B$1000,2,FALSE),"")</f>
        <v/>
      </c>
    </row>
    <row r="428" spans="1:13" x14ac:dyDescent="0.25">
      <c r="A428" s="23" t="str">
        <f>IF(vdata_hours!A427=0,"",vdata_hours!A427)</f>
        <v/>
      </c>
      <c r="B428" s="23" t="str">
        <f>IFERROR(INDEX(vdata_regressors!$A$1:$L$2000,MATCH($A428,vdata_regressors!$A$2:$A$2000,0)+1,MATCH(B$2,vdata_regressors!$A$1:$R$1,0)),"")</f>
        <v/>
      </c>
      <c r="C428" s="23" t="str">
        <f>IFERROR(INDEX(vdata_regressors!$A$1:$L$2000,MATCH($A428,vdata_regressors!$A$2:$A$2000,0)+1,MATCH(C$2,vdata_regressors!$A$1:$R$1,0)),"")</f>
        <v/>
      </c>
      <c r="D428" s="23" t="str">
        <f>IFERROR(INDEX(vdata_regressors!$A$1:$L$2000,MATCH($A428,vdata_regressors!$A$2:$A$2000,0)+1,MATCH(D$2,vdata_regressors!$A$1:$R$1,0)),"")</f>
        <v/>
      </c>
      <c r="E428" s="23" t="str">
        <f>IFERROR(INDEX(vdata_regressors!$A$1:$L$2000,MATCH($A428,vdata_regressors!$A$2:$A$2000,0)+1,MATCH(E$2,vdata_regressors!$A$1:$R$1,0)),"")</f>
        <v/>
      </c>
      <c r="F428" s="23" t="str">
        <f>IFERROR(INDEX(vdata_regressors!$A$1:$L$2000,MATCH($A428,vdata_regressors!$A$2:$A$2000,0)+1,MATCH(F$2,vdata_regressors!$A$1:$R$1,0)),"")</f>
        <v/>
      </c>
      <c r="G428" s="23" t="str">
        <f>IFERROR(INDEX(vdata_regressors!$A$1:$L$2000,MATCH($A428,vdata_regressors!$A$2:$A$2000,0)+1,MATCH(G$2,vdata_regressors!$A$1:$R$1,0)),"")</f>
        <v/>
      </c>
      <c r="H428" s="23" t="str">
        <f>IFERROR(INDEX(vdata_regressors!$A$1:$L$2000,MATCH($A428,vdata_regressors!$A$2:$A$2000,0)+1,MATCH(H$2,vdata_regressors!$A$1:$R$1,0)),"")</f>
        <v/>
      </c>
      <c r="I428" s="23" t="str">
        <f>IFERROR(INDEX(vdata_regressors!$A$1:$L$2000,MATCH($A428,vdata_regressors!$A$2:$A$2000,0)+1,MATCH(I$2,vdata_regressors!$A$1:$R$1,0)),"")</f>
        <v/>
      </c>
      <c r="J428" s="23" t="str">
        <f>IFERROR(INDEX(vdata_regressors!$A$1:$L$2000,MATCH($A428,vdata_regressors!$A$2:$A$2000,0)+1,MATCH(J$2,vdata_regressors!$A$1:$R$1,0)),"")</f>
        <v/>
      </c>
      <c r="K428" s="23" t="str">
        <f>IFERROR(INDEX(vdata_regressors!$A$1:$L$2000,MATCH($A428,vdata_regressors!$A$2:$A$2000,0)+1,MATCH(K$2,vdata_regressors!$A$1:$R$1,0)),"")</f>
        <v/>
      </c>
      <c r="L428" s="23" t="str">
        <f>IFERROR(INDEX(vdata_regressors!$A$1:$L$2000,MATCH($A428,vdata_regressors!$A$2:$A$2000,0)+1,MATCH(L$2,vdata_regressors!$A$1:$R$1,0)),"")</f>
        <v/>
      </c>
      <c r="M428" s="23" t="str">
        <f>IFERROR(VLOOKUP(A428,vdata_hours!$A$2:$B$1000,2,FALSE),"")</f>
        <v/>
      </c>
    </row>
    <row r="429" spans="1:13" x14ac:dyDescent="0.25">
      <c r="A429" s="23" t="str">
        <f>IF(vdata_hours!A428=0,"",vdata_hours!A428)</f>
        <v/>
      </c>
      <c r="B429" s="23" t="str">
        <f>IFERROR(INDEX(vdata_regressors!$A$1:$L$2000,MATCH($A429,vdata_regressors!$A$2:$A$2000,0)+1,MATCH(B$2,vdata_regressors!$A$1:$R$1,0)),"")</f>
        <v/>
      </c>
      <c r="C429" s="23" t="str">
        <f>IFERROR(INDEX(vdata_regressors!$A$1:$L$2000,MATCH($A429,vdata_regressors!$A$2:$A$2000,0)+1,MATCH(C$2,vdata_regressors!$A$1:$R$1,0)),"")</f>
        <v/>
      </c>
      <c r="D429" s="23" t="str">
        <f>IFERROR(INDEX(vdata_regressors!$A$1:$L$2000,MATCH($A429,vdata_regressors!$A$2:$A$2000,0)+1,MATCH(D$2,vdata_regressors!$A$1:$R$1,0)),"")</f>
        <v/>
      </c>
      <c r="E429" s="23" t="str">
        <f>IFERROR(INDEX(vdata_regressors!$A$1:$L$2000,MATCH($A429,vdata_regressors!$A$2:$A$2000,0)+1,MATCH(E$2,vdata_regressors!$A$1:$R$1,0)),"")</f>
        <v/>
      </c>
      <c r="F429" s="23" t="str">
        <f>IFERROR(INDEX(vdata_regressors!$A$1:$L$2000,MATCH($A429,vdata_regressors!$A$2:$A$2000,0)+1,MATCH(F$2,vdata_regressors!$A$1:$R$1,0)),"")</f>
        <v/>
      </c>
      <c r="G429" s="23" t="str">
        <f>IFERROR(INDEX(vdata_regressors!$A$1:$L$2000,MATCH($A429,vdata_regressors!$A$2:$A$2000,0)+1,MATCH(G$2,vdata_regressors!$A$1:$R$1,0)),"")</f>
        <v/>
      </c>
      <c r="H429" s="23" t="str">
        <f>IFERROR(INDEX(vdata_regressors!$A$1:$L$2000,MATCH($A429,vdata_regressors!$A$2:$A$2000,0)+1,MATCH(H$2,vdata_regressors!$A$1:$R$1,0)),"")</f>
        <v/>
      </c>
      <c r="I429" s="23" t="str">
        <f>IFERROR(INDEX(vdata_regressors!$A$1:$L$2000,MATCH($A429,vdata_regressors!$A$2:$A$2000,0)+1,MATCH(I$2,vdata_regressors!$A$1:$R$1,0)),"")</f>
        <v/>
      </c>
      <c r="J429" s="23" t="str">
        <f>IFERROR(INDEX(vdata_regressors!$A$1:$L$2000,MATCH($A429,vdata_regressors!$A$2:$A$2000,0)+1,MATCH(J$2,vdata_regressors!$A$1:$R$1,0)),"")</f>
        <v/>
      </c>
      <c r="K429" s="23" t="str">
        <f>IFERROR(INDEX(vdata_regressors!$A$1:$L$2000,MATCH($A429,vdata_regressors!$A$2:$A$2000,0)+1,MATCH(K$2,vdata_regressors!$A$1:$R$1,0)),"")</f>
        <v/>
      </c>
      <c r="L429" s="23" t="str">
        <f>IFERROR(INDEX(vdata_regressors!$A$1:$L$2000,MATCH($A429,vdata_regressors!$A$2:$A$2000,0)+1,MATCH(L$2,vdata_regressors!$A$1:$R$1,0)),"")</f>
        <v/>
      </c>
      <c r="M429" s="23" t="str">
        <f>IFERROR(VLOOKUP(A429,vdata_hours!$A$2:$B$1000,2,FALSE),"")</f>
        <v/>
      </c>
    </row>
    <row r="430" spans="1:13" x14ac:dyDescent="0.25">
      <c r="A430" s="23" t="str">
        <f>IF(vdata_hours!A429=0,"",vdata_hours!A429)</f>
        <v/>
      </c>
      <c r="B430" s="23" t="str">
        <f>IFERROR(INDEX(vdata_regressors!$A$1:$L$2000,MATCH($A430,vdata_regressors!$A$2:$A$2000,0)+1,MATCH(B$2,vdata_regressors!$A$1:$R$1,0)),"")</f>
        <v/>
      </c>
      <c r="C430" s="23" t="str">
        <f>IFERROR(INDEX(vdata_regressors!$A$1:$L$2000,MATCH($A430,vdata_regressors!$A$2:$A$2000,0)+1,MATCH(C$2,vdata_regressors!$A$1:$R$1,0)),"")</f>
        <v/>
      </c>
      <c r="D430" s="23" t="str">
        <f>IFERROR(INDEX(vdata_regressors!$A$1:$L$2000,MATCH($A430,vdata_regressors!$A$2:$A$2000,0)+1,MATCH(D$2,vdata_regressors!$A$1:$R$1,0)),"")</f>
        <v/>
      </c>
      <c r="E430" s="23" t="str">
        <f>IFERROR(INDEX(vdata_regressors!$A$1:$L$2000,MATCH($A430,vdata_regressors!$A$2:$A$2000,0)+1,MATCH(E$2,vdata_regressors!$A$1:$R$1,0)),"")</f>
        <v/>
      </c>
      <c r="F430" s="23" t="str">
        <f>IFERROR(INDEX(vdata_regressors!$A$1:$L$2000,MATCH($A430,vdata_regressors!$A$2:$A$2000,0)+1,MATCH(F$2,vdata_regressors!$A$1:$R$1,0)),"")</f>
        <v/>
      </c>
      <c r="G430" s="23" t="str">
        <f>IFERROR(INDEX(vdata_regressors!$A$1:$L$2000,MATCH($A430,vdata_regressors!$A$2:$A$2000,0)+1,MATCH(G$2,vdata_regressors!$A$1:$R$1,0)),"")</f>
        <v/>
      </c>
      <c r="H430" s="23" t="str">
        <f>IFERROR(INDEX(vdata_regressors!$A$1:$L$2000,MATCH($A430,vdata_regressors!$A$2:$A$2000,0)+1,MATCH(H$2,vdata_regressors!$A$1:$R$1,0)),"")</f>
        <v/>
      </c>
      <c r="I430" s="23" t="str">
        <f>IFERROR(INDEX(vdata_regressors!$A$1:$L$2000,MATCH($A430,vdata_regressors!$A$2:$A$2000,0)+1,MATCH(I$2,vdata_regressors!$A$1:$R$1,0)),"")</f>
        <v/>
      </c>
      <c r="J430" s="23" t="str">
        <f>IFERROR(INDEX(vdata_regressors!$A$1:$L$2000,MATCH($A430,vdata_regressors!$A$2:$A$2000,0)+1,MATCH(J$2,vdata_regressors!$A$1:$R$1,0)),"")</f>
        <v/>
      </c>
      <c r="K430" s="23" t="str">
        <f>IFERROR(INDEX(vdata_regressors!$A$1:$L$2000,MATCH($A430,vdata_regressors!$A$2:$A$2000,0)+1,MATCH(K$2,vdata_regressors!$A$1:$R$1,0)),"")</f>
        <v/>
      </c>
      <c r="L430" s="23" t="str">
        <f>IFERROR(INDEX(vdata_regressors!$A$1:$L$2000,MATCH($A430,vdata_regressors!$A$2:$A$2000,0)+1,MATCH(L$2,vdata_regressors!$A$1:$R$1,0)),"")</f>
        <v/>
      </c>
      <c r="M430" s="23" t="str">
        <f>IFERROR(VLOOKUP(A430,vdata_hours!$A$2:$B$1000,2,FALSE),"")</f>
        <v/>
      </c>
    </row>
    <row r="431" spans="1:13" x14ac:dyDescent="0.25">
      <c r="A431" s="23" t="str">
        <f>IF(vdata_hours!A430=0,"",vdata_hours!A430)</f>
        <v/>
      </c>
      <c r="B431" s="23" t="str">
        <f>IFERROR(INDEX(vdata_regressors!$A$1:$L$2000,MATCH($A431,vdata_regressors!$A$2:$A$2000,0)+1,MATCH(B$2,vdata_regressors!$A$1:$R$1,0)),"")</f>
        <v/>
      </c>
      <c r="C431" s="23" t="str">
        <f>IFERROR(INDEX(vdata_regressors!$A$1:$L$2000,MATCH($A431,vdata_regressors!$A$2:$A$2000,0)+1,MATCH(C$2,vdata_regressors!$A$1:$R$1,0)),"")</f>
        <v/>
      </c>
      <c r="D431" s="23" t="str">
        <f>IFERROR(INDEX(vdata_regressors!$A$1:$L$2000,MATCH($A431,vdata_regressors!$A$2:$A$2000,0)+1,MATCH(D$2,vdata_regressors!$A$1:$R$1,0)),"")</f>
        <v/>
      </c>
      <c r="E431" s="23" t="str">
        <f>IFERROR(INDEX(vdata_regressors!$A$1:$L$2000,MATCH($A431,vdata_regressors!$A$2:$A$2000,0)+1,MATCH(E$2,vdata_regressors!$A$1:$R$1,0)),"")</f>
        <v/>
      </c>
      <c r="F431" s="23" t="str">
        <f>IFERROR(INDEX(vdata_regressors!$A$1:$L$2000,MATCH($A431,vdata_regressors!$A$2:$A$2000,0)+1,MATCH(F$2,vdata_regressors!$A$1:$R$1,0)),"")</f>
        <v/>
      </c>
      <c r="G431" s="23" t="str">
        <f>IFERROR(INDEX(vdata_regressors!$A$1:$L$2000,MATCH($A431,vdata_regressors!$A$2:$A$2000,0)+1,MATCH(G$2,vdata_regressors!$A$1:$R$1,0)),"")</f>
        <v/>
      </c>
      <c r="H431" s="23" t="str">
        <f>IFERROR(INDEX(vdata_regressors!$A$1:$L$2000,MATCH($A431,vdata_regressors!$A$2:$A$2000,0)+1,MATCH(H$2,vdata_regressors!$A$1:$R$1,0)),"")</f>
        <v/>
      </c>
      <c r="I431" s="23" t="str">
        <f>IFERROR(INDEX(vdata_regressors!$A$1:$L$2000,MATCH($A431,vdata_regressors!$A$2:$A$2000,0)+1,MATCH(I$2,vdata_regressors!$A$1:$R$1,0)),"")</f>
        <v/>
      </c>
      <c r="J431" s="23" t="str">
        <f>IFERROR(INDEX(vdata_regressors!$A$1:$L$2000,MATCH($A431,vdata_regressors!$A$2:$A$2000,0)+1,MATCH(J$2,vdata_regressors!$A$1:$R$1,0)),"")</f>
        <v/>
      </c>
      <c r="K431" s="23" t="str">
        <f>IFERROR(INDEX(vdata_regressors!$A$1:$L$2000,MATCH($A431,vdata_regressors!$A$2:$A$2000,0)+1,MATCH(K$2,vdata_regressors!$A$1:$R$1,0)),"")</f>
        <v/>
      </c>
      <c r="L431" s="23" t="str">
        <f>IFERROR(INDEX(vdata_regressors!$A$1:$L$2000,MATCH($A431,vdata_regressors!$A$2:$A$2000,0)+1,MATCH(L$2,vdata_regressors!$A$1:$R$1,0)),"")</f>
        <v/>
      </c>
      <c r="M431" s="23" t="str">
        <f>IFERROR(VLOOKUP(A431,vdata_hours!$A$2:$B$1000,2,FALSE),"")</f>
        <v/>
      </c>
    </row>
    <row r="432" spans="1:13" x14ac:dyDescent="0.25">
      <c r="A432" s="23" t="str">
        <f>IF(vdata_hours!A431=0,"",vdata_hours!A431)</f>
        <v/>
      </c>
      <c r="B432" s="23" t="str">
        <f>IFERROR(INDEX(vdata_regressors!$A$1:$L$2000,MATCH($A432,vdata_regressors!$A$2:$A$2000,0)+1,MATCH(B$2,vdata_regressors!$A$1:$R$1,0)),"")</f>
        <v/>
      </c>
      <c r="C432" s="23" t="str">
        <f>IFERROR(INDEX(vdata_regressors!$A$1:$L$2000,MATCH($A432,vdata_regressors!$A$2:$A$2000,0)+1,MATCH(C$2,vdata_regressors!$A$1:$R$1,0)),"")</f>
        <v/>
      </c>
      <c r="D432" s="23" t="str">
        <f>IFERROR(INDEX(vdata_regressors!$A$1:$L$2000,MATCH($A432,vdata_regressors!$A$2:$A$2000,0)+1,MATCH(D$2,vdata_regressors!$A$1:$R$1,0)),"")</f>
        <v/>
      </c>
      <c r="E432" s="23" t="str">
        <f>IFERROR(INDEX(vdata_regressors!$A$1:$L$2000,MATCH($A432,vdata_regressors!$A$2:$A$2000,0)+1,MATCH(E$2,vdata_regressors!$A$1:$R$1,0)),"")</f>
        <v/>
      </c>
      <c r="F432" s="23" t="str">
        <f>IFERROR(INDEX(vdata_regressors!$A$1:$L$2000,MATCH($A432,vdata_regressors!$A$2:$A$2000,0)+1,MATCH(F$2,vdata_regressors!$A$1:$R$1,0)),"")</f>
        <v/>
      </c>
      <c r="G432" s="23" t="str">
        <f>IFERROR(INDEX(vdata_regressors!$A$1:$L$2000,MATCH($A432,vdata_regressors!$A$2:$A$2000,0)+1,MATCH(G$2,vdata_regressors!$A$1:$R$1,0)),"")</f>
        <v/>
      </c>
      <c r="H432" s="23" t="str">
        <f>IFERROR(INDEX(vdata_regressors!$A$1:$L$2000,MATCH($A432,vdata_regressors!$A$2:$A$2000,0)+1,MATCH(H$2,vdata_regressors!$A$1:$R$1,0)),"")</f>
        <v/>
      </c>
      <c r="I432" s="23" t="str">
        <f>IFERROR(INDEX(vdata_regressors!$A$1:$L$2000,MATCH($A432,vdata_regressors!$A$2:$A$2000,0)+1,MATCH(I$2,vdata_regressors!$A$1:$R$1,0)),"")</f>
        <v/>
      </c>
      <c r="J432" s="23" t="str">
        <f>IFERROR(INDEX(vdata_regressors!$A$1:$L$2000,MATCH($A432,vdata_regressors!$A$2:$A$2000,0)+1,MATCH(J$2,vdata_regressors!$A$1:$R$1,0)),"")</f>
        <v/>
      </c>
      <c r="K432" s="23" t="str">
        <f>IFERROR(INDEX(vdata_regressors!$A$1:$L$2000,MATCH($A432,vdata_regressors!$A$2:$A$2000,0)+1,MATCH(K$2,vdata_regressors!$A$1:$R$1,0)),"")</f>
        <v/>
      </c>
      <c r="L432" s="23" t="str">
        <f>IFERROR(INDEX(vdata_regressors!$A$1:$L$2000,MATCH($A432,vdata_regressors!$A$2:$A$2000,0)+1,MATCH(L$2,vdata_regressors!$A$1:$R$1,0)),"")</f>
        <v/>
      </c>
      <c r="M432" s="23" t="str">
        <f>IFERROR(VLOOKUP(A432,vdata_hours!$A$2:$B$1000,2,FALSE),"")</f>
        <v/>
      </c>
    </row>
    <row r="433" spans="1:13" x14ac:dyDescent="0.25">
      <c r="A433" s="23" t="str">
        <f>IF(vdata_hours!A432=0,"",vdata_hours!A432)</f>
        <v/>
      </c>
      <c r="B433" s="23" t="str">
        <f>IFERROR(INDEX(vdata_regressors!$A$1:$L$2000,MATCH($A433,vdata_regressors!$A$2:$A$2000,0)+1,MATCH(B$2,vdata_regressors!$A$1:$R$1,0)),"")</f>
        <v/>
      </c>
      <c r="C433" s="23" t="str">
        <f>IFERROR(INDEX(vdata_regressors!$A$1:$L$2000,MATCH($A433,vdata_regressors!$A$2:$A$2000,0)+1,MATCH(C$2,vdata_regressors!$A$1:$R$1,0)),"")</f>
        <v/>
      </c>
      <c r="D433" s="23" t="str">
        <f>IFERROR(INDEX(vdata_regressors!$A$1:$L$2000,MATCH($A433,vdata_regressors!$A$2:$A$2000,0)+1,MATCH(D$2,vdata_regressors!$A$1:$R$1,0)),"")</f>
        <v/>
      </c>
      <c r="E433" s="23" t="str">
        <f>IFERROR(INDEX(vdata_regressors!$A$1:$L$2000,MATCH($A433,vdata_regressors!$A$2:$A$2000,0)+1,MATCH(E$2,vdata_regressors!$A$1:$R$1,0)),"")</f>
        <v/>
      </c>
      <c r="F433" s="23" t="str">
        <f>IFERROR(INDEX(vdata_regressors!$A$1:$L$2000,MATCH($A433,vdata_regressors!$A$2:$A$2000,0)+1,MATCH(F$2,vdata_regressors!$A$1:$R$1,0)),"")</f>
        <v/>
      </c>
      <c r="G433" s="23" t="str">
        <f>IFERROR(INDEX(vdata_regressors!$A$1:$L$2000,MATCH($A433,vdata_regressors!$A$2:$A$2000,0)+1,MATCH(G$2,vdata_regressors!$A$1:$R$1,0)),"")</f>
        <v/>
      </c>
      <c r="H433" s="23" t="str">
        <f>IFERROR(INDEX(vdata_regressors!$A$1:$L$2000,MATCH($A433,vdata_regressors!$A$2:$A$2000,0)+1,MATCH(H$2,vdata_regressors!$A$1:$R$1,0)),"")</f>
        <v/>
      </c>
      <c r="I433" s="23" t="str">
        <f>IFERROR(INDEX(vdata_regressors!$A$1:$L$2000,MATCH($A433,vdata_regressors!$A$2:$A$2000,0)+1,MATCH(I$2,vdata_regressors!$A$1:$R$1,0)),"")</f>
        <v/>
      </c>
      <c r="J433" s="23" t="str">
        <f>IFERROR(INDEX(vdata_regressors!$A$1:$L$2000,MATCH($A433,vdata_regressors!$A$2:$A$2000,0)+1,MATCH(J$2,vdata_regressors!$A$1:$R$1,0)),"")</f>
        <v/>
      </c>
      <c r="K433" s="23" t="str">
        <f>IFERROR(INDEX(vdata_regressors!$A$1:$L$2000,MATCH($A433,vdata_regressors!$A$2:$A$2000,0)+1,MATCH(K$2,vdata_regressors!$A$1:$R$1,0)),"")</f>
        <v/>
      </c>
      <c r="L433" s="23" t="str">
        <f>IFERROR(INDEX(vdata_regressors!$A$1:$L$2000,MATCH($A433,vdata_regressors!$A$2:$A$2000,0)+1,MATCH(L$2,vdata_regressors!$A$1:$R$1,0)),"")</f>
        <v/>
      </c>
      <c r="M433" s="23" t="str">
        <f>IFERROR(VLOOKUP(A433,vdata_hours!$A$2:$B$1000,2,FALSE),"")</f>
        <v/>
      </c>
    </row>
    <row r="434" spans="1:13" x14ac:dyDescent="0.25">
      <c r="A434" s="23" t="str">
        <f>IF(vdata_hours!A433=0,"",vdata_hours!A433)</f>
        <v/>
      </c>
      <c r="B434" s="23" t="str">
        <f>IFERROR(INDEX(vdata_regressors!$A$1:$L$2000,MATCH($A434,vdata_regressors!$A$2:$A$2000,0)+1,MATCH(B$2,vdata_regressors!$A$1:$R$1,0)),"")</f>
        <v/>
      </c>
      <c r="C434" s="23" t="str">
        <f>IFERROR(INDEX(vdata_regressors!$A$1:$L$2000,MATCH($A434,vdata_regressors!$A$2:$A$2000,0)+1,MATCH(C$2,vdata_regressors!$A$1:$R$1,0)),"")</f>
        <v/>
      </c>
      <c r="D434" s="23" t="str">
        <f>IFERROR(INDEX(vdata_regressors!$A$1:$L$2000,MATCH($A434,vdata_regressors!$A$2:$A$2000,0)+1,MATCH(D$2,vdata_regressors!$A$1:$R$1,0)),"")</f>
        <v/>
      </c>
      <c r="E434" s="23" t="str">
        <f>IFERROR(INDEX(vdata_regressors!$A$1:$L$2000,MATCH($A434,vdata_regressors!$A$2:$A$2000,0)+1,MATCH(E$2,vdata_regressors!$A$1:$R$1,0)),"")</f>
        <v/>
      </c>
      <c r="F434" s="23" t="str">
        <f>IFERROR(INDEX(vdata_regressors!$A$1:$L$2000,MATCH($A434,vdata_regressors!$A$2:$A$2000,0)+1,MATCH(F$2,vdata_regressors!$A$1:$R$1,0)),"")</f>
        <v/>
      </c>
      <c r="G434" s="23" t="str">
        <f>IFERROR(INDEX(vdata_regressors!$A$1:$L$2000,MATCH($A434,vdata_regressors!$A$2:$A$2000,0)+1,MATCH(G$2,vdata_regressors!$A$1:$R$1,0)),"")</f>
        <v/>
      </c>
      <c r="H434" s="23" t="str">
        <f>IFERROR(INDEX(vdata_regressors!$A$1:$L$2000,MATCH($A434,vdata_regressors!$A$2:$A$2000,0)+1,MATCH(H$2,vdata_regressors!$A$1:$R$1,0)),"")</f>
        <v/>
      </c>
      <c r="I434" s="23" t="str">
        <f>IFERROR(INDEX(vdata_regressors!$A$1:$L$2000,MATCH($A434,vdata_regressors!$A$2:$A$2000,0)+1,MATCH(I$2,vdata_regressors!$A$1:$R$1,0)),"")</f>
        <v/>
      </c>
      <c r="J434" s="23" t="str">
        <f>IFERROR(INDEX(vdata_regressors!$A$1:$L$2000,MATCH($A434,vdata_regressors!$A$2:$A$2000,0)+1,MATCH(J$2,vdata_regressors!$A$1:$R$1,0)),"")</f>
        <v/>
      </c>
      <c r="K434" s="23" t="str">
        <f>IFERROR(INDEX(vdata_regressors!$A$1:$L$2000,MATCH($A434,vdata_regressors!$A$2:$A$2000,0)+1,MATCH(K$2,vdata_regressors!$A$1:$R$1,0)),"")</f>
        <v/>
      </c>
      <c r="L434" s="23" t="str">
        <f>IFERROR(INDEX(vdata_regressors!$A$1:$L$2000,MATCH($A434,vdata_regressors!$A$2:$A$2000,0)+1,MATCH(L$2,vdata_regressors!$A$1:$R$1,0)),"")</f>
        <v/>
      </c>
      <c r="M434" s="23" t="str">
        <f>IFERROR(VLOOKUP(A434,vdata_hours!$A$2:$B$1000,2,FALSE),"")</f>
        <v/>
      </c>
    </row>
    <row r="435" spans="1:13" x14ac:dyDescent="0.25">
      <c r="A435" s="23" t="str">
        <f>IF(vdata_hours!A434=0,"",vdata_hours!A434)</f>
        <v/>
      </c>
      <c r="B435" s="23" t="str">
        <f>IFERROR(INDEX(vdata_regressors!$A$1:$L$2000,MATCH($A435,vdata_regressors!$A$2:$A$2000,0)+1,MATCH(B$2,vdata_regressors!$A$1:$R$1,0)),"")</f>
        <v/>
      </c>
      <c r="C435" s="23" t="str">
        <f>IFERROR(INDEX(vdata_regressors!$A$1:$L$2000,MATCH($A435,vdata_regressors!$A$2:$A$2000,0)+1,MATCH(C$2,vdata_regressors!$A$1:$R$1,0)),"")</f>
        <v/>
      </c>
      <c r="D435" s="23" t="str">
        <f>IFERROR(INDEX(vdata_regressors!$A$1:$L$2000,MATCH($A435,vdata_regressors!$A$2:$A$2000,0)+1,MATCH(D$2,vdata_regressors!$A$1:$R$1,0)),"")</f>
        <v/>
      </c>
      <c r="E435" s="23" t="str">
        <f>IFERROR(INDEX(vdata_regressors!$A$1:$L$2000,MATCH($A435,vdata_regressors!$A$2:$A$2000,0)+1,MATCH(E$2,vdata_regressors!$A$1:$R$1,0)),"")</f>
        <v/>
      </c>
      <c r="F435" s="23" t="str">
        <f>IFERROR(INDEX(vdata_regressors!$A$1:$L$2000,MATCH($A435,vdata_regressors!$A$2:$A$2000,0)+1,MATCH(F$2,vdata_regressors!$A$1:$R$1,0)),"")</f>
        <v/>
      </c>
      <c r="G435" s="23" t="str">
        <f>IFERROR(INDEX(vdata_regressors!$A$1:$L$2000,MATCH($A435,vdata_regressors!$A$2:$A$2000,0)+1,MATCH(G$2,vdata_regressors!$A$1:$R$1,0)),"")</f>
        <v/>
      </c>
      <c r="H435" s="23" t="str">
        <f>IFERROR(INDEX(vdata_regressors!$A$1:$L$2000,MATCH($A435,vdata_regressors!$A$2:$A$2000,0)+1,MATCH(H$2,vdata_regressors!$A$1:$R$1,0)),"")</f>
        <v/>
      </c>
      <c r="I435" s="23" t="str">
        <f>IFERROR(INDEX(vdata_regressors!$A$1:$L$2000,MATCH($A435,vdata_regressors!$A$2:$A$2000,0)+1,MATCH(I$2,vdata_regressors!$A$1:$R$1,0)),"")</f>
        <v/>
      </c>
      <c r="J435" s="23" t="str">
        <f>IFERROR(INDEX(vdata_regressors!$A$1:$L$2000,MATCH($A435,vdata_regressors!$A$2:$A$2000,0)+1,MATCH(J$2,vdata_regressors!$A$1:$R$1,0)),"")</f>
        <v/>
      </c>
      <c r="K435" s="23" t="str">
        <f>IFERROR(INDEX(vdata_regressors!$A$1:$L$2000,MATCH($A435,vdata_regressors!$A$2:$A$2000,0)+1,MATCH(K$2,vdata_regressors!$A$1:$R$1,0)),"")</f>
        <v/>
      </c>
      <c r="L435" s="23" t="str">
        <f>IFERROR(INDEX(vdata_regressors!$A$1:$L$2000,MATCH($A435,vdata_regressors!$A$2:$A$2000,0)+1,MATCH(L$2,vdata_regressors!$A$1:$R$1,0)),"")</f>
        <v/>
      </c>
      <c r="M435" s="23" t="str">
        <f>IFERROR(VLOOKUP(A435,vdata_hours!$A$2:$B$1000,2,FALSE),"")</f>
        <v/>
      </c>
    </row>
    <row r="436" spans="1:13" x14ac:dyDescent="0.25">
      <c r="A436" s="23" t="str">
        <f>IF(vdata_hours!A435=0,"",vdata_hours!A435)</f>
        <v/>
      </c>
      <c r="B436" s="23" t="str">
        <f>IFERROR(INDEX(vdata_regressors!$A$1:$L$2000,MATCH($A436,vdata_regressors!$A$2:$A$2000,0)+1,MATCH(B$2,vdata_regressors!$A$1:$R$1,0)),"")</f>
        <v/>
      </c>
      <c r="C436" s="23" t="str">
        <f>IFERROR(INDEX(vdata_regressors!$A$1:$L$2000,MATCH($A436,vdata_regressors!$A$2:$A$2000,0)+1,MATCH(C$2,vdata_regressors!$A$1:$R$1,0)),"")</f>
        <v/>
      </c>
      <c r="D436" s="23" t="str">
        <f>IFERROR(INDEX(vdata_regressors!$A$1:$L$2000,MATCH($A436,vdata_regressors!$A$2:$A$2000,0)+1,MATCH(D$2,vdata_regressors!$A$1:$R$1,0)),"")</f>
        <v/>
      </c>
      <c r="E436" s="23" t="str">
        <f>IFERROR(INDEX(vdata_regressors!$A$1:$L$2000,MATCH($A436,vdata_regressors!$A$2:$A$2000,0)+1,MATCH(E$2,vdata_regressors!$A$1:$R$1,0)),"")</f>
        <v/>
      </c>
      <c r="F436" s="23" t="str">
        <f>IFERROR(INDEX(vdata_regressors!$A$1:$L$2000,MATCH($A436,vdata_regressors!$A$2:$A$2000,0)+1,MATCH(F$2,vdata_regressors!$A$1:$R$1,0)),"")</f>
        <v/>
      </c>
      <c r="G436" s="23" t="str">
        <f>IFERROR(INDEX(vdata_regressors!$A$1:$L$2000,MATCH($A436,vdata_regressors!$A$2:$A$2000,0)+1,MATCH(G$2,vdata_regressors!$A$1:$R$1,0)),"")</f>
        <v/>
      </c>
      <c r="H436" s="23" t="str">
        <f>IFERROR(INDEX(vdata_regressors!$A$1:$L$2000,MATCH($A436,vdata_regressors!$A$2:$A$2000,0)+1,MATCH(H$2,vdata_regressors!$A$1:$R$1,0)),"")</f>
        <v/>
      </c>
      <c r="I436" s="23" t="str">
        <f>IFERROR(INDEX(vdata_regressors!$A$1:$L$2000,MATCH($A436,vdata_regressors!$A$2:$A$2000,0)+1,MATCH(I$2,vdata_regressors!$A$1:$R$1,0)),"")</f>
        <v/>
      </c>
      <c r="J436" s="23" t="str">
        <f>IFERROR(INDEX(vdata_regressors!$A$1:$L$2000,MATCH($A436,vdata_regressors!$A$2:$A$2000,0)+1,MATCH(J$2,vdata_regressors!$A$1:$R$1,0)),"")</f>
        <v/>
      </c>
      <c r="K436" s="23" t="str">
        <f>IFERROR(INDEX(vdata_regressors!$A$1:$L$2000,MATCH($A436,vdata_regressors!$A$2:$A$2000,0)+1,MATCH(K$2,vdata_regressors!$A$1:$R$1,0)),"")</f>
        <v/>
      </c>
      <c r="L436" s="23" t="str">
        <f>IFERROR(INDEX(vdata_regressors!$A$1:$L$2000,MATCH($A436,vdata_regressors!$A$2:$A$2000,0)+1,MATCH(L$2,vdata_regressors!$A$1:$R$1,0)),"")</f>
        <v/>
      </c>
      <c r="M436" s="23" t="str">
        <f>IFERROR(VLOOKUP(A436,vdata_hours!$A$2:$B$1000,2,FALSE),"")</f>
        <v/>
      </c>
    </row>
    <row r="437" spans="1:13" x14ac:dyDescent="0.25">
      <c r="A437" s="23" t="str">
        <f>IF(vdata_hours!A436=0,"",vdata_hours!A436)</f>
        <v/>
      </c>
      <c r="B437" s="23" t="str">
        <f>IFERROR(INDEX(vdata_regressors!$A$1:$L$2000,MATCH($A437,vdata_regressors!$A$2:$A$2000,0)+1,MATCH(B$2,vdata_regressors!$A$1:$R$1,0)),"")</f>
        <v/>
      </c>
      <c r="C437" s="23" t="str">
        <f>IFERROR(INDEX(vdata_regressors!$A$1:$L$2000,MATCH($A437,vdata_regressors!$A$2:$A$2000,0)+1,MATCH(C$2,vdata_regressors!$A$1:$R$1,0)),"")</f>
        <v/>
      </c>
      <c r="D437" s="23" t="str">
        <f>IFERROR(INDEX(vdata_regressors!$A$1:$L$2000,MATCH($A437,vdata_regressors!$A$2:$A$2000,0)+1,MATCH(D$2,vdata_regressors!$A$1:$R$1,0)),"")</f>
        <v/>
      </c>
      <c r="E437" s="23" t="str">
        <f>IFERROR(INDEX(vdata_regressors!$A$1:$L$2000,MATCH($A437,vdata_regressors!$A$2:$A$2000,0)+1,MATCH(E$2,vdata_regressors!$A$1:$R$1,0)),"")</f>
        <v/>
      </c>
      <c r="F437" s="23" t="str">
        <f>IFERROR(INDEX(vdata_regressors!$A$1:$L$2000,MATCH($A437,vdata_regressors!$A$2:$A$2000,0)+1,MATCH(F$2,vdata_regressors!$A$1:$R$1,0)),"")</f>
        <v/>
      </c>
      <c r="G437" s="23" t="str">
        <f>IFERROR(INDEX(vdata_regressors!$A$1:$L$2000,MATCH($A437,vdata_regressors!$A$2:$A$2000,0)+1,MATCH(G$2,vdata_regressors!$A$1:$R$1,0)),"")</f>
        <v/>
      </c>
      <c r="H437" s="23" t="str">
        <f>IFERROR(INDEX(vdata_regressors!$A$1:$L$2000,MATCH($A437,vdata_regressors!$A$2:$A$2000,0)+1,MATCH(H$2,vdata_regressors!$A$1:$R$1,0)),"")</f>
        <v/>
      </c>
      <c r="I437" s="23" t="str">
        <f>IFERROR(INDEX(vdata_regressors!$A$1:$L$2000,MATCH($A437,vdata_regressors!$A$2:$A$2000,0)+1,MATCH(I$2,vdata_regressors!$A$1:$R$1,0)),"")</f>
        <v/>
      </c>
      <c r="J437" s="23" t="str">
        <f>IFERROR(INDEX(vdata_regressors!$A$1:$L$2000,MATCH($A437,vdata_regressors!$A$2:$A$2000,0)+1,MATCH(J$2,vdata_regressors!$A$1:$R$1,0)),"")</f>
        <v/>
      </c>
      <c r="K437" s="23" t="str">
        <f>IFERROR(INDEX(vdata_regressors!$A$1:$L$2000,MATCH($A437,vdata_regressors!$A$2:$A$2000,0)+1,MATCH(K$2,vdata_regressors!$A$1:$R$1,0)),"")</f>
        <v/>
      </c>
      <c r="L437" s="23" t="str">
        <f>IFERROR(INDEX(vdata_regressors!$A$1:$L$2000,MATCH($A437,vdata_regressors!$A$2:$A$2000,0)+1,MATCH(L$2,vdata_regressors!$A$1:$R$1,0)),"")</f>
        <v/>
      </c>
      <c r="M437" s="23" t="str">
        <f>IFERROR(VLOOKUP(A437,vdata_hours!$A$2:$B$1000,2,FALSE),"")</f>
        <v/>
      </c>
    </row>
    <row r="438" spans="1:13" x14ac:dyDescent="0.25">
      <c r="A438" s="23" t="str">
        <f>IF(vdata_hours!A437=0,"",vdata_hours!A437)</f>
        <v/>
      </c>
      <c r="B438" s="23" t="str">
        <f>IFERROR(INDEX(vdata_regressors!$A$1:$L$2000,MATCH($A438,vdata_regressors!$A$2:$A$2000,0)+1,MATCH(B$2,vdata_regressors!$A$1:$R$1,0)),"")</f>
        <v/>
      </c>
      <c r="C438" s="23" t="str">
        <f>IFERROR(INDEX(vdata_regressors!$A$1:$L$2000,MATCH($A438,vdata_regressors!$A$2:$A$2000,0)+1,MATCH(C$2,vdata_regressors!$A$1:$R$1,0)),"")</f>
        <v/>
      </c>
      <c r="D438" s="23" t="str">
        <f>IFERROR(INDEX(vdata_regressors!$A$1:$L$2000,MATCH($A438,vdata_regressors!$A$2:$A$2000,0)+1,MATCH(D$2,vdata_regressors!$A$1:$R$1,0)),"")</f>
        <v/>
      </c>
      <c r="E438" s="23" t="str">
        <f>IFERROR(INDEX(vdata_regressors!$A$1:$L$2000,MATCH($A438,vdata_regressors!$A$2:$A$2000,0)+1,MATCH(E$2,vdata_regressors!$A$1:$R$1,0)),"")</f>
        <v/>
      </c>
      <c r="F438" s="23" t="str">
        <f>IFERROR(INDEX(vdata_regressors!$A$1:$L$2000,MATCH($A438,vdata_regressors!$A$2:$A$2000,0)+1,MATCH(F$2,vdata_regressors!$A$1:$R$1,0)),"")</f>
        <v/>
      </c>
      <c r="G438" s="23" t="str">
        <f>IFERROR(INDEX(vdata_regressors!$A$1:$L$2000,MATCH($A438,vdata_regressors!$A$2:$A$2000,0)+1,MATCH(G$2,vdata_regressors!$A$1:$R$1,0)),"")</f>
        <v/>
      </c>
      <c r="H438" s="23" t="str">
        <f>IFERROR(INDEX(vdata_regressors!$A$1:$L$2000,MATCH($A438,vdata_regressors!$A$2:$A$2000,0)+1,MATCH(H$2,vdata_regressors!$A$1:$R$1,0)),"")</f>
        <v/>
      </c>
      <c r="I438" s="23" t="str">
        <f>IFERROR(INDEX(vdata_regressors!$A$1:$L$2000,MATCH($A438,vdata_regressors!$A$2:$A$2000,0)+1,MATCH(I$2,vdata_regressors!$A$1:$R$1,0)),"")</f>
        <v/>
      </c>
      <c r="J438" s="23" t="str">
        <f>IFERROR(INDEX(vdata_regressors!$A$1:$L$2000,MATCH($A438,vdata_regressors!$A$2:$A$2000,0)+1,MATCH(J$2,vdata_regressors!$A$1:$R$1,0)),"")</f>
        <v/>
      </c>
      <c r="K438" s="23" t="str">
        <f>IFERROR(INDEX(vdata_regressors!$A$1:$L$2000,MATCH($A438,vdata_regressors!$A$2:$A$2000,0)+1,MATCH(K$2,vdata_regressors!$A$1:$R$1,0)),"")</f>
        <v/>
      </c>
      <c r="L438" s="23" t="str">
        <f>IFERROR(INDEX(vdata_regressors!$A$1:$L$2000,MATCH($A438,vdata_regressors!$A$2:$A$2000,0)+1,MATCH(L$2,vdata_regressors!$A$1:$R$1,0)),"")</f>
        <v/>
      </c>
      <c r="M438" s="23" t="str">
        <f>IFERROR(VLOOKUP(A438,vdata_hours!$A$2:$B$1000,2,FALSE),"")</f>
        <v/>
      </c>
    </row>
    <row r="439" spans="1:13" x14ac:dyDescent="0.25">
      <c r="A439" s="23" t="str">
        <f>IF(vdata_hours!A438=0,"",vdata_hours!A438)</f>
        <v/>
      </c>
      <c r="B439" s="23" t="str">
        <f>IFERROR(INDEX(vdata_regressors!$A$1:$L$2000,MATCH($A439,vdata_regressors!$A$2:$A$2000,0)+1,MATCH(B$2,vdata_regressors!$A$1:$R$1,0)),"")</f>
        <v/>
      </c>
      <c r="C439" s="23" t="str">
        <f>IFERROR(INDEX(vdata_regressors!$A$1:$L$2000,MATCH($A439,vdata_regressors!$A$2:$A$2000,0)+1,MATCH(C$2,vdata_regressors!$A$1:$R$1,0)),"")</f>
        <v/>
      </c>
      <c r="D439" s="23" t="str">
        <f>IFERROR(INDEX(vdata_regressors!$A$1:$L$2000,MATCH($A439,vdata_regressors!$A$2:$A$2000,0)+1,MATCH(D$2,vdata_regressors!$A$1:$R$1,0)),"")</f>
        <v/>
      </c>
      <c r="E439" s="23" t="str">
        <f>IFERROR(INDEX(vdata_regressors!$A$1:$L$2000,MATCH($A439,vdata_regressors!$A$2:$A$2000,0)+1,MATCH(E$2,vdata_regressors!$A$1:$R$1,0)),"")</f>
        <v/>
      </c>
      <c r="F439" s="23" t="str">
        <f>IFERROR(INDEX(vdata_regressors!$A$1:$L$2000,MATCH($A439,vdata_regressors!$A$2:$A$2000,0)+1,MATCH(F$2,vdata_regressors!$A$1:$R$1,0)),"")</f>
        <v/>
      </c>
      <c r="G439" s="23" t="str">
        <f>IFERROR(INDEX(vdata_regressors!$A$1:$L$2000,MATCH($A439,vdata_regressors!$A$2:$A$2000,0)+1,MATCH(G$2,vdata_regressors!$A$1:$R$1,0)),"")</f>
        <v/>
      </c>
      <c r="H439" s="23" t="str">
        <f>IFERROR(INDEX(vdata_regressors!$A$1:$L$2000,MATCH($A439,vdata_regressors!$A$2:$A$2000,0)+1,MATCH(H$2,vdata_regressors!$A$1:$R$1,0)),"")</f>
        <v/>
      </c>
      <c r="I439" s="23" t="str">
        <f>IFERROR(INDEX(vdata_regressors!$A$1:$L$2000,MATCH($A439,vdata_regressors!$A$2:$A$2000,0)+1,MATCH(I$2,vdata_regressors!$A$1:$R$1,0)),"")</f>
        <v/>
      </c>
      <c r="J439" s="23" t="str">
        <f>IFERROR(INDEX(vdata_regressors!$A$1:$L$2000,MATCH($A439,vdata_regressors!$A$2:$A$2000,0)+1,MATCH(J$2,vdata_regressors!$A$1:$R$1,0)),"")</f>
        <v/>
      </c>
      <c r="K439" s="23" t="str">
        <f>IFERROR(INDEX(vdata_regressors!$A$1:$L$2000,MATCH($A439,vdata_regressors!$A$2:$A$2000,0)+1,MATCH(K$2,vdata_regressors!$A$1:$R$1,0)),"")</f>
        <v/>
      </c>
      <c r="L439" s="23" t="str">
        <f>IFERROR(INDEX(vdata_regressors!$A$1:$L$2000,MATCH($A439,vdata_regressors!$A$2:$A$2000,0)+1,MATCH(L$2,vdata_regressors!$A$1:$R$1,0)),"")</f>
        <v/>
      </c>
      <c r="M439" s="23" t="str">
        <f>IFERROR(VLOOKUP(A439,vdata_hours!$A$2:$B$1000,2,FALSE),"")</f>
        <v/>
      </c>
    </row>
    <row r="440" spans="1:13" x14ac:dyDescent="0.25">
      <c r="A440" s="23" t="str">
        <f>IF(vdata_hours!A439=0,"",vdata_hours!A439)</f>
        <v/>
      </c>
      <c r="B440" s="23" t="str">
        <f>IFERROR(INDEX(vdata_regressors!$A$1:$L$2000,MATCH($A440,vdata_regressors!$A$2:$A$2000,0)+1,MATCH(B$2,vdata_regressors!$A$1:$R$1,0)),"")</f>
        <v/>
      </c>
      <c r="C440" s="23" t="str">
        <f>IFERROR(INDEX(vdata_regressors!$A$1:$L$2000,MATCH($A440,vdata_regressors!$A$2:$A$2000,0)+1,MATCH(C$2,vdata_regressors!$A$1:$R$1,0)),"")</f>
        <v/>
      </c>
      <c r="D440" s="23" t="str">
        <f>IFERROR(INDEX(vdata_regressors!$A$1:$L$2000,MATCH($A440,vdata_regressors!$A$2:$A$2000,0)+1,MATCH(D$2,vdata_regressors!$A$1:$R$1,0)),"")</f>
        <v/>
      </c>
      <c r="E440" s="23" t="str">
        <f>IFERROR(INDEX(vdata_regressors!$A$1:$L$2000,MATCH($A440,vdata_regressors!$A$2:$A$2000,0)+1,MATCH(E$2,vdata_regressors!$A$1:$R$1,0)),"")</f>
        <v/>
      </c>
      <c r="F440" s="23" t="str">
        <f>IFERROR(INDEX(vdata_regressors!$A$1:$L$2000,MATCH($A440,vdata_regressors!$A$2:$A$2000,0)+1,MATCH(F$2,vdata_regressors!$A$1:$R$1,0)),"")</f>
        <v/>
      </c>
      <c r="G440" s="23" t="str">
        <f>IFERROR(INDEX(vdata_regressors!$A$1:$L$2000,MATCH($A440,vdata_regressors!$A$2:$A$2000,0)+1,MATCH(G$2,vdata_regressors!$A$1:$R$1,0)),"")</f>
        <v/>
      </c>
      <c r="H440" s="23" t="str">
        <f>IFERROR(INDEX(vdata_regressors!$A$1:$L$2000,MATCH($A440,vdata_regressors!$A$2:$A$2000,0)+1,MATCH(H$2,vdata_regressors!$A$1:$R$1,0)),"")</f>
        <v/>
      </c>
      <c r="I440" s="23" t="str">
        <f>IFERROR(INDEX(vdata_regressors!$A$1:$L$2000,MATCH($A440,vdata_regressors!$A$2:$A$2000,0)+1,MATCH(I$2,vdata_regressors!$A$1:$R$1,0)),"")</f>
        <v/>
      </c>
      <c r="J440" s="23" t="str">
        <f>IFERROR(INDEX(vdata_regressors!$A$1:$L$2000,MATCH($A440,vdata_regressors!$A$2:$A$2000,0)+1,MATCH(J$2,vdata_regressors!$A$1:$R$1,0)),"")</f>
        <v/>
      </c>
      <c r="K440" s="23" t="str">
        <f>IFERROR(INDEX(vdata_regressors!$A$1:$L$2000,MATCH($A440,vdata_regressors!$A$2:$A$2000,0)+1,MATCH(K$2,vdata_regressors!$A$1:$R$1,0)),"")</f>
        <v/>
      </c>
      <c r="L440" s="23" t="str">
        <f>IFERROR(INDEX(vdata_regressors!$A$1:$L$2000,MATCH($A440,vdata_regressors!$A$2:$A$2000,0)+1,MATCH(L$2,vdata_regressors!$A$1:$R$1,0)),"")</f>
        <v/>
      </c>
      <c r="M440" s="23" t="str">
        <f>IFERROR(VLOOKUP(A440,vdata_hours!$A$2:$B$1000,2,FALSE),"")</f>
        <v/>
      </c>
    </row>
    <row r="441" spans="1:13" x14ac:dyDescent="0.25">
      <c r="A441" s="23" t="str">
        <f>IF(vdata_hours!A440=0,"",vdata_hours!A440)</f>
        <v/>
      </c>
      <c r="B441" s="23" t="str">
        <f>IFERROR(INDEX(vdata_regressors!$A$1:$L$2000,MATCH($A441,vdata_regressors!$A$2:$A$2000,0)+1,MATCH(B$2,vdata_regressors!$A$1:$R$1,0)),"")</f>
        <v/>
      </c>
      <c r="C441" s="23" t="str">
        <f>IFERROR(INDEX(vdata_regressors!$A$1:$L$2000,MATCH($A441,vdata_regressors!$A$2:$A$2000,0)+1,MATCH(C$2,vdata_regressors!$A$1:$R$1,0)),"")</f>
        <v/>
      </c>
      <c r="D441" s="23" t="str">
        <f>IFERROR(INDEX(vdata_regressors!$A$1:$L$2000,MATCH($A441,vdata_regressors!$A$2:$A$2000,0)+1,MATCH(D$2,vdata_regressors!$A$1:$R$1,0)),"")</f>
        <v/>
      </c>
      <c r="E441" s="23" t="str">
        <f>IFERROR(INDEX(vdata_regressors!$A$1:$L$2000,MATCH($A441,vdata_regressors!$A$2:$A$2000,0)+1,MATCH(E$2,vdata_regressors!$A$1:$R$1,0)),"")</f>
        <v/>
      </c>
      <c r="F441" s="23" t="str">
        <f>IFERROR(INDEX(vdata_regressors!$A$1:$L$2000,MATCH($A441,vdata_regressors!$A$2:$A$2000,0)+1,MATCH(F$2,vdata_regressors!$A$1:$R$1,0)),"")</f>
        <v/>
      </c>
      <c r="G441" s="23" t="str">
        <f>IFERROR(INDEX(vdata_regressors!$A$1:$L$2000,MATCH($A441,vdata_regressors!$A$2:$A$2000,0)+1,MATCH(G$2,vdata_regressors!$A$1:$R$1,0)),"")</f>
        <v/>
      </c>
      <c r="H441" s="23" t="str">
        <f>IFERROR(INDEX(vdata_regressors!$A$1:$L$2000,MATCH($A441,vdata_regressors!$A$2:$A$2000,0)+1,MATCH(H$2,vdata_regressors!$A$1:$R$1,0)),"")</f>
        <v/>
      </c>
      <c r="I441" s="23" t="str">
        <f>IFERROR(INDEX(vdata_regressors!$A$1:$L$2000,MATCH($A441,vdata_regressors!$A$2:$A$2000,0)+1,MATCH(I$2,vdata_regressors!$A$1:$R$1,0)),"")</f>
        <v/>
      </c>
      <c r="J441" s="23" t="str">
        <f>IFERROR(INDEX(vdata_regressors!$A$1:$L$2000,MATCH($A441,vdata_regressors!$A$2:$A$2000,0)+1,MATCH(J$2,vdata_regressors!$A$1:$R$1,0)),"")</f>
        <v/>
      </c>
      <c r="K441" s="23" t="str">
        <f>IFERROR(INDEX(vdata_regressors!$A$1:$L$2000,MATCH($A441,vdata_regressors!$A$2:$A$2000,0)+1,MATCH(K$2,vdata_regressors!$A$1:$R$1,0)),"")</f>
        <v/>
      </c>
      <c r="L441" s="23" t="str">
        <f>IFERROR(INDEX(vdata_regressors!$A$1:$L$2000,MATCH($A441,vdata_regressors!$A$2:$A$2000,0)+1,MATCH(L$2,vdata_regressors!$A$1:$R$1,0)),"")</f>
        <v/>
      </c>
      <c r="M441" s="23" t="str">
        <f>IFERROR(VLOOKUP(A441,vdata_hours!$A$2:$B$1000,2,FALSE),"")</f>
        <v/>
      </c>
    </row>
    <row r="442" spans="1:13" x14ac:dyDescent="0.25">
      <c r="A442" s="23" t="str">
        <f>IF(vdata_hours!A441=0,"",vdata_hours!A441)</f>
        <v/>
      </c>
      <c r="B442" s="23" t="str">
        <f>IFERROR(INDEX(vdata_regressors!$A$1:$L$2000,MATCH($A442,vdata_regressors!$A$2:$A$2000,0)+1,MATCH(B$2,vdata_regressors!$A$1:$R$1,0)),"")</f>
        <v/>
      </c>
      <c r="C442" s="23" t="str">
        <f>IFERROR(INDEX(vdata_regressors!$A$1:$L$2000,MATCH($A442,vdata_regressors!$A$2:$A$2000,0)+1,MATCH(C$2,vdata_regressors!$A$1:$R$1,0)),"")</f>
        <v/>
      </c>
      <c r="D442" s="23" t="str">
        <f>IFERROR(INDEX(vdata_regressors!$A$1:$L$2000,MATCH($A442,vdata_regressors!$A$2:$A$2000,0)+1,MATCH(D$2,vdata_regressors!$A$1:$R$1,0)),"")</f>
        <v/>
      </c>
      <c r="E442" s="23" t="str">
        <f>IFERROR(INDEX(vdata_regressors!$A$1:$L$2000,MATCH($A442,vdata_regressors!$A$2:$A$2000,0)+1,MATCH(E$2,vdata_regressors!$A$1:$R$1,0)),"")</f>
        <v/>
      </c>
      <c r="F442" s="23" t="str">
        <f>IFERROR(INDEX(vdata_regressors!$A$1:$L$2000,MATCH($A442,vdata_regressors!$A$2:$A$2000,0)+1,MATCH(F$2,vdata_regressors!$A$1:$R$1,0)),"")</f>
        <v/>
      </c>
      <c r="G442" s="23" t="str">
        <f>IFERROR(INDEX(vdata_regressors!$A$1:$L$2000,MATCH($A442,vdata_regressors!$A$2:$A$2000,0)+1,MATCH(G$2,vdata_regressors!$A$1:$R$1,0)),"")</f>
        <v/>
      </c>
      <c r="H442" s="23" t="str">
        <f>IFERROR(INDEX(vdata_regressors!$A$1:$L$2000,MATCH($A442,vdata_regressors!$A$2:$A$2000,0)+1,MATCH(H$2,vdata_regressors!$A$1:$R$1,0)),"")</f>
        <v/>
      </c>
      <c r="I442" s="23" t="str">
        <f>IFERROR(INDEX(vdata_regressors!$A$1:$L$2000,MATCH($A442,vdata_regressors!$A$2:$A$2000,0)+1,MATCH(I$2,vdata_regressors!$A$1:$R$1,0)),"")</f>
        <v/>
      </c>
      <c r="J442" s="23" t="str">
        <f>IFERROR(INDEX(vdata_regressors!$A$1:$L$2000,MATCH($A442,vdata_regressors!$A$2:$A$2000,0)+1,MATCH(J$2,vdata_regressors!$A$1:$R$1,0)),"")</f>
        <v/>
      </c>
      <c r="K442" s="23" t="str">
        <f>IFERROR(INDEX(vdata_regressors!$A$1:$L$2000,MATCH($A442,vdata_regressors!$A$2:$A$2000,0)+1,MATCH(K$2,vdata_regressors!$A$1:$R$1,0)),"")</f>
        <v/>
      </c>
      <c r="L442" s="23" t="str">
        <f>IFERROR(INDEX(vdata_regressors!$A$1:$L$2000,MATCH($A442,vdata_regressors!$A$2:$A$2000,0)+1,MATCH(L$2,vdata_regressors!$A$1:$R$1,0)),"")</f>
        <v/>
      </c>
      <c r="M442" s="23" t="str">
        <f>IFERROR(VLOOKUP(A442,vdata_hours!$A$2:$B$1000,2,FALSE),"")</f>
        <v/>
      </c>
    </row>
    <row r="443" spans="1:13" x14ac:dyDescent="0.25">
      <c r="A443" s="23" t="str">
        <f>IF(vdata_hours!A442=0,"",vdata_hours!A442)</f>
        <v/>
      </c>
      <c r="B443" s="23" t="str">
        <f>IFERROR(INDEX(vdata_regressors!$A$1:$L$2000,MATCH($A443,vdata_regressors!$A$2:$A$2000,0)+1,MATCH(B$2,vdata_regressors!$A$1:$R$1,0)),"")</f>
        <v/>
      </c>
      <c r="C443" s="23" t="str">
        <f>IFERROR(INDEX(vdata_regressors!$A$1:$L$2000,MATCH($A443,vdata_regressors!$A$2:$A$2000,0)+1,MATCH(C$2,vdata_regressors!$A$1:$R$1,0)),"")</f>
        <v/>
      </c>
      <c r="D443" s="23" t="str">
        <f>IFERROR(INDEX(vdata_regressors!$A$1:$L$2000,MATCH($A443,vdata_regressors!$A$2:$A$2000,0)+1,MATCH(D$2,vdata_regressors!$A$1:$R$1,0)),"")</f>
        <v/>
      </c>
      <c r="E443" s="23" t="str">
        <f>IFERROR(INDEX(vdata_regressors!$A$1:$L$2000,MATCH($A443,vdata_regressors!$A$2:$A$2000,0)+1,MATCH(E$2,vdata_regressors!$A$1:$R$1,0)),"")</f>
        <v/>
      </c>
      <c r="F443" s="23" t="str">
        <f>IFERROR(INDEX(vdata_regressors!$A$1:$L$2000,MATCH($A443,vdata_regressors!$A$2:$A$2000,0)+1,MATCH(F$2,vdata_regressors!$A$1:$R$1,0)),"")</f>
        <v/>
      </c>
      <c r="G443" s="23" t="str">
        <f>IFERROR(INDEX(vdata_regressors!$A$1:$L$2000,MATCH($A443,vdata_regressors!$A$2:$A$2000,0)+1,MATCH(G$2,vdata_regressors!$A$1:$R$1,0)),"")</f>
        <v/>
      </c>
      <c r="H443" s="23" t="str">
        <f>IFERROR(INDEX(vdata_regressors!$A$1:$L$2000,MATCH($A443,vdata_regressors!$A$2:$A$2000,0)+1,MATCH(H$2,vdata_regressors!$A$1:$R$1,0)),"")</f>
        <v/>
      </c>
      <c r="I443" s="23" t="str">
        <f>IFERROR(INDEX(vdata_regressors!$A$1:$L$2000,MATCH($A443,vdata_regressors!$A$2:$A$2000,0)+1,MATCH(I$2,vdata_regressors!$A$1:$R$1,0)),"")</f>
        <v/>
      </c>
      <c r="J443" s="23" t="str">
        <f>IFERROR(INDEX(vdata_regressors!$A$1:$L$2000,MATCH($A443,vdata_regressors!$A$2:$A$2000,0)+1,MATCH(J$2,vdata_regressors!$A$1:$R$1,0)),"")</f>
        <v/>
      </c>
      <c r="K443" s="23" t="str">
        <f>IFERROR(INDEX(vdata_regressors!$A$1:$L$2000,MATCH($A443,vdata_regressors!$A$2:$A$2000,0)+1,MATCH(K$2,vdata_regressors!$A$1:$R$1,0)),"")</f>
        <v/>
      </c>
      <c r="L443" s="23" t="str">
        <f>IFERROR(INDEX(vdata_regressors!$A$1:$L$2000,MATCH($A443,vdata_regressors!$A$2:$A$2000,0)+1,MATCH(L$2,vdata_regressors!$A$1:$R$1,0)),"")</f>
        <v/>
      </c>
      <c r="M443" s="23" t="str">
        <f>IFERROR(VLOOKUP(A443,vdata_hours!$A$2:$B$1000,2,FALSE),"")</f>
        <v/>
      </c>
    </row>
    <row r="444" spans="1:13" x14ac:dyDescent="0.25">
      <c r="A444" s="23" t="str">
        <f>IF(vdata_hours!A443=0,"",vdata_hours!A443)</f>
        <v/>
      </c>
      <c r="B444" s="23" t="str">
        <f>IFERROR(INDEX(vdata_regressors!$A$1:$L$2000,MATCH($A444,vdata_regressors!$A$2:$A$2000,0)+1,MATCH(B$2,vdata_regressors!$A$1:$R$1,0)),"")</f>
        <v/>
      </c>
      <c r="C444" s="23" t="str">
        <f>IFERROR(INDEX(vdata_regressors!$A$1:$L$2000,MATCH($A444,vdata_regressors!$A$2:$A$2000,0)+1,MATCH(C$2,vdata_regressors!$A$1:$R$1,0)),"")</f>
        <v/>
      </c>
      <c r="D444" s="23" t="str">
        <f>IFERROR(INDEX(vdata_regressors!$A$1:$L$2000,MATCH($A444,vdata_regressors!$A$2:$A$2000,0)+1,MATCH(D$2,vdata_regressors!$A$1:$R$1,0)),"")</f>
        <v/>
      </c>
      <c r="E444" s="23" t="str">
        <f>IFERROR(INDEX(vdata_regressors!$A$1:$L$2000,MATCH($A444,vdata_regressors!$A$2:$A$2000,0)+1,MATCH(E$2,vdata_regressors!$A$1:$R$1,0)),"")</f>
        <v/>
      </c>
      <c r="F444" s="23" t="str">
        <f>IFERROR(INDEX(vdata_regressors!$A$1:$L$2000,MATCH($A444,vdata_regressors!$A$2:$A$2000,0)+1,MATCH(F$2,vdata_regressors!$A$1:$R$1,0)),"")</f>
        <v/>
      </c>
      <c r="G444" s="23" t="str">
        <f>IFERROR(INDEX(vdata_regressors!$A$1:$L$2000,MATCH($A444,vdata_regressors!$A$2:$A$2000,0)+1,MATCH(G$2,vdata_regressors!$A$1:$R$1,0)),"")</f>
        <v/>
      </c>
      <c r="H444" s="23" t="str">
        <f>IFERROR(INDEX(vdata_regressors!$A$1:$L$2000,MATCH($A444,vdata_regressors!$A$2:$A$2000,0)+1,MATCH(H$2,vdata_regressors!$A$1:$R$1,0)),"")</f>
        <v/>
      </c>
      <c r="I444" s="23" t="str">
        <f>IFERROR(INDEX(vdata_regressors!$A$1:$L$2000,MATCH($A444,vdata_regressors!$A$2:$A$2000,0)+1,MATCH(I$2,vdata_regressors!$A$1:$R$1,0)),"")</f>
        <v/>
      </c>
      <c r="J444" s="23" t="str">
        <f>IFERROR(INDEX(vdata_regressors!$A$1:$L$2000,MATCH($A444,vdata_regressors!$A$2:$A$2000,0)+1,MATCH(J$2,vdata_regressors!$A$1:$R$1,0)),"")</f>
        <v/>
      </c>
      <c r="K444" s="23" t="str">
        <f>IFERROR(INDEX(vdata_regressors!$A$1:$L$2000,MATCH($A444,vdata_regressors!$A$2:$A$2000,0)+1,MATCH(K$2,vdata_regressors!$A$1:$R$1,0)),"")</f>
        <v/>
      </c>
      <c r="L444" s="23" t="str">
        <f>IFERROR(INDEX(vdata_regressors!$A$1:$L$2000,MATCH($A444,vdata_regressors!$A$2:$A$2000,0)+1,MATCH(L$2,vdata_regressors!$A$1:$R$1,0)),"")</f>
        <v/>
      </c>
      <c r="M444" s="23" t="str">
        <f>IFERROR(VLOOKUP(A444,vdata_hours!$A$2:$B$1000,2,FALSE),"")</f>
        <v/>
      </c>
    </row>
    <row r="445" spans="1:13" x14ac:dyDescent="0.25">
      <c r="A445" s="23" t="str">
        <f>IF(vdata_hours!A444=0,"",vdata_hours!A444)</f>
        <v/>
      </c>
      <c r="B445" s="23" t="str">
        <f>IFERROR(INDEX(vdata_regressors!$A$1:$L$2000,MATCH($A445,vdata_regressors!$A$2:$A$2000,0)+1,MATCH(B$2,vdata_regressors!$A$1:$R$1,0)),"")</f>
        <v/>
      </c>
      <c r="C445" s="23" t="str">
        <f>IFERROR(INDEX(vdata_regressors!$A$1:$L$2000,MATCH($A445,vdata_regressors!$A$2:$A$2000,0)+1,MATCH(C$2,vdata_regressors!$A$1:$R$1,0)),"")</f>
        <v/>
      </c>
      <c r="D445" s="23" t="str">
        <f>IFERROR(INDEX(vdata_regressors!$A$1:$L$2000,MATCH($A445,vdata_regressors!$A$2:$A$2000,0)+1,MATCH(D$2,vdata_regressors!$A$1:$R$1,0)),"")</f>
        <v/>
      </c>
      <c r="E445" s="23" t="str">
        <f>IFERROR(INDEX(vdata_regressors!$A$1:$L$2000,MATCH($A445,vdata_regressors!$A$2:$A$2000,0)+1,MATCH(E$2,vdata_regressors!$A$1:$R$1,0)),"")</f>
        <v/>
      </c>
      <c r="F445" s="23" t="str">
        <f>IFERROR(INDEX(vdata_regressors!$A$1:$L$2000,MATCH($A445,vdata_regressors!$A$2:$A$2000,0)+1,MATCH(F$2,vdata_regressors!$A$1:$R$1,0)),"")</f>
        <v/>
      </c>
      <c r="G445" s="23" t="str">
        <f>IFERROR(INDEX(vdata_regressors!$A$1:$L$2000,MATCH($A445,vdata_regressors!$A$2:$A$2000,0)+1,MATCH(G$2,vdata_regressors!$A$1:$R$1,0)),"")</f>
        <v/>
      </c>
      <c r="H445" s="23" t="str">
        <f>IFERROR(INDEX(vdata_regressors!$A$1:$L$2000,MATCH($A445,vdata_regressors!$A$2:$A$2000,0)+1,MATCH(H$2,vdata_regressors!$A$1:$R$1,0)),"")</f>
        <v/>
      </c>
      <c r="I445" s="23" t="str">
        <f>IFERROR(INDEX(vdata_regressors!$A$1:$L$2000,MATCH($A445,vdata_regressors!$A$2:$A$2000,0)+1,MATCH(I$2,vdata_regressors!$A$1:$R$1,0)),"")</f>
        <v/>
      </c>
      <c r="J445" s="23" t="str">
        <f>IFERROR(INDEX(vdata_regressors!$A$1:$L$2000,MATCH($A445,vdata_regressors!$A$2:$A$2000,0)+1,MATCH(J$2,vdata_regressors!$A$1:$R$1,0)),"")</f>
        <v/>
      </c>
      <c r="K445" s="23" t="str">
        <f>IFERROR(INDEX(vdata_regressors!$A$1:$L$2000,MATCH($A445,vdata_regressors!$A$2:$A$2000,0)+1,MATCH(K$2,vdata_regressors!$A$1:$R$1,0)),"")</f>
        <v/>
      </c>
      <c r="L445" s="23" t="str">
        <f>IFERROR(INDEX(vdata_regressors!$A$1:$L$2000,MATCH($A445,vdata_regressors!$A$2:$A$2000,0)+1,MATCH(L$2,vdata_regressors!$A$1:$R$1,0)),"")</f>
        <v/>
      </c>
      <c r="M445" s="23" t="str">
        <f>IFERROR(VLOOKUP(A445,vdata_hours!$A$2:$B$1000,2,FALSE),"")</f>
        <v/>
      </c>
    </row>
    <row r="446" spans="1:13" x14ac:dyDescent="0.25">
      <c r="A446" s="23" t="str">
        <f>IF(vdata_hours!A445=0,"",vdata_hours!A445)</f>
        <v/>
      </c>
      <c r="B446" s="23" t="str">
        <f>IFERROR(INDEX(vdata_regressors!$A$1:$L$2000,MATCH($A446,vdata_regressors!$A$2:$A$2000,0)+1,MATCH(B$2,vdata_regressors!$A$1:$R$1,0)),"")</f>
        <v/>
      </c>
      <c r="C446" s="23" t="str">
        <f>IFERROR(INDEX(vdata_regressors!$A$1:$L$2000,MATCH($A446,vdata_regressors!$A$2:$A$2000,0)+1,MATCH(C$2,vdata_regressors!$A$1:$R$1,0)),"")</f>
        <v/>
      </c>
      <c r="D446" s="23" t="str">
        <f>IFERROR(INDEX(vdata_regressors!$A$1:$L$2000,MATCH($A446,vdata_regressors!$A$2:$A$2000,0)+1,MATCH(D$2,vdata_regressors!$A$1:$R$1,0)),"")</f>
        <v/>
      </c>
      <c r="E446" s="23" t="str">
        <f>IFERROR(INDEX(vdata_regressors!$A$1:$L$2000,MATCH($A446,vdata_regressors!$A$2:$A$2000,0)+1,MATCH(E$2,vdata_regressors!$A$1:$R$1,0)),"")</f>
        <v/>
      </c>
      <c r="F446" s="23" t="str">
        <f>IFERROR(INDEX(vdata_regressors!$A$1:$L$2000,MATCH($A446,vdata_regressors!$A$2:$A$2000,0)+1,MATCH(F$2,vdata_regressors!$A$1:$R$1,0)),"")</f>
        <v/>
      </c>
      <c r="G446" s="23" t="str">
        <f>IFERROR(INDEX(vdata_regressors!$A$1:$L$2000,MATCH($A446,vdata_regressors!$A$2:$A$2000,0)+1,MATCH(G$2,vdata_regressors!$A$1:$R$1,0)),"")</f>
        <v/>
      </c>
      <c r="H446" s="23" t="str">
        <f>IFERROR(INDEX(vdata_regressors!$A$1:$L$2000,MATCH($A446,vdata_regressors!$A$2:$A$2000,0)+1,MATCH(H$2,vdata_regressors!$A$1:$R$1,0)),"")</f>
        <v/>
      </c>
      <c r="I446" s="23" t="str">
        <f>IFERROR(INDEX(vdata_regressors!$A$1:$L$2000,MATCH($A446,vdata_regressors!$A$2:$A$2000,0)+1,MATCH(I$2,vdata_regressors!$A$1:$R$1,0)),"")</f>
        <v/>
      </c>
      <c r="J446" s="23" t="str">
        <f>IFERROR(INDEX(vdata_regressors!$A$1:$L$2000,MATCH($A446,vdata_regressors!$A$2:$A$2000,0)+1,MATCH(J$2,vdata_regressors!$A$1:$R$1,0)),"")</f>
        <v/>
      </c>
      <c r="K446" s="23" t="str">
        <f>IFERROR(INDEX(vdata_regressors!$A$1:$L$2000,MATCH($A446,vdata_regressors!$A$2:$A$2000,0)+1,MATCH(K$2,vdata_regressors!$A$1:$R$1,0)),"")</f>
        <v/>
      </c>
      <c r="L446" s="23" t="str">
        <f>IFERROR(INDEX(vdata_regressors!$A$1:$L$2000,MATCH($A446,vdata_regressors!$A$2:$A$2000,0)+1,MATCH(L$2,vdata_regressors!$A$1:$R$1,0)),"")</f>
        <v/>
      </c>
      <c r="M446" s="23" t="str">
        <f>IFERROR(VLOOKUP(A446,vdata_hours!$A$2:$B$1000,2,FALSE),"")</f>
        <v/>
      </c>
    </row>
    <row r="447" spans="1:13" x14ac:dyDescent="0.25">
      <c r="A447" s="23" t="str">
        <f>IF(vdata_hours!A446=0,"",vdata_hours!A446)</f>
        <v/>
      </c>
      <c r="B447" s="23" t="str">
        <f>IFERROR(INDEX(vdata_regressors!$A$1:$L$2000,MATCH($A447,vdata_regressors!$A$2:$A$2000,0)+1,MATCH(B$2,vdata_regressors!$A$1:$R$1,0)),"")</f>
        <v/>
      </c>
      <c r="C447" s="23" t="str">
        <f>IFERROR(INDEX(vdata_regressors!$A$1:$L$2000,MATCH($A447,vdata_regressors!$A$2:$A$2000,0)+1,MATCH(C$2,vdata_regressors!$A$1:$R$1,0)),"")</f>
        <v/>
      </c>
      <c r="D447" s="23" t="str">
        <f>IFERROR(INDEX(vdata_regressors!$A$1:$L$2000,MATCH($A447,vdata_regressors!$A$2:$A$2000,0)+1,MATCH(D$2,vdata_regressors!$A$1:$R$1,0)),"")</f>
        <v/>
      </c>
      <c r="E447" s="23" t="str">
        <f>IFERROR(INDEX(vdata_regressors!$A$1:$L$2000,MATCH($A447,vdata_regressors!$A$2:$A$2000,0)+1,MATCH(E$2,vdata_regressors!$A$1:$R$1,0)),"")</f>
        <v/>
      </c>
      <c r="F447" s="23" t="str">
        <f>IFERROR(INDEX(vdata_regressors!$A$1:$L$2000,MATCH($A447,vdata_regressors!$A$2:$A$2000,0)+1,MATCH(F$2,vdata_regressors!$A$1:$R$1,0)),"")</f>
        <v/>
      </c>
      <c r="G447" s="23" t="str">
        <f>IFERROR(INDEX(vdata_regressors!$A$1:$L$2000,MATCH($A447,vdata_regressors!$A$2:$A$2000,0)+1,MATCH(G$2,vdata_regressors!$A$1:$R$1,0)),"")</f>
        <v/>
      </c>
      <c r="H447" s="23" t="str">
        <f>IFERROR(INDEX(vdata_regressors!$A$1:$L$2000,MATCH($A447,vdata_regressors!$A$2:$A$2000,0)+1,MATCH(H$2,vdata_regressors!$A$1:$R$1,0)),"")</f>
        <v/>
      </c>
      <c r="I447" s="23" t="str">
        <f>IFERROR(INDEX(vdata_regressors!$A$1:$L$2000,MATCH($A447,vdata_regressors!$A$2:$A$2000,0)+1,MATCH(I$2,vdata_regressors!$A$1:$R$1,0)),"")</f>
        <v/>
      </c>
      <c r="J447" s="23" t="str">
        <f>IFERROR(INDEX(vdata_regressors!$A$1:$L$2000,MATCH($A447,vdata_regressors!$A$2:$A$2000,0)+1,MATCH(J$2,vdata_regressors!$A$1:$R$1,0)),"")</f>
        <v/>
      </c>
      <c r="K447" s="23" t="str">
        <f>IFERROR(INDEX(vdata_regressors!$A$1:$L$2000,MATCH($A447,vdata_regressors!$A$2:$A$2000,0)+1,MATCH(K$2,vdata_regressors!$A$1:$R$1,0)),"")</f>
        <v/>
      </c>
      <c r="L447" s="23" t="str">
        <f>IFERROR(INDEX(vdata_regressors!$A$1:$L$2000,MATCH($A447,vdata_regressors!$A$2:$A$2000,0)+1,MATCH(L$2,vdata_regressors!$A$1:$R$1,0)),"")</f>
        <v/>
      </c>
      <c r="M447" s="23" t="str">
        <f>IFERROR(VLOOKUP(A447,vdata_hours!$A$2:$B$1000,2,FALSE),"")</f>
        <v/>
      </c>
    </row>
    <row r="448" spans="1:13" x14ac:dyDescent="0.25">
      <c r="A448" s="23" t="str">
        <f>IF(vdata_hours!A447=0,"",vdata_hours!A447)</f>
        <v/>
      </c>
      <c r="B448" s="23" t="str">
        <f>IFERROR(INDEX(vdata_regressors!$A$1:$L$2000,MATCH($A448,vdata_regressors!$A$2:$A$2000,0)+1,MATCH(B$2,vdata_regressors!$A$1:$R$1,0)),"")</f>
        <v/>
      </c>
      <c r="C448" s="23" t="str">
        <f>IFERROR(INDEX(vdata_regressors!$A$1:$L$2000,MATCH($A448,vdata_regressors!$A$2:$A$2000,0)+1,MATCH(C$2,vdata_regressors!$A$1:$R$1,0)),"")</f>
        <v/>
      </c>
      <c r="D448" s="23" t="str">
        <f>IFERROR(INDEX(vdata_regressors!$A$1:$L$2000,MATCH($A448,vdata_regressors!$A$2:$A$2000,0)+1,MATCH(D$2,vdata_regressors!$A$1:$R$1,0)),"")</f>
        <v/>
      </c>
      <c r="E448" s="23" t="str">
        <f>IFERROR(INDEX(vdata_regressors!$A$1:$L$2000,MATCH($A448,vdata_regressors!$A$2:$A$2000,0)+1,MATCH(E$2,vdata_regressors!$A$1:$R$1,0)),"")</f>
        <v/>
      </c>
      <c r="F448" s="23" t="str">
        <f>IFERROR(INDEX(vdata_regressors!$A$1:$L$2000,MATCH($A448,vdata_regressors!$A$2:$A$2000,0)+1,MATCH(F$2,vdata_regressors!$A$1:$R$1,0)),"")</f>
        <v/>
      </c>
      <c r="G448" s="23" t="str">
        <f>IFERROR(INDEX(vdata_regressors!$A$1:$L$2000,MATCH($A448,vdata_regressors!$A$2:$A$2000,0)+1,MATCH(G$2,vdata_regressors!$A$1:$R$1,0)),"")</f>
        <v/>
      </c>
      <c r="H448" s="23" t="str">
        <f>IFERROR(INDEX(vdata_regressors!$A$1:$L$2000,MATCH($A448,vdata_regressors!$A$2:$A$2000,0)+1,MATCH(H$2,vdata_regressors!$A$1:$R$1,0)),"")</f>
        <v/>
      </c>
      <c r="I448" s="23" t="str">
        <f>IFERROR(INDEX(vdata_regressors!$A$1:$L$2000,MATCH($A448,vdata_regressors!$A$2:$A$2000,0)+1,MATCH(I$2,vdata_regressors!$A$1:$R$1,0)),"")</f>
        <v/>
      </c>
      <c r="J448" s="23" t="str">
        <f>IFERROR(INDEX(vdata_regressors!$A$1:$L$2000,MATCH($A448,vdata_regressors!$A$2:$A$2000,0)+1,MATCH(J$2,vdata_regressors!$A$1:$R$1,0)),"")</f>
        <v/>
      </c>
      <c r="K448" s="23" t="str">
        <f>IFERROR(INDEX(vdata_regressors!$A$1:$L$2000,MATCH($A448,vdata_regressors!$A$2:$A$2000,0)+1,MATCH(K$2,vdata_regressors!$A$1:$R$1,0)),"")</f>
        <v/>
      </c>
      <c r="L448" s="23" t="str">
        <f>IFERROR(INDEX(vdata_regressors!$A$1:$L$2000,MATCH($A448,vdata_regressors!$A$2:$A$2000,0)+1,MATCH(L$2,vdata_regressors!$A$1:$R$1,0)),"")</f>
        <v/>
      </c>
      <c r="M448" s="23" t="str">
        <f>IFERROR(VLOOKUP(A448,vdata_hours!$A$2:$B$1000,2,FALSE),"")</f>
        <v/>
      </c>
    </row>
    <row r="449" spans="1:13" x14ac:dyDescent="0.25">
      <c r="A449" s="23" t="str">
        <f>IF(vdata_hours!A448=0,"",vdata_hours!A448)</f>
        <v/>
      </c>
      <c r="B449" s="23" t="str">
        <f>IFERROR(INDEX(vdata_regressors!$A$1:$L$2000,MATCH($A449,vdata_regressors!$A$2:$A$2000,0)+1,MATCH(B$2,vdata_regressors!$A$1:$R$1,0)),"")</f>
        <v/>
      </c>
      <c r="C449" s="23" t="str">
        <f>IFERROR(INDEX(vdata_regressors!$A$1:$L$2000,MATCH($A449,vdata_regressors!$A$2:$A$2000,0)+1,MATCH(C$2,vdata_regressors!$A$1:$R$1,0)),"")</f>
        <v/>
      </c>
      <c r="D449" s="23" t="str">
        <f>IFERROR(INDEX(vdata_regressors!$A$1:$L$2000,MATCH($A449,vdata_regressors!$A$2:$A$2000,0)+1,MATCH(D$2,vdata_regressors!$A$1:$R$1,0)),"")</f>
        <v/>
      </c>
      <c r="E449" s="23" t="str">
        <f>IFERROR(INDEX(vdata_regressors!$A$1:$L$2000,MATCH($A449,vdata_regressors!$A$2:$A$2000,0)+1,MATCH(E$2,vdata_regressors!$A$1:$R$1,0)),"")</f>
        <v/>
      </c>
      <c r="F449" s="23" t="str">
        <f>IFERROR(INDEX(vdata_regressors!$A$1:$L$2000,MATCH($A449,vdata_regressors!$A$2:$A$2000,0)+1,MATCH(F$2,vdata_regressors!$A$1:$R$1,0)),"")</f>
        <v/>
      </c>
      <c r="G449" s="23" t="str">
        <f>IFERROR(INDEX(vdata_regressors!$A$1:$L$2000,MATCH($A449,vdata_regressors!$A$2:$A$2000,0)+1,MATCH(G$2,vdata_regressors!$A$1:$R$1,0)),"")</f>
        <v/>
      </c>
      <c r="H449" s="23" t="str">
        <f>IFERROR(INDEX(vdata_regressors!$A$1:$L$2000,MATCH($A449,vdata_regressors!$A$2:$A$2000,0)+1,MATCH(H$2,vdata_regressors!$A$1:$R$1,0)),"")</f>
        <v/>
      </c>
      <c r="I449" s="23" t="str">
        <f>IFERROR(INDEX(vdata_regressors!$A$1:$L$2000,MATCH($A449,vdata_regressors!$A$2:$A$2000,0)+1,MATCH(I$2,vdata_regressors!$A$1:$R$1,0)),"")</f>
        <v/>
      </c>
      <c r="J449" s="23" t="str">
        <f>IFERROR(INDEX(vdata_regressors!$A$1:$L$2000,MATCH($A449,vdata_regressors!$A$2:$A$2000,0)+1,MATCH(J$2,vdata_regressors!$A$1:$R$1,0)),"")</f>
        <v/>
      </c>
      <c r="K449" s="23" t="str">
        <f>IFERROR(INDEX(vdata_regressors!$A$1:$L$2000,MATCH($A449,vdata_regressors!$A$2:$A$2000,0)+1,MATCH(K$2,vdata_regressors!$A$1:$R$1,0)),"")</f>
        <v/>
      </c>
      <c r="L449" s="23" t="str">
        <f>IFERROR(INDEX(vdata_regressors!$A$1:$L$2000,MATCH($A449,vdata_regressors!$A$2:$A$2000,0)+1,MATCH(L$2,vdata_regressors!$A$1:$R$1,0)),"")</f>
        <v/>
      </c>
      <c r="M449" s="23" t="str">
        <f>IFERROR(VLOOKUP(A449,vdata_hours!$A$2:$B$1000,2,FALSE),"")</f>
        <v/>
      </c>
    </row>
    <row r="450" spans="1:13" x14ac:dyDescent="0.25">
      <c r="A450" s="23" t="str">
        <f>IF(vdata_hours!A449=0,"",vdata_hours!A449)</f>
        <v/>
      </c>
      <c r="B450" s="23" t="str">
        <f>IFERROR(INDEX(vdata_regressors!$A$1:$L$2000,MATCH($A450,vdata_regressors!$A$2:$A$2000,0)+1,MATCH(B$2,vdata_regressors!$A$1:$R$1,0)),"")</f>
        <v/>
      </c>
      <c r="C450" s="23" t="str">
        <f>IFERROR(INDEX(vdata_regressors!$A$1:$L$2000,MATCH($A450,vdata_regressors!$A$2:$A$2000,0)+1,MATCH(C$2,vdata_regressors!$A$1:$R$1,0)),"")</f>
        <v/>
      </c>
      <c r="D450" s="23" t="str">
        <f>IFERROR(INDEX(vdata_regressors!$A$1:$L$2000,MATCH($A450,vdata_regressors!$A$2:$A$2000,0)+1,MATCH(D$2,vdata_regressors!$A$1:$R$1,0)),"")</f>
        <v/>
      </c>
      <c r="E450" s="23" t="str">
        <f>IFERROR(INDEX(vdata_regressors!$A$1:$L$2000,MATCH($A450,vdata_regressors!$A$2:$A$2000,0)+1,MATCH(E$2,vdata_regressors!$A$1:$R$1,0)),"")</f>
        <v/>
      </c>
      <c r="F450" s="23" t="str">
        <f>IFERROR(INDEX(vdata_regressors!$A$1:$L$2000,MATCH($A450,vdata_regressors!$A$2:$A$2000,0)+1,MATCH(F$2,vdata_regressors!$A$1:$R$1,0)),"")</f>
        <v/>
      </c>
      <c r="G450" s="23" t="str">
        <f>IFERROR(INDEX(vdata_regressors!$A$1:$L$2000,MATCH($A450,vdata_regressors!$A$2:$A$2000,0)+1,MATCH(G$2,vdata_regressors!$A$1:$R$1,0)),"")</f>
        <v/>
      </c>
      <c r="H450" s="23" t="str">
        <f>IFERROR(INDEX(vdata_regressors!$A$1:$L$2000,MATCH($A450,vdata_regressors!$A$2:$A$2000,0)+1,MATCH(H$2,vdata_regressors!$A$1:$R$1,0)),"")</f>
        <v/>
      </c>
      <c r="I450" s="23" t="str">
        <f>IFERROR(INDEX(vdata_regressors!$A$1:$L$2000,MATCH($A450,vdata_regressors!$A$2:$A$2000,0)+1,MATCH(I$2,vdata_regressors!$A$1:$R$1,0)),"")</f>
        <v/>
      </c>
      <c r="J450" s="23" t="str">
        <f>IFERROR(INDEX(vdata_regressors!$A$1:$L$2000,MATCH($A450,vdata_regressors!$A$2:$A$2000,0)+1,MATCH(J$2,vdata_regressors!$A$1:$R$1,0)),"")</f>
        <v/>
      </c>
      <c r="K450" s="23" t="str">
        <f>IFERROR(INDEX(vdata_regressors!$A$1:$L$2000,MATCH($A450,vdata_regressors!$A$2:$A$2000,0)+1,MATCH(K$2,vdata_regressors!$A$1:$R$1,0)),"")</f>
        <v/>
      </c>
      <c r="L450" s="23" t="str">
        <f>IFERROR(INDEX(vdata_regressors!$A$1:$L$2000,MATCH($A450,vdata_regressors!$A$2:$A$2000,0)+1,MATCH(L$2,vdata_regressors!$A$1:$R$1,0)),"")</f>
        <v/>
      </c>
      <c r="M450" s="23" t="str">
        <f>IFERROR(VLOOKUP(A450,vdata_hours!$A$2:$B$1000,2,FALSE),"")</f>
        <v/>
      </c>
    </row>
    <row r="451" spans="1:13" x14ac:dyDescent="0.25">
      <c r="A451" s="23" t="str">
        <f>IF(vdata_hours!A450=0,"",vdata_hours!A450)</f>
        <v/>
      </c>
      <c r="B451" s="23" t="str">
        <f>IFERROR(INDEX(vdata_regressors!$A$1:$L$2000,MATCH($A451,vdata_regressors!$A$2:$A$2000,0)+1,MATCH(B$2,vdata_regressors!$A$1:$R$1,0)),"")</f>
        <v/>
      </c>
      <c r="C451" s="23" t="str">
        <f>IFERROR(INDEX(vdata_regressors!$A$1:$L$2000,MATCH($A451,vdata_regressors!$A$2:$A$2000,0)+1,MATCH(C$2,vdata_regressors!$A$1:$R$1,0)),"")</f>
        <v/>
      </c>
      <c r="D451" s="23" t="str">
        <f>IFERROR(INDEX(vdata_regressors!$A$1:$L$2000,MATCH($A451,vdata_regressors!$A$2:$A$2000,0)+1,MATCH(D$2,vdata_regressors!$A$1:$R$1,0)),"")</f>
        <v/>
      </c>
      <c r="E451" s="23" t="str">
        <f>IFERROR(INDEX(vdata_regressors!$A$1:$L$2000,MATCH($A451,vdata_regressors!$A$2:$A$2000,0)+1,MATCH(E$2,vdata_regressors!$A$1:$R$1,0)),"")</f>
        <v/>
      </c>
      <c r="F451" s="23" t="str">
        <f>IFERROR(INDEX(vdata_regressors!$A$1:$L$2000,MATCH($A451,vdata_regressors!$A$2:$A$2000,0)+1,MATCH(F$2,vdata_regressors!$A$1:$R$1,0)),"")</f>
        <v/>
      </c>
      <c r="G451" s="23" t="str">
        <f>IFERROR(INDEX(vdata_regressors!$A$1:$L$2000,MATCH($A451,vdata_regressors!$A$2:$A$2000,0)+1,MATCH(G$2,vdata_regressors!$A$1:$R$1,0)),"")</f>
        <v/>
      </c>
      <c r="H451" s="23" t="str">
        <f>IFERROR(INDEX(vdata_regressors!$A$1:$L$2000,MATCH($A451,vdata_regressors!$A$2:$A$2000,0)+1,MATCH(H$2,vdata_regressors!$A$1:$R$1,0)),"")</f>
        <v/>
      </c>
      <c r="I451" s="23" t="str">
        <f>IFERROR(INDEX(vdata_regressors!$A$1:$L$2000,MATCH($A451,vdata_regressors!$A$2:$A$2000,0)+1,MATCH(I$2,vdata_regressors!$A$1:$R$1,0)),"")</f>
        <v/>
      </c>
      <c r="J451" s="23" t="str">
        <f>IFERROR(INDEX(vdata_regressors!$A$1:$L$2000,MATCH($A451,vdata_regressors!$A$2:$A$2000,0)+1,MATCH(J$2,vdata_regressors!$A$1:$R$1,0)),"")</f>
        <v/>
      </c>
      <c r="K451" s="23" t="str">
        <f>IFERROR(INDEX(vdata_regressors!$A$1:$L$2000,MATCH($A451,vdata_regressors!$A$2:$A$2000,0)+1,MATCH(K$2,vdata_regressors!$A$1:$R$1,0)),"")</f>
        <v/>
      </c>
      <c r="L451" s="23" t="str">
        <f>IFERROR(INDEX(vdata_regressors!$A$1:$L$2000,MATCH($A451,vdata_regressors!$A$2:$A$2000,0)+1,MATCH(L$2,vdata_regressors!$A$1:$R$1,0)),"")</f>
        <v/>
      </c>
      <c r="M451" s="23" t="str">
        <f>IFERROR(VLOOKUP(A451,vdata_hours!$A$2:$B$1000,2,FALSE),"")</f>
        <v/>
      </c>
    </row>
    <row r="452" spans="1:13" x14ac:dyDescent="0.25">
      <c r="A452" s="23" t="str">
        <f>IF(vdata_hours!A451=0,"",vdata_hours!A451)</f>
        <v/>
      </c>
      <c r="B452" s="23" t="str">
        <f>IFERROR(INDEX(vdata_regressors!$A$1:$L$2000,MATCH($A452,vdata_regressors!$A$2:$A$2000,0)+1,MATCH(B$2,vdata_regressors!$A$1:$R$1,0)),"")</f>
        <v/>
      </c>
      <c r="C452" s="23" t="str">
        <f>IFERROR(INDEX(vdata_regressors!$A$1:$L$2000,MATCH($A452,vdata_regressors!$A$2:$A$2000,0)+1,MATCH(C$2,vdata_regressors!$A$1:$R$1,0)),"")</f>
        <v/>
      </c>
      <c r="D452" s="23" t="str">
        <f>IFERROR(INDEX(vdata_regressors!$A$1:$L$2000,MATCH($A452,vdata_regressors!$A$2:$A$2000,0)+1,MATCH(D$2,vdata_regressors!$A$1:$R$1,0)),"")</f>
        <v/>
      </c>
      <c r="E452" s="23" t="str">
        <f>IFERROR(INDEX(vdata_regressors!$A$1:$L$2000,MATCH($A452,vdata_regressors!$A$2:$A$2000,0)+1,MATCH(E$2,vdata_regressors!$A$1:$R$1,0)),"")</f>
        <v/>
      </c>
      <c r="F452" s="23" t="str">
        <f>IFERROR(INDEX(vdata_regressors!$A$1:$L$2000,MATCH($A452,vdata_regressors!$A$2:$A$2000,0)+1,MATCH(F$2,vdata_regressors!$A$1:$R$1,0)),"")</f>
        <v/>
      </c>
      <c r="G452" s="23" t="str">
        <f>IFERROR(INDEX(vdata_regressors!$A$1:$L$2000,MATCH($A452,vdata_regressors!$A$2:$A$2000,0)+1,MATCH(G$2,vdata_regressors!$A$1:$R$1,0)),"")</f>
        <v/>
      </c>
      <c r="H452" s="23" t="str">
        <f>IFERROR(INDEX(vdata_regressors!$A$1:$L$2000,MATCH($A452,vdata_regressors!$A$2:$A$2000,0)+1,MATCH(H$2,vdata_regressors!$A$1:$R$1,0)),"")</f>
        <v/>
      </c>
      <c r="I452" s="23" t="str">
        <f>IFERROR(INDEX(vdata_regressors!$A$1:$L$2000,MATCH($A452,vdata_regressors!$A$2:$A$2000,0)+1,MATCH(I$2,vdata_regressors!$A$1:$R$1,0)),"")</f>
        <v/>
      </c>
      <c r="J452" s="23" t="str">
        <f>IFERROR(INDEX(vdata_regressors!$A$1:$L$2000,MATCH($A452,vdata_regressors!$A$2:$A$2000,0)+1,MATCH(J$2,vdata_regressors!$A$1:$R$1,0)),"")</f>
        <v/>
      </c>
      <c r="K452" s="23" t="str">
        <f>IFERROR(INDEX(vdata_regressors!$A$1:$L$2000,MATCH($A452,vdata_regressors!$A$2:$A$2000,0)+1,MATCH(K$2,vdata_regressors!$A$1:$R$1,0)),"")</f>
        <v/>
      </c>
      <c r="L452" s="23" t="str">
        <f>IFERROR(INDEX(vdata_regressors!$A$1:$L$2000,MATCH($A452,vdata_regressors!$A$2:$A$2000,0)+1,MATCH(L$2,vdata_regressors!$A$1:$R$1,0)),"")</f>
        <v/>
      </c>
      <c r="M452" s="23" t="str">
        <f>IFERROR(VLOOKUP(A452,vdata_hours!$A$2:$B$1000,2,FALSE),"")</f>
        <v/>
      </c>
    </row>
    <row r="453" spans="1:13" x14ac:dyDescent="0.25">
      <c r="A453" s="23" t="str">
        <f>IF(vdata_hours!A452=0,"",vdata_hours!A452)</f>
        <v/>
      </c>
      <c r="B453" s="23" t="str">
        <f>IFERROR(INDEX(vdata_regressors!$A$1:$L$2000,MATCH($A453,vdata_regressors!$A$2:$A$2000,0)+1,MATCH(B$2,vdata_regressors!$A$1:$R$1,0)),"")</f>
        <v/>
      </c>
      <c r="C453" s="23" t="str">
        <f>IFERROR(INDEX(vdata_regressors!$A$1:$L$2000,MATCH($A453,vdata_regressors!$A$2:$A$2000,0)+1,MATCH(C$2,vdata_regressors!$A$1:$R$1,0)),"")</f>
        <v/>
      </c>
      <c r="D453" s="23" t="str">
        <f>IFERROR(INDEX(vdata_regressors!$A$1:$L$2000,MATCH($A453,vdata_regressors!$A$2:$A$2000,0)+1,MATCH(D$2,vdata_regressors!$A$1:$R$1,0)),"")</f>
        <v/>
      </c>
      <c r="E453" s="23" t="str">
        <f>IFERROR(INDEX(vdata_regressors!$A$1:$L$2000,MATCH($A453,vdata_regressors!$A$2:$A$2000,0)+1,MATCH(E$2,vdata_regressors!$A$1:$R$1,0)),"")</f>
        <v/>
      </c>
      <c r="F453" s="23" t="str">
        <f>IFERROR(INDEX(vdata_regressors!$A$1:$L$2000,MATCH($A453,vdata_regressors!$A$2:$A$2000,0)+1,MATCH(F$2,vdata_regressors!$A$1:$R$1,0)),"")</f>
        <v/>
      </c>
      <c r="G453" s="23" t="str">
        <f>IFERROR(INDEX(vdata_regressors!$A$1:$L$2000,MATCH($A453,vdata_regressors!$A$2:$A$2000,0)+1,MATCH(G$2,vdata_regressors!$A$1:$R$1,0)),"")</f>
        <v/>
      </c>
      <c r="H453" s="23" t="str">
        <f>IFERROR(INDEX(vdata_regressors!$A$1:$L$2000,MATCH($A453,vdata_regressors!$A$2:$A$2000,0)+1,MATCH(H$2,vdata_regressors!$A$1:$R$1,0)),"")</f>
        <v/>
      </c>
      <c r="I453" s="23" t="str">
        <f>IFERROR(INDEX(vdata_regressors!$A$1:$L$2000,MATCH($A453,vdata_regressors!$A$2:$A$2000,0)+1,MATCH(I$2,vdata_regressors!$A$1:$R$1,0)),"")</f>
        <v/>
      </c>
      <c r="J453" s="23" t="str">
        <f>IFERROR(INDEX(vdata_regressors!$A$1:$L$2000,MATCH($A453,vdata_regressors!$A$2:$A$2000,0)+1,MATCH(J$2,vdata_regressors!$A$1:$R$1,0)),"")</f>
        <v/>
      </c>
      <c r="K453" s="23" t="str">
        <f>IFERROR(INDEX(vdata_regressors!$A$1:$L$2000,MATCH($A453,vdata_regressors!$A$2:$A$2000,0)+1,MATCH(K$2,vdata_regressors!$A$1:$R$1,0)),"")</f>
        <v/>
      </c>
      <c r="L453" s="23" t="str">
        <f>IFERROR(INDEX(vdata_regressors!$A$1:$L$2000,MATCH($A453,vdata_regressors!$A$2:$A$2000,0)+1,MATCH(L$2,vdata_regressors!$A$1:$R$1,0)),"")</f>
        <v/>
      </c>
      <c r="M453" s="23" t="str">
        <f>IFERROR(VLOOKUP(A453,vdata_hours!$A$2:$B$1000,2,FALSE),"")</f>
        <v/>
      </c>
    </row>
    <row r="454" spans="1:13" x14ac:dyDescent="0.25">
      <c r="A454" s="23" t="str">
        <f>IF(vdata_hours!A453=0,"",vdata_hours!A453)</f>
        <v/>
      </c>
      <c r="B454" s="23" t="str">
        <f>IFERROR(INDEX(vdata_regressors!$A$1:$L$2000,MATCH($A454,vdata_regressors!$A$2:$A$2000,0)+1,MATCH(B$2,vdata_regressors!$A$1:$R$1,0)),"")</f>
        <v/>
      </c>
      <c r="C454" s="23" t="str">
        <f>IFERROR(INDEX(vdata_regressors!$A$1:$L$2000,MATCH($A454,vdata_regressors!$A$2:$A$2000,0)+1,MATCH(C$2,vdata_regressors!$A$1:$R$1,0)),"")</f>
        <v/>
      </c>
      <c r="D454" s="23" t="str">
        <f>IFERROR(INDEX(vdata_regressors!$A$1:$L$2000,MATCH($A454,vdata_regressors!$A$2:$A$2000,0)+1,MATCH(D$2,vdata_regressors!$A$1:$R$1,0)),"")</f>
        <v/>
      </c>
      <c r="E454" s="23" t="str">
        <f>IFERROR(INDEX(vdata_regressors!$A$1:$L$2000,MATCH($A454,vdata_regressors!$A$2:$A$2000,0)+1,MATCH(E$2,vdata_regressors!$A$1:$R$1,0)),"")</f>
        <v/>
      </c>
      <c r="F454" s="23" t="str">
        <f>IFERROR(INDEX(vdata_regressors!$A$1:$L$2000,MATCH($A454,vdata_regressors!$A$2:$A$2000,0)+1,MATCH(F$2,vdata_regressors!$A$1:$R$1,0)),"")</f>
        <v/>
      </c>
      <c r="G454" s="23" t="str">
        <f>IFERROR(INDEX(vdata_regressors!$A$1:$L$2000,MATCH($A454,vdata_regressors!$A$2:$A$2000,0)+1,MATCH(G$2,vdata_regressors!$A$1:$R$1,0)),"")</f>
        <v/>
      </c>
      <c r="H454" s="23" t="str">
        <f>IFERROR(INDEX(vdata_regressors!$A$1:$L$2000,MATCH($A454,vdata_regressors!$A$2:$A$2000,0)+1,MATCH(H$2,vdata_regressors!$A$1:$R$1,0)),"")</f>
        <v/>
      </c>
      <c r="I454" s="23" t="str">
        <f>IFERROR(INDEX(vdata_regressors!$A$1:$L$2000,MATCH($A454,vdata_regressors!$A$2:$A$2000,0)+1,MATCH(I$2,vdata_regressors!$A$1:$R$1,0)),"")</f>
        <v/>
      </c>
      <c r="J454" s="23" t="str">
        <f>IFERROR(INDEX(vdata_regressors!$A$1:$L$2000,MATCH($A454,vdata_regressors!$A$2:$A$2000,0)+1,MATCH(J$2,vdata_regressors!$A$1:$R$1,0)),"")</f>
        <v/>
      </c>
      <c r="K454" s="23" t="str">
        <f>IFERROR(INDEX(vdata_regressors!$A$1:$L$2000,MATCH($A454,vdata_regressors!$A$2:$A$2000,0)+1,MATCH(K$2,vdata_regressors!$A$1:$R$1,0)),"")</f>
        <v/>
      </c>
      <c r="L454" s="23" t="str">
        <f>IFERROR(INDEX(vdata_regressors!$A$1:$L$2000,MATCH($A454,vdata_regressors!$A$2:$A$2000,0)+1,MATCH(L$2,vdata_regressors!$A$1:$R$1,0)),"")</f>
        <v/>
      </c>
      <c r="M454" s="23" t="str">
        <f>IFERROR(VLOOKUP(A454,vdata_hours!$A$2:$B$1000,2,FALSE),"")</f>
        <v/>
      </c>
    </row>
    <row r="455" spans="1:13" x14ac:dyDescent="0.25">
      <c r="A455" s="23" t="str">
        <f>IF(vdata_hours!A454=0,"",vdata_hours!A454)</f>
        <v/>
      </c>
      <c r="B455" s="23" t="str">
        <f>IFERROR(INDEX(vdata_regressors!$A$1:$L$2000,MATCH($A455,vdata_regressors!$A$2:$A$2000,0)+1,MATCH(B$2,vdata_regressors!$A$1:$R$1,0)),"")</f>
        <v/>
      </c>
      <c r="C455" s="23" t="str">
        <f>IFERROR(INDEX(vdata_regressors!$A$1:$L$2000,MATCH($A455,vdata_regressors!$A$2:$A$2000,0)+1,MATCH(C$2,vdata_regressors!$A$1:$R$1,0)),"")</f>
        <v/>
      </c>
      <c r="D455" s="23" t="str">
        <f>IFERROR(INDEX(vdata_regressors!$A$1:$L$2000,MATCH($A455,vdata_regressors!$A$2:$A$2000,0)+1,MATCH(D$2,vdata_regressors!$A$1:$R$1,0)),"")</f>
        <v/>
      </c>
      <c r="E455" s="23" t="str">
        <f>IFERROR(INDEX(vdata_regressors!$A$1:$L$2000,MATCH($A455,vdata_regressors!$A$2:$A$2000,0)+1,MATCH(E$2,vdata_regressors!$A$1:$R$1,0)),"")</f>
        <v/>
      </c>
      <c r="F455" s="23" t="str">
        <f>IFERROR(INDEX(vdata_regressors!$A$1:$L$2000,MATCH($A455,vdata_regressors!$A$2:$A$2000,0)+1,MATCH(F$2,vdata_regressors!$A$1:$R$1,0)),"")</f>
        <v/>
      </c>
      <c r="G455" s="23" t="str">
        <f>IFERROR(INDEX(vdata_regressors!$A$1:$L$2000,MATCH($A455,vdata_regressors!$A$2:$A$2000,0)+1,MATCH(G$2,vdata_regressors!$A$1:$R$1,0)),"")</f>
        <v/>
      </c>
      <c r="H455" s="23" t="str">
        <f>IFERROR(INDEX(vdata_regressors!$A$1:$L$2000,MATCH($A455,vdata_regressors!$A$2:$A$2000,0)+1,MATCH(H$2,vdata_regressors!$A$1:$R$1,0)),"")</f>
        <v/>
      </c>
      <c r="I455" s="23" t="str">
        <f>IFERROR(INDEX(vdata_regressors!$A$1:$L$2000,MATCH($A455,vdata_regressors!$A$2:$A$2000,0)+1,MATCH(I$2,vdata_regressors!$A$1:$R$1,0)),"")</f>
        <v/>
      </c>
      <c r="J455" s="23" t="str">
        <f>IFERROR(INDEX(vdata_regressors!$A$1:$L$2000,MATCH($A455,vdata_regressors!$A$2:$A$2000,0)+1,MATCH(J$2,vdata_regressors!$A$1:$R$1,0)),"")</f>
        <v/>
      </c>
      <c r="K455" s="23" t="str">
        <f>IFERROR(INDEX(vdata_regressors!$A$1:$L$2000,MATCH($A455,vdata_regressors!$A$2:$A$2000,0)+1,MATCH(K$2,vdata_regressors!$A$1:$R$1,0)),"")</f>
        <v/>
      </c>
      <c r="L455" s="23" t="str">
        <f>IFERROR(INDEX(vdata_regressors!$A$1:$L$2000,MATCH($A455,vdata_regressors!$A$2:$A$2000,0)+1,MATCH(L$2,vdata_regressors!$A$1:$R$1,0)),"")</f>
        <v/>
      </c>
      <c r="M455" s="23" t="str">
        <f>IFERROR(VLOOKUP(A455,vdata_hours!$A$2:$B$1000,2,FALSE),"")</f>
        <v/>
      </c>
    </row>
    <row r="456" spans="1:13" x14ac:dyDescent="0.25">
      <c r="A456" s="23" t="str">
        <f>IF(vdata_hours!A455=0,"",vdata_hours!A455)</f>
        <v/>
      </c>
      <c r="B456" s="23" t="str">
        <f>IFERROR(INDEX(vdata_regressors!$A$1:$L$2000,MATCH($A456,vdata_regressors!$A$2:$A$2000,0)+1,MATCH(B$2,vdata_regressors!$A$1:$R$1,0)),"")</f>
        <v/>
      </c>
      <c r="C456" s="23" t="str">
        <f>IFERROR(INDEX(vdata_regressors!$A$1:$L$2000,MATCH($A456,vdata_regressors!$A$2:$A$2000,0)+1,MATCH(C$2,vdata_regressors!$A$1:$R$1,0)),"")</f>
        <v/>
      </c>
      <c r="D456" s="23" t="str">
        <f>IFERROR(INDEX(vdata_regressors!$A$1:$L$2000,MATCH($A456,vdata_regressors!$A$2:$A$2000,0)+1,MATCH(D$2,vdata_regressors!$A$1:$R$1,0)),"")</f>
        <v/>
      </c>
      <c r="E456" s="23" t="str">
        <f>IFERROR(INDEX(vdata_regressors!$A$1:$L$2000,MATCH($A456,vdata_regressors!$A$2:$A$2000,0)+1,MATCH(E$2,vdata_regressors!$A$1:$R$1,0)),"")</f>
        <v/>
      </c>
      <c r="F456" s="23" t="str">
        <f>IFERROR(INDEX(vdata_regressors!$A$1:$L$2000,MATCH($A456,vdata_regressors!$A$2:$A$2000,0)+1,MATCH(F$2,vdata_regressors!$A$1:$R$1,0)),"")</f>
        <v/>
      </c>
      <c r="G456" s="23" t="str">
        <f>IFERROR(INDEX(vdata_regressors!$A$1:$L$2000,MATCH($A456,vdata_regressors!$A$2:$A$2000,0)+1,MATCH(G$2,vdata_regressors!$A$1:$R$1,0)),"")</f>
        <v/>
      </c>
      <c r="H456" s="23" t="str">
        <f>IFERROR(INDEX(vdata_regressors!$A$1:$L$2000,MATCH($A456,vdata_regressors!$A$2:$A$2000,0)+1,MATCH(H$2,vdata_regressors!$A$1:$R$1,0)),"")</f>
        <v/>
      </c>
      <c r="I456" s="23" t="str">
        <f>IFERROR(INDEX(vdata_regressors!$A$1:$L$2000,MATCH($A456,vdata_regressors!$A$2:$A$2000,0)+1,MATCH(I$2,vdata_regressors!$A$1:$R$1,0)),"")</f>
        <v/>
      </c>
      <c r="J456" s="23" t="str">
        <f>IFERROR(INDEX(vdata_regressors!$A$1:$L$2000,MATCH($A456,vdata_regressors!$A$2:$A$2000,0)+1,MATCH(J$2,vdata_regressors!$A$1:$R$1,0)),"")</f>
        <v/>
      </c>
      <c r="K456" s="23" t="str">
        <f>IFERROR(INDEX(vdata_regressors!$A$1:$L$2000,MATCH($A456,vdata_regressors!$A$2:$A$2000,0)+1,MATCH(K$2,vdata_regressors!$A$1:$R$1,0)),"")</f>
        <v/>
      </c>
      <c r="L456" s="23" t="str">
        <f>IFERROR(INDEX(vdata_regressors!$A$1:$L$2000,MATCH($A456,vdata_regressors!$A$2:$A$2000,0)+1,MATCH(L$2,vdata_regressors!$A$1:$R$1,0)),"")</f>
        <v/>
      </c>
      <c r="M456" s="23" t="str">
        <f>IFERROR(VLOOKUP(A456,vdata_hours!$A$2:$B$1000,2,FALSE),"")</f>
        <v/>
      </c>
    </row>
    <row r="457" spans="1:13" x14ac:dyDescent="0.25">
      <c r="A457" s="23" t="str">
        <f>IF(vdata_hours!A456=0,"",vdata_hours!A456)</f>
        <v/>
      </c>
      <c r="B457" s="23" t="str">
        <f>IFERROR(INDEX(vdata_regressors!$A$1:$L$2000,MATCH($A457,vdata_regressors!$A$2:$A$2000,0)+1,MATCH(B$2,vdata_regressors!$A$1:$R$1,0)),"")</f>
        <v/>
      </c>
      <c r="C457" s="23" t="str">
        <f>IFERROR(INDEX(vdata_regressors!$A$1:$L$2000,MATCH($A457,vdata_regressors!$A$2:$A$2000,0)+1,MATCH(C$2,vdata_regressors!$A$1:$R$1,0)),"")</f>
        <v/>
      </c>
      <c r="D457" s="23" t="str">
        <f>IFERROR(INDEX(vdata_regressors!$A$1:$L$2000,MATCH($A457,vdata_regressors!$A$2:$A$2000,0)+1,MATCH(D$2,vdata_regressors!$A$1:$R$1,0)),"")</f>
        <v/>
      </c>
      <c r="E457" s="23" t="str">
        <f>IFERROR(INDEX(vdata_regressors!$A$1:$L$2000,MATCH($A457,vdata_regressors!$A$2:$A$2000,0)+1,MATCH(E$2,vdata_regressors!$A$1:$R$1,0)),"")</f>
        <v/>
      </c>
      <c r="F457" s="23" t="str">
        <f>IFERROR(INDEX(vdata_regressors!$A$1:$L$2000,MATCH($A457,vdata_regressors!$A$2:$A$2000,0)+1,MATCH(F$2,vdata_regressors!$A$1:$R$1,0)),"")</f>
        <v/>
      </c>
      <c r="G457" s="23" t="str">
        <f>IFERROR(INDEX(vdata_regressors!$A$1:$L$2000,MATCH($A457,vdata_regressors!$A$2:$A$2000,0)+1,MATCH(G$2,vdata_regressors!$A$1:$R$1,0)),"")</f>
        <v/>
      </c>
      <c r="H457" s="23" t="str">
        <f>IFERROR(INDEX(vdata_regressors!$A$1:$L$2000,MATCH($A457,vdata_regressors!$A$2:$A$2000,0)+1,MATCH(H$2,vdata_regressors!$A$1:$R$1,0)),"")</f>
        <v/>
      </c>
      <c r="I457" s="23" t="str">
        <f>IFERROR(INDEX(vdata_regressors!$A$1:$L$2000,MATCH($A457,vdata_regressors!$A$2:$A$2000,0)+1,MATCH(I$2,vdata_regressors!$A$1:$R$1,0)),"")</f>
        <v/>
      </c>
      <c r="J457" s="23" t="str">
        <f>IFERROR(INDEX(vdata_regressors!$A$1:$L$2000,MATCH($A457,vdata_regressors!$A$2:$A$2000,0)+1,MATCH(J$2,vdata_regressors!$A$1:$R$1,0)),"")</f>
        <v/>
      </c>
      <c r="K457" s="23" t="str">
        <f>IFERROR(INDEX(vdata_regressors!$A$1:$L$2000,MATCH($A457,vdata_regressors!$A$2:$A$2000,0)+1,MATCH(K$2,vdata_regressors!$A$1:$R$1,0)),"")</f>
        <v/>
      </c>
      <c r="L457" s="23" t="str">
        <f>IFERROR(INDEX(vdata_regressors!$A$1:$L$2000,MATCH($A457,vdata_regressors!$A$2:$A$2000,0)+1,MATCH(L$2,vdata_regressors!$A$1:$R$1,0)),"")</f>
        <v/>
      </c>
      <c r="M457" s="23" t="str">
        <f>IFERROR(VLOOKUP(A457,vdata_hours!$A$2:$B$1000,2,FALSE),"")</f>
        <v/>
      </c>
    </row>
    <row r="458" spans="1:13" x14ac:dyDescent="0.25">
      <c r="A458" s="23" t="str">
        <f>IF(vdata_hours!A457=0,"",vdata_hours!A457)</f>
        <v/>
      </c>
      <c r="B458" s="23" t="str">
        <f>IFERROR(INDEX(vdata_regressors!$A$1:$L$2000,MATCH($A458,vdata_regressors!$A$2:$A$2000,0)+1,MATCH(B$2,vdata_regressors!$A$1:$R$1,0)),"")</f>
        <v/>
      </c>
      <c r="C458" s="23" t="str">
        <f>IFERROR(INDEX(vdata_regressors!$A$1:$L$2000,MATCH($A458,vdata_regressors!$A$2:$A$2000,0)+1,MATCH(C$2,vdata_regressors!$A$1:$R$1,0)),"")</f>
        <v/>
      </c>
      <c r="D458" s="23" t="str">
        <f>IFERROR(INDEX(vdata_regressors!$A$1:$L$2000,MATCH($A458,vdata_regressors!$A$2:$A$2000,0)+1,MATCH(D$2,vdata_regressors!$A$1:$R$1,0)),"")</f>
        <v/>
      </c>
      <c r="E458" s="23" t="str">
        <f>IFERROR(INDEX(vdata_regressors!$A$1:$L$2000,MATCH($A458,vdata_regressors!$A$2:$A$2000,0)+1,MATCH(E$2,vdata_regressors!$A$1:$R$1,0)),"")</f>
        <v/>
      </c>
      <c r="F458" s="23" t="str">
        <f>IFERROR(INDEX(vdata_regressors!$A$1:$L$2000,MATCH($A458,vdata_regressors!$A$2:$A$2000,0)+1,MATCH(F$2,vdata_regressors!$A$1:$R$1,0)),"")</f>
        <v/>
      </c>
      <c r="G458" s="23" t="str">
        <f>IFERROR(INDEX(vdata_regressors!$A$1:$L$2000,MATCH($A458,vdata_regressors!$A$2:$A$2000,0)+1,MATCH(G$2,vdata_regressors!$A$1:$R$1,0)),"")</f>
        <v/>
      </c>
      <c r="H458" s="23" t="str">
        <f>IFERROR(INDEX(vdata_regressors!$A$1:$L$2000,MATCH($A458,vdata_regressors!$A$2:$A$2000,0)+1,MATCH(H$2,vdata_regressors!$A$1:$R$1,0)),"")</f>
        <v/>
      </c>
      <c r="I458" s="23" t="str">
        <f>IFERROR(INDEX(vdata_regressors!$A$1:$L$2000,MATCH($A458,vdata_regressors!$A$2:$A$2000,0)+1,MATCH(I$2,vdata_regressors!$A$1:$R$1,0)),"")</f>
        <v/>
      </c>
      <c r="J458" s="23" t="str">
        <f>IFERROR(INDEX(vdata_regressors!$A$1:$L$2000,MATCH($A458,vdata_regressors!$A$2:$A$2000,0)+1,MATCH(J$2,vdata_regressors!$A$1:$R$1,0)),"")</f>
        <v/>
      </c>
      <c r="K458" s="23" t="str">
        <f>IFERROR(INDEX(vdata_regressors!$A$1:$L$2000,MATCH($A458,vdata_regressors!$A$2:$A$2000,0)+1,MATCH(K$2,vdata_regressors!$A$1:$R$1,0)),"")</f>
        <v/>
      </c>
      <c r="L458" s="23" t="str">
        <f>IFERROR(INDEX(vdata_regressors!$A$1:$L$2000,MATCH($A458,vdata_regressors!$A$2:$A$2000,0)+1,MATCH(L$2,vdata_regressors!$A$1:$R$1,0)),"")</f>
        <v/>
      </c>
      <c r="M458" s="23" t="str">
        <f>IFERROR(VLOOKUP(A458,vdata_hours!$A$2:$B$1000,2,FALSE),"")</f>
        <v/>
      </c>
    </row>
    <row r="459" spans="1:13" x14ac:dyDescent="0.25">
      <c r="A459" s="23" t="str">
        <f>IF(vdata_hours!A458=0,"",vdata_hours!A458)</f>
        <v/>
      </c>
      <c r="B459" s="23" t="str">
        <f>IFERROR(INDEX(vdata_regressors!$A$1:$L$2000,MATCH($A459,vdata_regressors!$A$2:$A$2000,0)+1,MATCH(B$2,vdata_regressors!$A$1:$R$1,0)),"")</f>
        <v/>
      </c>
      <c r="C459" s="23" t="str">
        <f>IFERROR(INDEX(vdata_regressors!$A$1:$L$2000,MATCH($A459,vdata_regressors!$A$2:$A$2000,0)+1,MATCH(C$2,vdata_regressors!$A$1:$R$1,0)),"")</f>
        <v/>
      </c>
      <c r="D459" s="23" t="str">
        <f>IFERROR(INDEX(vdata_regressors!$A$1:$L$2000,MATCH($A459,vdata_regressors!$A$2:$A$2000,0)+1,MATCH(D$2,vdata_regressors!$A$1:$R$1,0)),"")</f>
        <v/>
      </c>
      <c r="E459" s="23" t="str">
        <f>IFERROR(INDEX(vdata_regressors!$A$1:$L$2000,MATCH($A459,vdata_regressors!$A$2:$A$2000,0)+1,MATCH(E$2,vdata_regressors!$A$1:$R$1,0)),"")</f>
        <v/>
      </c>
      <c r="F459" s="23" t="str">
        <f>IFERROR(INDEX(vdata_regressors!$A$1:$L$2000,MATCH($A459,vdata_regressors!$A$2:$A$2000,0)+1,MATCH(F$2,vdata_regressors!$A$1:$R$1,0)),"")</f>
        <v/>
      </c>
      <c r="G459" s="23" t="str">
        <f>IFERROR(INDEX(vdata_regressors!$A$1:$L$2000,MATCH($A459,vdata_regressors!$A$2:$A$2000,0)+1,MATCH(G$2,vdata_regressors!$A$1:$R$1,0)),"")</f>
        <v/>
      </c>
      <c r="H459" s="23" t="str">
        <f>IFERROR(INDEX(vdata_regressors!$A$1:$L$2000,MATCH($A459,vdata_regressors!$A$2:$A$2000,0)+1,MATCH(H$2,vdata_regressors!$A$1:$R$1,0)),"")</f>
        <v/>
      </c>
      <c r="I459" s="23" t="str">
        <f>IFERROR(INDEX(vdata_regressors!$A$1:$L$2000,MATCH($A459,vdata_regressors!$A$2:$A$2000,0)+1,MATCH(I$2,vdata_regressors!$A$1:$R$1,0)),"")</f>
        <v/>
      </c>
      <c r="J459" s="23" t="str">
        <f>IFERROR(INDEX(vdata_regressors!$A$1:$L$2000,MATCH($A459,vdata_regressors!$A$2:$A$2000,0)+1,MATCH(J$2,vdata_regressors!$A$1:$R$1,0)),"")</f>
        <v/>
      </c>
      <c r="K459" s="23" t="str">
        <f>IFERROR(INDEX(vdata_regressors!$A$1:$L$2000,MATCH($A459,vdata_regressors!$A$2:$A$2000,0)+1,MATCH(K$2,vdata_regressors!$A$1:$R$1,0)),"")</f>
        <v/>
      </c>
      <c r="L459" s="23" t="str">
        <f>IFERROR(INDEX(vdata_regressors!$A$1:$L$2000,MATCH($A459,vdata_regressors!$A$2:$A$2000,0)+1,MATCH(L$2,vdata_regressors!$A$1:$R$1,0)),"")</f>
        <v/>
      </c>
      <c r="M459" s="23" t="str">
        <f>IFERROR(VLOOKUP(A459,vdata_hours!$A$2:$B$1000,2,FALSE),"")</f>
        <v/>
      </c>
    </row>
    <row r="460" spans="1:13" x14ac:dyDescent="0.25">
      <c r="A460" s="23" t="str">
        <f>IF(vdata_hours!A459=0,"",vdata_hours!A459)</f>
        <v/>
      </c>
      <c r="B460" s="23" t="str">
        <f>IFERROR(INDEX(vdata_regressors!$A$1:$L$2000,MATCH($A460,vdata_regressors!$A$2:$A$2000,0)+1,MATCH(B$2,vdata_regressors!$A$1:$R$1,0)),"")</f>
        <v/>
      </c>
      <c r="C460" s="23" t="str">
        <f>IFERROR(INDEX(vdata_regressors!$A$1:$L$2000,MATCH($A460,vdata_regressors!$A$2:$A$2000,0)+1,MATCH(C$2,vdata_regressors!$A$1:$R$1,0)),"")</f>
        <v/>
      </c>
      <c r="D460" s="23" t="str">
        <f>IFERROR(INDEX(vdata_regressors!$A$1:$L$2000,MATCH($A460,vdata_regressors!$A$2:$A$2000,0)+1,MATCH(D$2,vdata_regressors!$A$1:$R$1,0)),"")</f>
        <v/>
      </c>
      <c r="E460" s="23" t="str">
        <f>IFERROR(INDEX(vdata_regressors!$A$1:$L$2000,MATCH($A460,vdata_regressors!$A$2:$A$2000,0)+1,MATCH(E$2,vdata_regressors!$A$1:$R$1,0)),"")</f>
        <v/>
      </c>
      <c r="F460" s="23" t="str">
        <f>IFERROR(INDEX(vdata_regressors!$A$1:$L$2000,MATCH($A460,vdata_regressors!$A$2:$A$2000,0)+1,MATCH(F$2,vdata_regressors!$A$1:$R$1,0)),"")</f>
        <v/>
      </c>
      <c r="G460" s="23" t="str">
        <f>IFERROR(INDEX(vdata_regressors!$A$1:$L$2000,MATCH($A460,vdata_regressors!$A$2:$A$2000,0)+1,MATCH(G$2,vdata_regressors!$A$1:$R$1,0)),"")</f>
        <v/>
      </c>
      <c r="H460" s="23" t="str">
        <f>IFERROR(INDEX(vdata_regressors!$A$1:$L$2000,MATCH($A460,vdata_regressors!$A$2:$A$2000,0)+1,MATCH(H$2,vdata_regressors!$A$1:$R$1,0)),"")</f>
        <v/>
      </c>
      <c r="I460" s="23" t="str">
        <f>IFERROR(INDEX(vdata_regressors!$A$1:$L$2000,MATCH($A460,vdata_regressors!$A$2:$A$2000,0)+1,MATCH(I$2,vdata_regressors!$A$1:$R$1,0)),"")</f>
        <v/>
      </c>
      <c r="J460" s="23" t="str">
        <f>IFERROR(INDEX(vdata_regressors!$A$1:$L$2000,MATCH($A460,vdata_regressors!$A$2:$A$2000,0)+1,MATCH(J$2,vdata_regressors!$A$1:$R$1,0)),"")</f>
        <v/>
      </c>
      <c r="K460" s="23" t="str">
        <f>IFERROR(INDEX(vdata_regressors!$A$1:$L$2000,MATCH($A460,vdata_regressors!$A$2:$A$2000,0)+1,MATCH(K$2,vdata_regressors!$A$1:$R$1,0)),"")</f>
        <v/>
      </c>
      <c r="L460" s="23" t="str">
        <f>IFERROR(INDEX(vdata_regressors!$A$1:$L$2000,MATCH($A460,vdata_regressors!$A$2:$A$2000,0)+1,MATCH(L$2,vdata_regressors!$A$1:$R$1,0)),"")</f>
        <v/>
      </c>
      <c r="M460" s="23" t="str">
        <f>IFERROR(VLOOKUP(A460,vdata_hours!$A$2:$B$1000,2,FALSE),"")</f>
        <v/>
      </c>
    </row>
    <row r="461" spans="1:13" x14ac:dyDescent="0.25">
      <c r="A461" s="23" t="str">
        <f>IF(vdata_hours!A460=0,"",vdata_hours!A460)</f>
        <v/>
      </c>
      <c r="B461" s="23" t="str">
        <f>IFERROR(INDEX(vdata_regressors!$A$1:$L$2000,MATCH($A461,vdata_regressors!$A$2:$A$2000,0)+1,MATCH(B$2,vdata_regressors!$A$1:$R$1,0)),"")</f>
        <v/>
      </c>
      <c r="C461" s="23" t="str">
        <f>IFERROR(INDEX(vdata_regressors!$A$1:$L$2000,MATCH($A461,vdata_regressors!$A$2:$A$2000,0)+1,MATCH(C$2,vdata_regressors!$A$1:$R$1,0)),"")</f>
        <v/>
      </c>
      <c r="D461" s="23" t="str">
        <f>IFERROR(INDEX(vdata_regressors!$A$1:$L$2000,MATCH($A461,vdata_regressors!$A$2:$A$2000,0)+1,MATCH(D$2,vdata_regressors!$A$1:$R$1,0)),"")</f>
        <v/>
      </c>
      <c r="E461" s="23" t="str">
        <f>IFERROR(INDEX(vdata_regressors!$A$1:$L$2000,MATCH($A461,vdata_regressors!$A$2:$A$2000,0)+1,MATCH(E$2,vdata_regressors!$A$1:$R$1,0)),"")</f>
        <v/>
      </c>
      <c r="F461" s="23" t="str">
        <f>IFERROR(INDEX(vdata_regressors!$A$1:$L$2000,MATCH($A461,vdata_regressors!$A$2:$A$2000,0)+1,MATCH(F$2,vdata_regressors!$A$1:$R$1,0)),"")</f>
        <v/>
      </c>
      <c r="G461" s="23" t="str">
        <f>IFERROR(INDEX(vdata_regressors!$A$1:$L$2000,MATCH($A461,vdata_regressors!$A$2:$A$2000,0)+1,MATCH(G$2,vdata_regressors!$A$1:$R$1,0)),"")</f>
        <v/>
      </c>
      <c r="H461" s="23" t="str">
        <f>IFERROR(INDEX(vdata_regressors!$A$1:$L$2000,MATCH($A461,vdata_regressors!$A$2:$A$2000,0)+1,MATCH(H$2,vdata_regressors!$A$1:$R$1,0)),"")</f>
        <v/>
      </c>
      <c r="I461" s="23" t="str">
        <f>IFERROR(INDEX(vdata_regressors!$A$1:$L$2000,MATCH($A461,vdata_regressors!$A$2:$A$2000,0)+1,MATCH(I$2,vdata_regressors!$A$1:$R$1,0)),"")</f>
        <v/>
      </c>
      <c r="J461" s="23" t="str">
        <f>IFERROR(INDEX(vdata_regressors!$A$1:$L$2000,MATCH($A461,vdata_regressors!$A$2:$A$2000,0)+1,MATCH(J$2,vdata_regressors!$A$1:$R$1,0)),"")</f>
        <v/>
      </c>
      <c r="K461" s="23" t="str">
        <f>IFERROR(INDEX(vdata_regressors!$A$1:$L$2000,MATCH($A461,vdata_regressors!$A$2:$A$2000,0)+1,MATCH(K$2,vdata_regressors!$A$1:$R$1,0)),"")</f>
        <v/>
      </c>
      <c r="L461" s="23" t="str">
        <f>IFERROR(INDEX(vdata_regressors!$A$1:$L$2000,MATCH($A461,vdata_regressors!$A$2:$A$2000,0)+1,MATCH(L$2,vdata_regressors!$A$1:$R$1,0)),"")</f>
        <v/>
      </c>
      <c r="M461" s="23" t="str">
        <f>IFERROR(VLOOKUP(A461,vdata_hours!$A$2:$B$1000,2,FALSE),"")</f>
        <v/>
      </c>
    </row>
    <row r="462" spans="1:13" x14ac:dyDescent="0.25">
      <c r="A462" s="23" t="str">
        <f>IF(vdata_hours!A461=0,"",vdata_hours!A461)</f>
        <v/>
      </c>
      <c r="B462" s="23" t="str">
        <f>IFERROR(INDEX(vdata_regressors!$A$1:$L$2000,MATCH($A462,vdata_regressors!$A$2:$A$2000,0)+1,MATCH(B$2,vdata_regressors!$A$1:$R$1,0)),"")</f>
        <v/>
      </c>
      <c r="C462" s="23" t="str">
        <f>IFERROR(INDEX(vdata_regressors!$A$1:$L$2000,MATCH($A462,vdata_regressors!$A$2:$A$2000,0)+1,MATCH(C$2,vdata_regressors!$A$1:$R$1,0)),"")</f>
        <v/>
      </c>
      <c r="D462" s="23" t="str">
        <f>IFERROR(INDEX(vdata_regressors!$A$1:$L$2000,MATCH($A462,vdata_regressors!$A$2:$A$2000,0)+1,MATCH(D$2,vdata_regressors!$A$1:$R$1,0)),"")</f>
        <v/>
      </c>
      <c r="E462" s="23" t="str">
        <f>IFERROR(INDEX(vdata_regressors!$A$1:$L$2000,MATCH($A462,vdata_regressors!$A$2:$A$2000,0)+1,MATCH(E$2,vdata_regressors!$A$1:$R$1,0)),"")</f>
        <v/>
      </c>
      <c r="F462" s="23" t="str">
        <f>IFERROR(INDEX(vdata_regressors!$A$1:$L$2000,MATCH($A462,vdata_regressors!$A$2:$A$2000,0)+1,MATCH(F$2,vdata_regressors!$A$1:$R$1,0)),"")</f>
        <v/>
      </c>
      <c r="G462" s="23" t="str">
        <f>IFERROR(INDEX(vdata_regressors!$A$1:$L$2000,MATCH($A462,vdata_regressors!$A$2:$A$2000,0)+1,MATCH(G$2,vdata_regressors!$A$1:$R$1,0)),"")</f>
        <v/>
      </c>
      <c r="H462" s="23" t="str">
        <f>IFERROR(INDEX(vdata_regressors!$A$1:$L$2000,MATCH($A462,vdata_regressors!$A$2:$A$2000,0)+1,MATCH(H$2,vdata_regressors!$A$1:$R$1,0)),"")</f>
        <v/>
      </c>
      <c r="I462" s="23" t="str">
        <f>IFERROR(INDEX(vdata_regressors!$A$1:$L$2000,MATCH($A462,vdata_regressors!$A$2:$A$2000,0)+1,MATCH(I$2,vdata_regressors!$A$1:$R$1,0)),"")</f>
        <v/>
      </c>
      <c r="J462" s="23" t="str">
        <f>IFERROR(INDEX(vdata_regressors!$A$1:$L$2000,MATCH($A462,vdata_regressors!$A$2:$A$2000,0)+1,MATCH(J$2,vdata_regressors!$A$1:$R$1,0)),"")</f>
        <v/>
      </c>
      <c r="K462" s="23" t="str">
        <f>IFERROR(INDEX(vdata_regressors!$A$1:$L$2000,MATCH($A462,vdata_regressors!$A$2:$A$2000,0)+1,MATCH(K$2,vdata_regressors!$A$1:$R$1,0)),"")</f>
        <v/>
      </c>
      <c r="L462" s="23" t="str">
        <f>IFERROR(INDEX(vdata_regressors!$A$1:$L$2000,MATCH($A462,vdata_regressors!$A$2:$A$2000,0)+1,MATCH(L$2,vdata_regressors!$A$1:$R$1,0)),"")</f>
        <v/>
      </c>
      <c r="M462" s="23" t="str">
        <f>IFERROR(VLOOKUP(A462,vdata_hours!$A$2:$B$1000,2,FALSE),"")</f>
        <v/>
      </c>
    </row>
    <row r="463" spans="1:13" x14ac:dyDescent="0.25">
      <c r="A463" s="23" t="str">
        <f>IF(vdata_hours!A462=0,"",vdata_hours!A462)</f>
        <v/>
      </c>
      <c r="B463" s="23" t="str">
        <f>IFERROR(INDEX(vdata_regressors!$A$1:$L$2000,MATCH($A463,vdata_regressors!$A$2:$A$2000,0)+1,MATCH(B$2,vdata_regressors!$A$1:$R$1,0)),"")</f>
        <v/>
      </c>
      <c r="C463" s="23" t="str">
        <f>IFERROR(INDEX(vdata_regressors!$A$1:$L$2000,MATCH($A463,vdata_regressors!$A$2:$A$2000,0)+1,MATCH(C$2,vdata_regressors!$A$1:$R$1,0)),"")</f>
        <v/>
      </c>
      <c r="D463" s="23" t="str">
        <f>IFERROR(INDEX(vdata_regressors!$A$1:$L$2000,MATCH($A463,vdata_regressors!$A$2:$A$2000,0)+1,MATCH(D$2,vdata_regressors!$A$1:$R$1,0)),"")</f>
        <v/>
      </c>
      <c r="E463" s="23" t="str">
        <f>IFERROR(INDEX(vdata_regressors!$A$1:$L$2000,MATCH($A463,vdata_regressors!$A$2:$A$2000,0)+1,MATCH(E$2,vdata_regressors!$A$1:$R$1,0)),"")</f>
        <v/>
      </c>
      <c r="F463" s="23" t="str">
        <f>IFERROR(INDEX(vdata_regressors!$A$1:$L$2000,MATCH($A463,vdata_regressors!$A$2:$A$2000,0)+1,MATCH(F$2,vdata_regressors!$A$1:$R$1,0)),"")</f>
        <v/>
      </c>
      <c r="G463" s="23" t="str">
        <f>IFERROR(INDEX(vdata_regressors!$A$1:$L$2000,MATCH($A463,vdata_regressors!$A$2:$A$2000,0)+1,MATCH(G$2,vdata_regressors!$A$1:$R$1,0)),"")</f>
        <v/>
      </c>
      <c r="H463" s="23" t="str">
        <f>IFERROR(INDEX(vdata_regressors!$A$1:$L$2000,MATCH($A463,vdata_regressors!$A$2:$A$2000,0)+1,MATCH(H$2,vdata_regressors!$A$1:$R$1,0)),"")</f>
        <v/>
      </c>
      <c r="I463" s="23" t="str">
        <f>IFERROR(INDEX(vdata_regressors!$A$1:$L$2000,MATCH($A463,vdata_regressors!$A$2:$A$2000,0)+1,MATCH(I$2,vdata_regressors!$A$1:$R$1,0)),"")</f>
        <v/>
      </c>
      <c r="J463" s="23" t="str">
        <f>IFERROR(INDEX(vdata_regressors!$A$1:$L$2000,MATCH($A463,vdata_regressors!$A$2:$A$2000,0)+1,MATCH(J$2,vdata_regressors!$A$1:$R$1,0)),"")</f>
        <v/>
      </c>
      <c r="K463" s="23" t="str">
        <f>IFERROR(INDEX(vdata_regressors!$A$1:$L$2000,MATCH($A463,vdata_regressors!$A$2:$A$2000,0)+1,MATCH(K$2,vdata_regressors!$A$1:$R$1,0)),"")</f>
        <v/>
      </c>
      <c r="L463" s="23" t="str">
        <f>IFERROR(INDEX(vdata_regressors!$A$1:$L$2000,MATCH($A463,vdata_regressors!$A$2:$A$2000,0)+1,MATCH(L$2,vdata_regressors!$A$1:$R$1,0)),"")</f>
        <v/>
      </c>
      <c r="M463" s="23" t="str">
        <f>IFERROR(VLOOKUP(A463,vdata_hours!$A$2:$B$1000,2,FALSE),"")</f>
        <v/>
      </c>
    </row>
    <row r="464" spans="1:13" x14ac:dyDescent="0.25">
      <c r="A464" s="23" t="str">
        <f>IF(vdata_hours!A463=0,"",vdata_hours!A463)</f>
        <v/>
      </c>
      <c r="B464" s="23" t="str">
        <f>IFERROR(INDEX(vdata_regressors!$A$1:$L$2000,MATCH($A464,vdata_regressors!$A$2:$A$2000,0)+1,MATCH(B$2,vdata_regressors!$A$1:$R$1,0)),"")</f>
        <v/>
      </c>
      <c r="C464" s="23" t="str">
        <f>IFERROR(INDEX(vdata_regressors!$A$1:$L$2000,MATCH($A464,vdata_regressors!$A$2:$A$2000,0)+1,MATCH(C$2,vdata_regressors!$A$1:$R$1,0)),"")</f>
        <v/>
      </c>
      <c r="D464" s="23" t="str">
        <f>IFERROR(INDEX(vdata_regressors!$A$1:$L$2000,MATCH($A464,vdata_regressors!$A$2:$A$2000,0)+1,MATCH(D$2,vdata_regressors!$A$1:$R$1,0)),"")</f>
        <v/>
      </c>
      <c r="E464" s="23" t="str">
        <f>IFERROR(INDEX(vdata_regressors!$A$1:$L$2000,MATCH($A464,vdata_regressors!$A$2:$A$2000,0)+1,MATCH(E$2,vdata_regressors!$A$1:$R$1,0)),"")</f>
        <v/>
      </c>
      <c r="F464" s="23" t="str">
        <f>IFERROR(INDEX(vdata_regressors!$A$1:$L$2000,MATCH($A464,vdata_regressors!$A$2:$A$2000,0)+1,MATCH(F$2,vdata_regressors!$A$1:$R$1,0)),"")</f>
        <v/>
      </c>
      <c r="G464" s="23" t="str">
        <f>IFERROR(INDEX(vdata_regressors!$A$1:$L$2000,MATCH($A464,vdata_regressors!$A$2:$A$2000,0)+1,MATCH(G$2,vdata_regressors!$A$1:$R$1,0)),"")</f>
        <v/>
      </c>
      <c r="H464" s="23" t="str">
        <f>IFERROR(INDEX(vdata_regressors!$A$1:$L$2000,MATCH($A464,vdata_regressors!$A$2:$A$2000,0)+1,MATCH(H$2,vdata_regressors!$A$1:$R$1,0)),"")</f>
        <v/>
      </c>
      <c r="I464" s="23" t="str">
        <f>IFERROR(INDEX(vdata_regressors!$A$1:$L$2000,MATCH($A464,vdata_regressors!$A$2:$A$2000,0)+1,MATCH(I$2,vdata_regressors!$A$1:$R$1,0)),"")</f>
        <v/>
      </c>
      <c r="J464" s="23" t="str">
        <f>IFERROR(INDEX(vdata_regressors!$A$1:$L$2000,MATCH($A464,vdata_regressors!$A$2:$A$2000,0)+1,MATCH(J$2,vdata_regressors!$A$1:$R$1,0)),"")</f>
        <v/>
      </c>
      <c r="K464" s="23" t="str">
        <f>IFERROR(INDEX(vdata_regressors!$A$1:$L$2000,MATCH($A464,vdata_regressors!$A$2:$A$2000,0)+1,MATCH(K$2,vdata_regressors!$A$1:$R$1,0)),"")</f>
        <v/>
      </c>
      <c r="L464" s="23" t="str">
        <f>IFERROR(INDEX(vdata_regressors!$A$1:$L$2000,MATCH($A464,vdata_regressors!$A$2:$A$2000,0)+1,MATCH(L$2,vdata_regressors!$A$1:$R$1,0)),"")</f>
        <v/>
      </c>
      <c r="M464" s="23" t="str">
        <f>IFERROR(VLOOKUP(A464,vdata_hours!$A$2:$B$1000,2,FALSE),"")</f>
        <v/>
      </c>
    </row>
    <row r="465" spans="1:13" x14ac:dyDescent="0.25">
      <c r="A465" s="23" t="str">
        <f>IF(vdata_hours!A464=0,"",vdata_hours!A464)</f>
        <v/>
      </c>
      <c r="B465" s="23" t="str">
        <f>IFERROR(INDEX(vdata_regressors!$A$1:$L$2000,MATCH($A465,vdata_regressors!$A$2:$A$2000,0)+1,MATCH(B$2,vdata_regressors!$A$1:$R$1,0)),"")</f>
        <v/>
      </c>
      <c r="C465" s="23" t="str">
        <f>IFERROR(INDEX(vdata_regressors!$A$1:$L$2000,MATCH($A465,vdata_regressors!$A$2:$A$2000,0)+1,MATCH(C$2,vdata_regressors!$A$1:$R$1,0)),"")</f>
        <v/>
      </c>
      <c r="D465" s="23" t="str">
        <f>IFERROR(INDEX(vdata_regressors!$A$1:$L$2000,MATCH($A465,vdata_regressors!$A$2:$A$2000,0)+1,MATCH(D$2,vdata_regressors!$A$1:$R$1,0)),"")</f>
        <v/>
      </c>
      <c r="E465" s="23" t="str">
        <f>IFERROR(INDEX(vdata_regressors!$A$1:$L$2000,MATCH($A465,vdata_regressors!$A$2:$A$2000,0)+1,MATCH(E$2,vdata_regressors!$A$1:$R$1,0)),"")</f>
        <v/>
      </c>
      <c r="F465" s="23" t="str">
        <f>IFERROR(INDEX(vdata_regressors!$A$1:$L$2000,MATCH($A465,vdata_regressors!$A$2:$A$2000,0)+1,MATCH(F$2,vdata_regressors!$A$1:$R$1,0)),"")</f>
        <v/>
      </c>
      <c r="G465" s="23" t="str">
        <f>IFERROR(INDEX(vdata_regressors!$A$1:$L$2000,MATCH($A465,vdata_regressors!$A$2:$A$2000,0)+1,MATCH(G$2,vdata_regressors!$A$1:$R$1,0)),"")</f>
        <v/>
      </c>
      <c r="H465" s="23" t="str">
        <f>IFERROR(INDEX(vdata_regressors!$A$1:$L$2000,MATCH($A465,vdata_regressors!$A$2:$A$2000,0)+1,MATCH(H$2,vdata_regressors!$A$1:$R$1,0)),"")</f>
        <v/>
      </c>
      <c r="I465" s="23" t="str">
        <f>IFERROR(INDEX(vdata_regressors!$A$1:$L$2000,MATCH($A465,vdata_regressors!$A$2:$A$2000,0)+1,MATCH(I$2,vdata_regressors!$A$1:$R$1,0)),"")</f>
        <v/>
      </c>
      <c r="J465" s="23" t="str">
        <f>IFERROR(INDEX(vdata_regressors!$A$1:$L$2000,MATCH($A465,vdata_regressors!$A$2:$A$2000,0)+1,MATCH(J$2,vdata_regressors!$A$1:$R$1,0)),"")</f>
        <v/>
      </c>
      <c r="K465" s="23" t="str">
        <f>IFERROR(INDEX(vdata_regressors!$A$1:$L$2000,MATCH($A465,vdata_regressors!$A$2:$A$2000,0)+1,MATCH(K$2,vdata_regressors!$A$1:$R$1,0)),"")</f>
        <v/>
      </c>
      <c r="L465" s="23" t="str">
        <f>IFERROR(INDEX(vdata_regressors!$A$1:$L$2000,MATCH($A465,vdata_regressors!$A$2:$A$2000,0)+1,MATCH(L$2,vdata_regressors!$A$1:$R$1,0)),"")</f>
        <v/>
      </c>
      <c r="M465" s="23" t="str">
        <f>IFERROR(VLOOKUP(A465,vdata_hours!$A$2:$B$1000,2,FALSE),"")</f>
        <v/>
      </c>
    </row>
    <row r="466" spans="1:13" x14ac:dyDescent="0.25">
      <c r="A466" s="23" t="str">
        <f>IF(vdata_hours!A465=0,"",vdata_hours!A465)</f>
        <v/>
      </c>
      <c r="B466" s="23" t="str">
        <f>IFERROR(INDEX(vdata_regressors!$A$1:$L$2000,MATCH($A466,vdata_regressors!$A$2:$A$2000,0)+1,MATCH(B$2,vdata_regressors!$A$1:$R$1,0)),"")</f>
        <v/>
      </c>
      <c r="C466" s="23" t="str">
        <f>IFERROR(INDEX(vdata_regressors!$A$1:$L$2000,MATCH($A466,vdata_regressors!$A$2:$A$2000,0)+1,MATCH(C$2,vdata_regressors!$A$1:$R$1,0)),"")</f>
        <v/>
      </c>
      <c r="D466" s="23" t="str">
        <f>IFERROR(INDEX(vdata_regressors!$A$1:$L$2000,MATCH($A466,vdata_regressors!$A$2:$A$2000,0)+1,MATCH(D$2,vdata_regressors!$A$1:$R$1,0)),"")</f>
        <v/>
      </c>
      <c r="E466" s="23" t="str">
        <f>IFERROR(INDEX(vdata_regressors!$A$1:$L$2000,MATCH($A466,vdata_regressors!$A$2:$A$2000,0)+1,MATCH(E$2,vdata_regressors!$A$1:$R$1,0)),"")</f>
        <v/>
      </c>
      <c r="F466" s="23" t="str">
        <f>IFERROR(INDEX(vdata_regressors!$A$1:$L$2000,MATCH($A466,vdata_regressors!$A$2:$A$2000,0)+1,MATCH(F$2,vdata_regressors!$A$1:$R$1,0)),"")</f>
        <v/>
      </c>
      <c r="G466" s="23" t="str">
        <f>IFERROR(INDEX(vdata_regressors!$A$1:$L$2000,MATCH($A466,vdata_regressors!$A$2:$A$2000,0)+1,MATCH(G$2,vdata_regressors!$A$1:$R$1,0)),"")</f>
        <v/>
      </c>
      <c r="H466" s="23" t="str">
        <f>IFERROR(INDEX(vdata_regressors!$A$1:$L$2000,MATCH($A466,vdata_regressors!$A$2:$A$2000,0)+1,MATCH(H$2,vdata_regressors!$A$1:$R$1,0)),"")</f>
        <v/>
      </c>
      <c r="I466" s="23" t="str">
        <f>IFERROR(INDEX(vdata_regressors!$A$1:$L$2000,MATCH($A466,vdata_regressors!$A$2:$A$2000,0)+1,MATCH(I$2,vdata_regressors!$A$1:$R$1,0)),"")</f>
        <v/>
      </c>
      <c r="J466" s="23" t="str">
        <f>IFERROR(INDEX(vdata_regressors!$A$1:$L$2000,MATCH($A466,vdata_regressors!$A$2:$A$2000,0)+1,MATCH(J$2,vdata_regressors!$A$1:$R$1,0)),"")</f>
        <v/>
      </c>
      <c r="K466" s="23" t="str">
        <f>IFERROR(INDEX(vdata_regressors!$A$1:$L$2000,MATCH($A466,vdata_regressors!$A$2:$A$2000,0)+1,MATCH(K$2,vdata_regressors!$A$1:$R$1,0)),"")</f>
        <v/>
      </c>
      <c r="L466" s="23" t="str">
        <f>IFERROR(INDEX(vdata_regressors!$A$1:$L$2000,MATCH($A466,vdata_regressors!$A$2:$A$2000,0)+1,MATCH(L$2,vdata_regressors!$A$1:$R$1,0)),"")</f>
        <v/>
      </c>
      <c r="M466" s="23" t="str">
        <f>IFERROR(VLOOKUP(A466,vdata_hours!$A$2:$B$1000,2,FALSE),"")</f>
        <v/>
      </c>
    </row>
    <row r="467" spans="1:13" x14ac:dyDescent="0.25">
      <c r="A467" s="23" t="str">
        <f>IF(vdata_hours!A466=0,"",vdata_hours!A466)</f>
        <v/>
      </c>
      <c r="B467" s="23" t="str">
        <f>IFERROR(INDEX(vdata_regressors!$A$1:$L$2000,MATCH($A467,vdata_regressors!$A$2:$A$2000,0)+1,MATCH(B$2,vdata_regressors!$A$1:$R$1,0)),"")</f>
        <v/>
      </c>
      <c r="C467" s="23" t="str">
        <f>IFERROR(INDEX(vdata_regressors!$A$1:$L$2000,MATCH($A467,vdata_regressors!$A$2:$A$2000,0)+1,MATCH(C$2,vdata_regressors!$A$1:$R$1,0)),"")</f>
        <v/>
      </c>
      <c r="D467" s="23" t="str">
        <f>IFERROR(INDEX(vdata_regressors!$A$1:$L$2000,MATCH($A467,vdata_regressors!$A$2:$A$2000,0)+1,MATCH(D$2,vdata_regressors!$A$1:$R$1,0)),"")</f>
        <v/>
      </c>
      <c r="E467" s="23" t="str">
        <f>IFERROR(INDEX(vdata_regressors!$A$1:$L$2000,MATCH($A467,vdata_regressors!$A$2:$A$2000,0)+1,MATCH(E$2,vdata_regressors!$A$1:$R$1,0)),"")</f>
        <v/>
      </c>
      <c r="F467" s="23" t="str">
        <f>IFERROR(INDEX(vdata_regressors!$A$1:$L$2000,MATCH($A467,vdata_regressors!$A$2:$A$2000,0)+1,MATCH(F$2,vdata_regressors!$A$1:$R$1,0)),"")</f>
        <v/>
      </c>
      <c r="G467" s="23" t="str">
        <f>IFERROR(INDEX(vdata_regressors!$A$1:$L$2000,MATCH($A467,vdata_regressors!$A$2:$A$2000,0)+1,MATCH(G$2,vdata_regressors!$A$1:$R$1,0)),"")</f>
        <v/>
      </c>
      <c r="H467" s="23" t="str">
        <f>IFERROR(INDEX(vdata_regressors!$A$1:$L$2000,MATCH($A467,vdata_regressors!$A$2:$A$2000,0)+1,MATCH(H$2,vdata_regressors!$A$1:$R$1,0)),"")</f>
        <v/>
      </c>
      <c r="I467" s="23" t="str">
        <f>IFERROR(INDEX(vdata_regressors!$A$1:$L$2000,MATCH($A467,vdata_regressors!$A$2:$A$2000,0)+1,MATCH(I$2,vdata_regressors!$A$1:$R$1,0)),"")</f>
        <v/>
      </c>
      <c r="J467" s="23" t="str">
        <f>IFERROR(INDEX(vdata_regressors!$A$1:$L$2000,MATCH($A467,vdata_regressors!$A$2:$A$2000,0)+1,MATCH(J$2,vdata_regressors!$A$1:$R$1,0)),"")</f>
        <v/>
      </c>
      <c r="K467" s="23" t="str">
        <f>IFERROR(INDEX(vdata_regressors!$A$1:$L$2000,MATCH($A467,vdata_regressors!$A$2:$A$2000,0)+1,MATCH(K$2,vdata_regressors!$A$1:$R$1,0)),"")</f>
        <v/>
      </c>
      <c r="L467" s="23" t="str">
        <f>IFERROR(INDEX(vdata_regressors!$A$1:$L$2000,MATCH($A467,vdata_regressors!$A$2:$A$2000,0)+1,MATCH(L$2,vdata_regressors!$A$1:$R$1,0)),"")</f>
        <v/>
      </c>
      <c r="M467" s="23" t="str">
        <f>IFERROR(VLOOKUP(A467,vdata_hours!$A$2:$B$1000,2,FALSE),"")</f>
        <v/>
      </c>
    </row>
    <row r="468" spans="1:13" x14ac:dyDescent="0.25">
      <c r="A468" s="23" t="str">
        <f>IF(vdata_hours!A467=0,"",vdata_hours!A467)</f>
        <v/>
      </c>
      <c r="B468" s="23" t="str">
        <f>IFERROR(INDEX(vdata_regressors!$A$1:$L$2000,MATCH($A468,vdata_regressors!$A$2:$A$2000,0)+1,MATCH(B$2,vdata_regressors!$A$1:$R$1,0)),"")</f>
        <v/>
      </c>
      <c r="C468" s="23" t="str">
        <f>IFERROR(INDEX(vdata_regressors!$A$1:$L$2000,MATCH($A468,vdata_regressors!$A$2:$A$2000,0)+1,MATCH(C$2,vdata_regressors!$A$1:$R$1,0)),"")</f>
        <v/>
      </c>
      <c r="D468" s="23" t="str">
        <f>IFERROR(INDEX(vdata_regressors!$A$1:$L$2000,MATCH($A468,vdata_regressors!$A$2:$A$2000,0)+1,MATCH(D$2,vdata_regressors!$A$1:$R$1,0)),"")</f>
        <v/>
      </c>
      <c r="E468" s="23" t="str">
        <f>IFERROR(INDEX(vdata_regressors!$A$1:$L$2000,MATCH($A468,vdata_regressors!$A$2:$A$2000,0)+1,MATCH(E$2,vdata_regressors!$A$1:$R$1,0)),"")</f>
        <v/>
      </c>
      <c r="F468" s="23" t="str">
        <f>IFERROR(INDEX(vdata_regressors!$A$1:$L$2000,MATCH($A468,vdata_regressors!$A$2:$A$2000,0)+1,MATCH(F$2,vdata_regressors!$A$1:$R$1,0)),"")</f>
        <v/>
      </c>
      <c r="G468" s="23" t="str">
        <f>IFERROR(INDEX(vdata_regressors!$A$1:$L$2000,MATCH($A468,vdata_regressors!$A$2:$A$2000,0)+1,MATCH(G$2,vdata_regressors!$A$1:$R$1,0)),"")</f>
        <v/>
      </c>
      <c r="H468" s="23" t="str">
        <f>IFERROR(INDEX(vdata_regressors!$A$1:$L$2000,MATCH($A468,vdata_regressors!$A$2:$A$2000,0)+1,MATCH(H$2,vdata_regressors!$A$1:$R$1,0)),"")</f>
        <v/>
      </c>
      <c r="I468" s="23" t="str">
        <f>IFERROR(INDEX(vdata_regressors!$A$1:$L$2000,MATCH($A468,vdata_regressors!$A$2:$A$2000,0)+1,MATCH(I$2,vdata_regressors!$A$1:$R$1,0)),"")</f>
        <v/>
      </c>
      <c r="J468" s="23" t="str">
        <f>IFERROR(INDEX(vdata_regressors!$A$1:$L$2000,MATCH($A468,vdata_regressors!$A$2:$A$2000,0)+1,MATCH(J$2,vdata_regressors!$A$1:$R$1,0)),"")</f>
        <v/>
      </c>
      <c r="K468" s="23" t="str">
        <f>IFERROR(INDEX(vdata_regressors!$A$1:$L$2000,MATCH($A468,vdata_regressors!$A$2:$A$2000,0)+1,MATCH(K$2,vdata_regressors!$A$1:$R$1,0)),"")</f>
        <v/>
      </c>
      <c r="L468" s="23" t="str">
        <f>IFERROR(INDEX(vdata_regressors!$A$1:$L$2000,MATCH($A468,vdata_regressors!$A$2:$A$2000,0)+1,MATCH(L$2,vdata_regressors!$A$1:$R$1,0)),"")</f>
        <v/>
      </c>
      <c r="M468" s="23" t="str">
        <f>IFERROR(VLOOKUP(A468,vdata_hours!$A$2:$B$1000,2,FALSE),"")</f>
        <v/>
      </c>
    </row>
    <row r="469" spans="1:13" x14ac:dyDescent="0.25">
      <c r="A469" s="23" t="str">
        <f>IF(vdata_hours!A468=0,"",vdata_hours!A468)</f>
        <v/>
      </c>
      <c r="B469" s="23" t="str">
        <f>IFERROR(INDEX(vdata_regressors!$A$1:$L$2000,MATCH($A469,vdata_regressors!$A$2:$A$2000,0)+1,MATCH(B$2,vdata_regressors!$A$1:$R$1,0)),"")</f>
        <v/>
      </c>
      <c r="C469" s="23" t="str">
        <f>IFERROR(INDEX(vdata_regressors!$A$1:$L$2000,MATCH($A469,vdata_regressors!$A$2:$A$2000,0)+1,MATCH(C$2,vdata_regressors!$A$1:$R$1,0)),"")</f>
        <v/>
      </c>
      <c r="D469" s="23" t="str">
        <f>IFERROR(INDEX(vdata_regressors!$A$1:$L$2000,MATCH($A469,vdata_regressors!$A$2:$A$2000,0)+1,MATCH(D$2,vdata_regressors!$A$1:$R$1,0)),"")</f>
        <v/>
      </c>
      <c r="E469" s="23" t="str">
        <f>IFERROR(INDEX(vdata_regressors!$A$1:$L$2000,MATCH($A469,vdata_regressors!$A$2:$A$2000,0)+1,MATCH(E$2,vdata_regressors!$A$1:$R$1,0)),"")</f>
        <v/>
      </c>
      <c r="F469" s="23" t="str">
        <f>IFERROR(INDEX(vdata_regressors!$A$1:$L$2000,MATCH($A469,vdata_regressors!$A$2:$A$2000,0)+1,MATCH(F$2,vdata_regressors!$A$1:$R$1,0)),"")</f>
        <v/>
      </c>
      <c r="G469" s="23" t="str">
        <f>IFERROR(INDEX(vdata_regressors!$A$1:$L$2000,MATCH($A469,vdata_regressors!$A$2:$A$2000,0)+1,MATCH(G$2,vdata_regressors!$A$1:$R$1,0)),"")</f>
        <v/>
      </c>
      <c r="H469" s="23" t="str">
        <f>IFERROR(INDEX(vdata_regressors!$A$1:$L$2000,MATCH($A469,vdata_regressors!$A$2:$A$2000,0)+1,MATCH(H$2,vdata_regressors!$A$1:$R$1,0)),"")</f>
        <v/>
      </c>
      <c r="I469" s="23" t="str">
        <f>IFERROR(INDEX(vdata_regressors!$A$1:$L$2000,MATCH($A469,vdata_regressors!$A$2:$A$2000,0)+1,MATCH(I$2,vdata_regressors!$A$1:$R$1,0)),"")</f>
        <v/>
      </c>
      <c r="J469" s="23" t="str">
        <f>IFERROR(INDEX(vdata_regressors!$A$1:$L$2000,MATCH($A469,vdata_regressors!$A$2:$A$2000,0)+1,MATCH(J$2,vdata_regressors!$A$1:$R$1,0)),"")</f>
        <v/>
      </c>
      <c r="K469" s="23" t="str">
        <f>IFERROR(INDEX(vdata_regressors!$A$1:$L$2000,MATCH($A469,vdata_regressors!$A$2:$A$2000,0)+1,MATCH(K$2,vdata_regressors!$A$1:$R$1,0)),"")</f>
        <v/>
      </c>
      <c r="L469" s="23" t="str">
        <f>IFERROR(INDEX(vdata_regressors!$A$1:$L$2000,MATCH($A469,vdata_regressors!$A$2:$A$2000,0)+1,MATCH(L$2,vdata_regressors!$A$1:$R$1,0)),"")</f>
        <v/>
      </c>
      <c r="M469" s="23" t="str">
        <f>IFERROR(VLOOKUP(A469,vdata_hours!$A$2:$B$1000,2,FALSE),"")</f>
        <v/>
      </c>
    </row>
    <row r="470" spans="1:13" x14ac:dyDescent="0.25">
      <c r="A470" s="23" t="str">
        <f>IF(vdata_hours!A469=0,"",vdata_hours!A469)</f>
        <v/>
      </c>
      <c r="B470" s="23" t="str">
        <f>IFERROR(INDEX(vdata_regressors!$A$1:$L$2000,MATCH($A470,vdata_regressors!$A$2:$A$2000,0)+1,MATCH(B$2,vdata_regressors!$A$1:$R$1,0)),"")</f>
        <v/>
      </c>
      <c r="C470" s="23" t="str">
        <f>IFERROR(INDEX(vdata_regressors!$A$1:$L$2000,MATCH($A470,vdata_regressors!$A$2:$A$2000,0)+1,MATCH(C$2,vdata_regressors!$A$1:$R$1,0)),"")</f>
        <v/>
      </c>
      <c r="D470" s="23" t="str">
        <f>IFERROR(INDEX(vdata_regressors!$A$1:$L$2000,MATCH($A470,vdata_regressors!$A$2:$A$2000,0)+1,MATCH(D$2,vdata_regressors!$A$1:$R$1,0)),"")</f>
        <v/>
      </c>
      <c r="E470" s="23" t="str">
        <f>IFERROR(INDEX(vdata_regressors!$A$1:$L$2000,MATCH($A470,vdata_regressors!$A$2:$A$2000,0)+1,MATCH(E$2,vdata_regressors!$A$1:$R$1,0)),"")</f>
        <v/>
      </c>
      <c r="F470" s="23" t="str">
        <f>IFERROR(INDEX(vdata_regressors!$A$1:$L$2000,MATCH($A470,vdata_regressors!$A$2:$A$2000,0)+1,MATCH(F$2,vdata_regressors!$A$1:$R$1,0)),"")</f>
        <v/>
      </c>
      <c r="G470" s="23" t="str">
        <f>IFERROR(INDEX(vdata_regressors!$A$1:$L$2000,MATCH($A470,vdata_regressors!$A$2:$A$2000,0)+1,MATCH(G$2,vdata_regressors!$A$1:$R$1,0)),"")</f>
        <v/>
      </c>
      <c r="H470" s="23" t="str">
        <f>IFERROR(INDEX(vdata_regressors!$A$1:$L$2000,MATCH($A470,vdata_regressors!$A$2:$A$2000,0)+1,MATCH(H$2,vdata_regressors!$A$1:$R$1,0)),"")</f>
        <v/>
      </c>
      <c r="I470" s="23" t="str">
        <f>IFERROR(INDEX(vdata_regressors!$A$1:$L$2000,MATCH($A470,vdata_regressors!$A$2:$A$2000,0)+1,MATCH(I$2,vdata_regressors!$A$1:$R$1,0)),"")</f>
        <v/>
      </c>
      <c r="J470" s="23" t="str">
        <f>IFERROR(INDEX(vdata_regressors!$A$1:$L$2000,MATCH($A470,vdata_regressors!$A$2:$A$2000,0)+1,MATCH(J$2,vdata_regressors!$A$1:$R$1,0)),"")</f>
        <v/>
      </c>
      <c r="K470" s="23" t="str">
        <f>IFERROR(INDEX(vdata_regressors!$A$1:$L$2000,MATCH($A470,vdata_regressors!$A$2:$A$2000,0)+1,MATCH(K$2,vdata_regressors!$A$1:$R$1,0)),"")</f>
        <v/>
      </c>
      <c r="L470" s="23" t="str">
        <f>IFERROR(INDEX(vdata_regressors!$A$1:$L$2000,MATCH($A470,vdata_regressors!$A$2:$A$2000,0)+1,MATCH(L$2,vdata_regressors!$A$1:$R$1,0)),"")</f>
        <v/>
      </c>
      <c r="M470" s="23" t="str">
        <f>IFERROR(VLOOKUP(A470,vdata_hours!$A$2:$B$1000,2,FALSE),"")</f>
        <v/>
      </c>
    </row>
    <row r="471" spans="1:13" x14ac:dyDescent="0.25">
      <c r="A471" s="23" t="str">
        <f>IF(vdata_hours!A470=0,"",vdata_hours!A470)</f>
        <v/>
      </c>
      <c r="B471" s="23" t="str">
        <f>IFERROR(INDEX(vdata_regressors!$A$1:$L$2000,MATCH($A471,vdata_regressors!$A$2:$A$2000,0)+1,MATCH(B$2,vdata_regressors!$A$1:$R$1,0)),"")</f>
        <v/>
      </c>
      <c r="C471" s="23" t="str">
        <f>IFERROR(INDEX(vdata_regressors!$A$1:$L$2000,MATCH($A471,vdata_regressors!$A$2:$A$2000,0)+1,MATCH(C$2,vdata_regressors!$A$1:$R$1,0)),"")</f>
        <v/>
      </c>
      <c r="D471" s="23" t="str">
        <f>IFERROR(INDEX(vdata_regressors!$A$1:$L$2000,MATCH($A471,vdata_regressors!$A$2:$A$2000,0)+1,MATCH(D$2,vdata_regressors!$A$1:$R$1,0)),"")</f>
        <v/>
      </c>
      <c r="E471" s="23" t="str">
        <f>IFERROR(INDEX(vdata_regressors!$A$1:$L$2000,MATCH($A471,vdata_regressors!$A$2:$A$2000,0)+1,MATCH(E$2,vdata_regressors!$A$1:$R$1,0)),"")</f>
        <v/>
      </c>
      <c r="F471" s="23" t="str">
        <f>IFERROR(INDEX(vdata_regressors!$A$1:$L$2000,MATCH($A471,vdata_regressors!$A$2:$A$2000,0)+1,MATCH(F$2,vdata_regressors!$A$1:$R$1,0)),"")</f>
        <v/>
      </c>
      <c r="G471" s="23" t="str">
        <f>IFERROR(INDEX(vdata_regressors!$A$1:$L$2000,MATCH($A471,vdata_regressors!$A$2:$A$2000,0)+1,MATCH(G$2,vdata_regressors!$A$1:$R$1,0)),"")</f>
        <v/>
      </c>
      <c r="H471" s="23" t="str">
        <f>IFERROR(INDEX(vdata_regressors!$A$1:$L$2000,MATCH($A471,vdata_regressors!$A$2:$A$2000,0)+1,MATCH(H$2,vdata_regressors!$A$1:$R$1,0)),"")</f>
        <v/>
      </c>
      <c r="I471" s="23" t="str">
        <f>IFERROR(INDEX(vdata_regressors!$A$1:$L$2000,MATCH($A471,vdata_regressors!$A$2:$A$2000,0)+1,MATCH(I$2,vdata_regressors!$A$1:$R$1,0)),"")</f>
        <v/>
      </c>
      <c r="J471" s="23" t="str">
        <f>IFERROR(INDEX(vdata_regressors!$A$1:$L$2000,MATCH($A471,vdata_regressors!$A$2:$A$2000,0)+1,MATCH(J$2,vdata_regressors!$A$1:$R$1,0)),"")</f>
        <v/>
      </c>
      <c r="K471" s="23" t="str">
        <f>IFERROR(INDEX(vdata_regressors!$A$1:$L$2000,MATCH($A471,vdata_regressors!$A$2:$A$2000,0)+1,MATCH(K$2,vdata_regressors!$A$1:$R$1,0)),"")</f>
        <v/>
      </c>
      <c r="L471" s="23" t="str">
        <f>IFERROR(INDEX(vdata_regressors!$A$1:$L$2000,MATCH($A471,vdata_regressors!$A$2:$A$2000,0)+1,MATCH(L$2,vdata_regressors!$A$1:$R$1,0)),"")</f>
        <v/>
      </c>
      <c r="M471" s="23" t="str">
        <f>IFERROR(VLOOKUP(A471,vdata_hours!$A$2:$B$1000,2,FALSE),"")</f>
        <v/>
      </c>
    </row>
    <row r="472" spans="1:13" x14ac:dyDescent="0.25">
      <c r="A472" s="23" t="str">
        <f>IF(vdata_hours!A471=0,"",vdata_hours!A471)</f>
        <v/>
      </c>
      <c r="B472" s="23" t="str">
        <f>IFERROR(INDEX(vdata_regressors!$A$1:$L$2000,MATCH($A472,vdata_regressors!$A$2:$A$2000,0)+1,MATCH(B$2,vdata_regressors!$A$1:$R$1,0)),"")</f>
        <v/>
      </c>
      <c r="C472" s="23" t="str">
        <f>IFERROR(INDEX(vdata_regressors!$A$1:$L$2000,MATCH($A472,vdata_regressors!$A$2:$A$2000,0)+1,MATCH(C$2,vdata_regressors!$A$1:$R$1,0)),"")</f>
        <v/>
      </c>
      <c r="D472" s="23" t="str">
        <f>IFERROR(INDEX(vdata_regressors!$A$1:$L$2000,MATCH($A472,vdata_regressors!$A$2:$A$2000,0)+1,MATCH(D$2,vdata_regressors!$A$1:$R$1,0)),"")</f>
        <v/>
      </c>
      <c r="E472" s="23" t="str">
        <f>IFERROR(INDEX(vdata_regressors!$A$1:$L$2000,MATCH($A472,vdata_regressors!$A$2:$A$2000,0)+1,MATCH(E$2,vdata_regressors!$A$1:$R$1,0)),"")</f>
        <v/>
      </c>
      <c r="F472" s="23" t="str">
        <f>IFERROR(INDEX(vdata_regressors!$A$1:$L$2000,MATCH($A472,vdata_regressors!$A$2:$A$2000,0)+1,MATCH(F$2,vdata_regressors!$A$1:$R$1,0)),"")</f>
        <v/>
      </c>
      <c r="G472" s="23" t="str">
        <f>IFERROR(INDEX(vdata_regressors!$A$1:$L$2000,MATCH($A472,vdata_regressors!$A$2:$A$2000,0)+1,MATCH(G$2,vdata_regressors!$A$1:$R$1,0)),"")</f>
        <v/>
      </c>
      <c r="H472" s="23" t="str">
        <f>IFERROR(INDEX(vdata_regressors!$A$1:$L$2000,MATCH($A472,vdata_regressors!$A$2:$A$2000,0)+1,MATCH(H$2,vdata_regressors!$A$1:$R$1,0)),"")</f>
        <v/>
      </c>
      <c r="I472" s="23" t="str">
        <f>IFERROR(INDEX(vdata_regressors!$A$1:$L$2000,MATCH($A472,vdata_regressors!$A$2:$A$2000,0)+1,MATCH(I$2,vdata_regressors!$A$1:$R$1,0)),"")</f>
        <v/>
      </c>
      <c r="J472" s="23" t="str">
        <f>IFERROR(INDEX(vdata_regressors!$A$1:$L$2000,MATCH($A472,vdata_regressors!$A$2:$A$2000,0)+1,MATCH(J$2,vdata_regressors!$A$1:$R$1,0)),"")</f>
        <v/>
      </c>
      <c r="K472" s="23" t="str">
        <f>IFERROR(INDEX(vdata_regressors!$A$1:$L$2000,MATCH($A472,vdata_regressors!$A$2:$A$2000,0)+1,MATCH(K$2,vdata_regressors!$A$1:$R$1,0)),"")</f>
        <v/>
      </c>
      <c r="L472" s="23" t="str">
        <f>IFERROR(INDEX(vdata_regressors!$A$1:$L$2000,MATCH($A472,vdata_regressors!$A$2:$A$2000,0)+1,MATCH(L$2,vdata_regressors!$A$1:$R$1,0)),"")</f>
        <v/>
      </c>
      <c r="M472" s="23" t="str">
        <f>IFERROR(VLOOKUP(A472,vdata_hours!$A$2:$B$1000,2,FALSE),"")</f>
        <v/>
      </c>
    </row>
    <row r="473" spans="1:13" x14ac:dyDescent="0.25">
      <c r="A473" s="23" t="str">
        <f>IF(vdata_hours!A472=0,"",vdata_hours!A472)</f>
        <v/>
      </c>
      <c r="B473" s="23" t="str">
        <f>IFERROR(INDEX(vdata_regressors!$A$1:$L$2000,MATCH($A473,vdata_regressors!$A$2:$A$2000,0)+1,MATCH(B$2,vdata_regressors!$A$1:$R$1,0)),"")</f>
        <v/>
      </c>
      <c r="C473" s="23" t="str">
        <f>IFERROR(INDEX(vdata_regressors!$A$1:$L$2000,MATCH($A473,vdata_regressors!$A$2:$A$2000,0)+1,MATCH(C$2,vdata_regressors!$A$1:$R$1,0)),"")</f>
        <v/>
      </c>
      <c r="D473" s="23" t="str">
        <f>IFERROR(INDEX(vdata_regressors!$A$1:$L$2000,MATCH($A473,vdata_regressors!$A$2:$A$2000,0)+1,MATCH(D$2,vdata_regressors!$A$1:$R$1,0)),"")</f>
        <v/>
      </c>
      <c r="E473" s="23" t="str">
        <f>IFERROR(INDEX(vdata_regressors!$A$1:$L$2000,MATCH($A473,vdata_regressors!$A$2:$A$2000,0)+1,MATCH(E$2,vdata_regressors!$A$1:$R$1,0)),"")</f>
        <v/>
      </c>
      <c r="F473" s="23" t="str">
        <f>IFERROR(INDEX(vdata_regressors!$A$1:$L$2000,MATCH($A473,vdata_regressors!$A$2:$A$2000,0)+1,MATCH(F$2,vdata_regressors!$A$1:$R$1,0)),"")</f>
        <v/>
      </c>
      <c r="G473" s="23" t="str">
        <f>IFERROR(INDEX(vdata_regressors!$A$1:$L$2000,MATCH($A473,vdata_regressors!$A$2:$A$2000,0)+1,MATCH(G$2,vdata_regressors!$A$1:$R$1,0)),"")</f>
        <v/>
      </c>
      <c r="H473" s="23" t="str">
        <f>IFERROR(INDEX(vdata_regressors!$A$1:$L$2000,MATCH($A473,vdata_regressors!$A$2:$A$2000,0)+1,MATCH(H$2,vdata_regressors!$A$1:$R$1,0)),"")</f>
        <v/>
      </c>
      <c r="I473" s="23" t="str">
        <f>IFERROR(INDEX(vdata_regressors!$A$1:$L$2000,MATCH($A473,vdata_regressors!$A$2:$A$2000,0)+1,MATCH(I$2,vdata_regressors!$A$1:$R$1,0)),"")</f>
        <v/>
      </c>
      <c r="J473" s="23" t="str">
        <f>IFERROR(INDEX(vdata_regressors!$A$1:$L$2000,MATCH($A473,vdata_regressors!$A$2:$A$2000,0)+1,MATCH(J$2,vdata_regressors!$A$1:$R$1,0)),"")</f>
        <v/>
      </c>
      <c r="K473" s="23" t="str">
        <f>IFERROR(INDEX(vdata_regressors!$A$1:$L$2000,MATCH($A473,vdata_regressors!$A$2:$A$2000,0)+1,MATCH(K$2,vdata_regressors!$A$1:$R$1,0)),"")</f>
        <v/>
      </c>
      <c r="L473" s="23" t="str">
        <f>IFERROR(INDEX(vdata_regressors!$A$1:$L$2000,MATCH($A473,vdata_regressors!$A$2:$A$2000,0)+1,MATCH(L$2,vdata_regressors!$A$1:$R$1,0)),"")</f>
        <v/>
      </c>
      <c r="M473" s="23" t="str">
        <f>IFERROR(VLOOKUP(A473,vdata_hours!$A$2:$B$1000,2,FALSE),"")</f>
        <v/>
      </c>
    </row>
    <row r="474" spans="1:13" x14ac:dyDescent="0.25">
      <c r="A474" s="23" t="str">
        <f>IF(vdata_hours!A473=0,"",vdata_hours!A473)</f>
        <v/>
      </c>
      <c r="B474" s="23" t="str">
        <f>IFERROR(INDEX(vdata_regressors!$A$1:$L$2000,MATCH($A474,vdata_regressors!$A$2:$A$2000,0)+1,MATCH(B$2,vdata_regressors!$A$1:$R$1,0)),"")</f>
        <v/>
      </c>
      <c r="C474" s="23" t="str">
        <f>IFERROR(INDEX(vdata_regressors!$A$1:$L$2000,MATCH($A474,vdata_regressors!$A$2:$A$2000,0)+1,MATCH(C$2,vdata_regressors!$A$1:$R$1,0)),"")</f>
        <v/>
      </c>
      <c r="D474" s="23" t="str">
        <f>IFERROR(INDEX(vdata_regressors!$A$1:$L$2000,MATCH($A474,vdata_regressors!$A$2:$A$2000,0)+1,MATCH(D$2,vdata_regressors!$A$1:$R$1,0)),"")</f>
        <v/>
      </c>
      <c r="E474" s="23" t="str">
        <f>IFERROR(INDEX(vdata_regressors!$A$1:$L$2000,MATCH($A474,vdata_regressors!$A$2:$A$2000,0)+1,MATCH(E$2,vdata_regressors!$A$1:$R$1,0)),"")</f>
        <v/>
      </c>
      <c r="F474" s="23" t="str">
        <f>IFERROR(INDEX(vdata_regressors!$A$1:$L$2000,MATCH($A474,vdata_regressors!$A$2:$A$2000,0)+1,MATCH(F$2,vdata_regressors!$A$1:$R$1,0)),"")</f>
        <v/>
      </c>
      <c r="G474" s="23" t="str">
        <f>IFERROR(INDEX(vdata_regressors!$A$1:$L$2000,MATCH($A474,vdata_regressors!$A$2:$A$2000,0)+1,MATCH(G$2,vdata_regressors!$A$1:$R$1,0)),"")</f>
        <v/>
      </c>
      <c r="H474" s="23" t="str">
        <f>IFERROR(INDEX(vdata_regressors!$A$1:$L$2000,MATCH($A474,vdata_regressors!$A$2:$A$2000,0)+1,MATCH(H$2,vdata_regressors!$A$1:$R$1,0)),"")</f>
        <v/>
      </c>
      <c r="I474" s="23" t="str">
        <f>IFERROR(INDEX(vdata_regressors!$A$1:$L$2000,MATCH($A474,vdata_regressors!$A$2:$A$2000,0)+1,MATCH(I$2,vdata_regressors!$A$1:$R$1,0)),"")</f>
        <v/>
      </c>
      <c r="J474" s="23" t="str">
        <f>IFERROR(INDEX(vdata_regressors!$A$1:$L$2000,MATCH($A474,vdata_regressors!$A$2:$A$2000,0)+1,MATCH(J$2,vdata_regressors!$A$1:$R$1,0)),"")</f>
        <v/>
      </c>
      <c r="K474" s="23" t="str">
        <f>IFERROR(INDEX(vdata_regressors!$A$1:$L$2000,MATCH($A474,vdata_regressors!$A$2:$A$2000,0)+1,MATCH(K$2,vdata_regressors!$A$1:$R$1,0)),"")</f>
        <v/>
      </c>
      <c r="L474" s="23" t="str">
        <f>IFERROR(INDEX(vdata_regressors!$A$1:$L$2000,MATCH($A474,vdata_regressors!$A$2:$A$2000,0)+1,MATCH(L$2,vdata_regressors!$A$1:$R$1,0)),"")</f>
        <v/>
      </c>
      <c r="M474" s="23" t="str">
        <f>IFERROR(VLOOKUP(A474,vdata_hours!$A$2:$B$1000,2,FALSE),"")</f>
        <v/>
      </c>
    </row>
    <row r="475" spans="1:13" x14ac:dyDescent="0.25">
      <c r="A475" s="23" t="str">
        <f>IF(vdata_hours!A474=0,"",vdata_hours!A474)</f>
        <v/>
      </c>
      <c r="B475" s="23" t="str">
        <f>IFERROR(INDEX(vdata_regressors!$A$1:$L$2000,MATCH($A475,vdata_regressors!$A$2:$A$2000,0)+1,MATCH(B$2,vdata_regressors!$A$1:$R$1,0)),"")</f>
        <v/>
      </c>
      <c r="C475" s="23" t="str">
        <f>IFERROR(INDEX(vdata_regressors!$A$1:$L$2000,MATCH($A475,vdata_regressors!$A$2:$A$2000,0)+1,MATCH(C$2,vdata_regressors!$A$1:$R$1,0)),"")</f>
        <v/>
      </c>
      <c r="D475" s="23" t="str">
        <f>IFERROR(INDEX(vdata_regressors!$A$1:$L$2000,MATCH($A475,vdata_regressors!$A$2:$A$2000,0)+1,MATCH(D$2,vdata_regressors!$A$1:$R$1,0)),"")</f>
        <v/>
      </c>
      <c r="E475" s="23" t="str">
        <f>IFERROR(INDEX(vdata_regressors!$A$1:$L$2000,MATCH($A475,vdata_regressors!$A$2:$A$2000,0)+1,MATCH(E$2,vdata_regressors!$A$1:$R$1,0)),"")</f>
        <v/>
      </c>
      <c r="F475" s="23" t="str">
        <f>IFERROR(INDEX(vdata_regressors!$A$1:$L$2000,MATCH($A475,vdata_regressors!$A$2:$A$2000,0)+1,MATCH(F$2,vdata_regressors!$A$1:$R$1,0)),"")</f>
        <v/>
      </c>
      <c r="G475" s="23" t="str">
        <f>IFERROR(INDEX(vdata_regressors!$A$1:$L$2000,MATCH($A475,vdata_regressors!$A$2:$A$2000,0)+1,MATCH(G$2,vdata_regressors!$A$1:$R$1,0)),"")</f>
        <v/>
      </c>
      <c r="H475" s="23" t="str">
        <f>IFERROR(INDEX(vdata_regressors!$A$1:$L$2000,MATCH($A475,vdata_regressors!$A$2:$A$2000,0)+1,MATCH(H$2,vdata_regressors!$A$1:$R$1,0)),"")</f>
        <v/>
      </c>
      <c r="I475" s="23" t="str">
        <f>IFERROR(INDEX(vdata_regressors!$A$1:$L$2000,MATCH($A475,vdata_regressors!$A$2:$A$2000,0)+1,MATCH(I$2,vdata_regressors!$A$1:$R$1,0)),"")</f>
        <v/>
      </c>
      <c r="J475" s="23" t="str">
        <f>IFERROR(INDEX(vdata_regressors!$A$1:$L$2000,MATCH($A475,vdata_regressors!$A$2:$A$2000,0)+1,MATCH(J$2,vdata_regressors!$A$1:$R$1,0)),"")</f>
        <v/>
      </c>
      <c r="K475" s="23" t="str">
        <f>IFERROR(INDEX(vdata_regressors!$A$1:$L$2000,MATCH($A475,vdata_regressors!$A$2:$A$2000,0)+1,MATCH(K$2,vdata_regressors!$A$1:$R$1,0)),"")</f>
        <v/>
      </c>
      <c r="L475" s="23" t="str">
        <f>IFERROR(INDEX(vdata_regressors!$A$1:$L$2000,MATCH($A475,vdata_regressors!$A$2:$A$2000,0)+1,MATCH(L$2,vdata_regressors!$A$1:$R$1,0)),"")</f>
        <v/>
      </c>
      <c r="M475" s="23" t="str">
        <f>IFERROR(VLOOKUP(A475,vdata_hours!$A$2:$B$1000,2,FALSE),"")</f>
        <v/>
      </c>
    </row>
    <row r="476" spans="1:13" x14ac:dyDescent="0.25">
      <c r="A476" s="23" t="str">
        <f>IF(vdata_hours!A475=0,"",vdata_hours!A475)</f>
        <v/>
      </c>
      <c r="B476" s="23" t="str">
        <f>IFERROR(INDEX(vdata_regressors!$A$1:$L$2000,MATCH($A476,vdata_regressors!$A$2:$A$2000,0)+1,MATCH(B$2,vdata_regressors!$A$1:$R$1,0)),"")</f>
        <v/>
      </c>
      <c r="C476" s="23" t="str">
        <f>IFERROR(INDEX(vdata_regressors!$A$1:$L$2000,MATCH($A476,vdata_regressors!$A$2:$A$2000,0)+1,MATCH(C$2,vdata_regressors!$A$1:$R$1,0)),"")</f>
        <v/>
      </c>
      <c r="D476" s="23" t="str">
        <f>IFERROR(INDEX(vdata_regressors!$A$1:$L$2000,MATCH($A476,vdata_regressors!$A$2:$A$2000,0)+1,MATCH(D$2,vdata_regressors!$A$1:$R$1,0)),"")</f>
        <v/>
      </c>
      <c r="E476" s="23" t="str">
        <f>IFERROR(INDEX(vdata_regressors!$A$1:$L$2000,MATCH($A476,vdata_regressors!$A$2:$A$2000,0)+1,MATCH(E$2,vdata_regressors!$A$1:$R$1,0)),"")</f>
        <v/>
      </c>
      <c r="F476" s="23" t="str">
        <f>IFERROR(INDEX(vdata_regressors!$A$1:$L$2000,MATCH($A476,vdata_regressors!$A$2:$A$2000,0)+1,MATCH(F$2,vdata_regressors!$A$1:$R$1,0)),"")</f>
        <v/>
      </c>
      <c r="G476" s="23" t="str">
        <f>IFERROR(INDEX(vdata_regressors!$A$1:$L$2000,MATCH($A476,vdata_regressors!$A$2:$A$2000,0)+1,MATCH(G$2,vdata_regressors!$A$1:$R$1,0)),"")</f>
        <v/>
      </c>
      <c r="H476" s="23" t="str">
        <f>IFERROR(INDEX(vdata_regressors!$A$1:$L$2000,MATCH($A476,vdata_regressors!$A$2:$A$2000,0)+1,MATCH(H$2,vdata_regressors!$A$1:$R$1,0)),"")</f>
        <v/>
      </c>
      <c r="I476" s="23" t="str">
        <f>IFERROR(INDEX(vdata_regressors!$A$1:$L$2000,MATCH($A476,vdata_regressors!$A$2:$A$2000,0)+1,MATCH(I$2,vdata_regressors!$A$1:$R$1,0)),"")</f>
        <v/>
      </c>
      <c r="J476" s="23" t="str">
        <f>IFERROR(INDEX(vdata_regressors!$A$1:$L$2000,MATCH($A476,vdata_regressors!$A$2:$A$2000,0)+1,MATCH(J$2,vdata_regressors!$A$1:$R$1,0)),"")</f>
        <v/>
      </c>
      <c r="K476" s="23" t="str">
        <f>IFERROR(INDEX(vdata_regressors!$A$1:$L$2000,MATCH($A476,vdata_regressors!$A$2:$A$2000,0)+1,MATCH(K$2,vdata_regressors!$A$1:$R$1,0)),"")</f>
        <v/>
      </c>
      <c r="L476" s="23" t="str">
        <f>IFERROR(INDEX(vdata_regressors!$A$1:$L$2000,MATCH($A476,vdata_regressors!$A$2:$A$2000,0)+1,MATCH(L$2,vdata_regressors!$A$1:$R$1,0)),"")</f>
        <v/>
      </c>
      <c r="M476" s="23" t="str">
        <f>IFERROR(VLOOKUP(A476,vdata_hours!$A$2:$B$1000,2,FALSE),"")</f>
        <v/>
      </c>
    </row>
    <row r="477" spans="1:13" x14ac:dyDescent="0.25">
      <c r="A477" s="23" t="str">
        <f>IF(vdata_hours!A476=0,"",vdata_hours!A476)</f>
        <v/>
      </c>
      <c r="B477" s="23" t="str">
        <f>IFERROR(INDEX(vdata_regressors!$A$1:$L$2000,MATCH($A477,vdata_regressors!$A$2:$A$2000,0)+1,MATCH(B$2,vdata_regressors!$A$1:$R$1,0)),"")</f>
        <v/>
      </c>
      <c r="C477" s="23" t="str">
        <f>IFERROR(INDEX(vdata_regressors!$A$1:$L$2000,MATCH($A477,vdata_regressors!$A$2:$A$2000,0)+1,MATCH(C$2,vdata_regressors!$A$1:$R$1,0)),"")</f>
        <v/>
      </c>
      <c r="D477" s="23" t="str">
        <f>IFERROR(INDEX(vdata_regressors!$A$1:$L$2000,MATCH($A477,vdata_regressors!$A$2:$A$2000,0)+1,MATCH(D$2,vdata_regressors!$A$1:$R$1,0)),"")</f>
        <v/>
      </c>
      <c r="E477" s="23" t="str">
        <f>IFERROR(INDEX(vdata_regressors!$A$1:$L$2000,MATCH($A477,vdata_regressors!$A$2:$A$2000,0)+1,MATCH(E$2,vdata_regressors!$A$1:$R$1,0)),"")</f>
        <v/>
      </c>
      <c r="F477" s="23" t="str">
        <f>IFERROR(INDEX(vdata_regressors!$A$1:$L$2000,MATCH($A477,vdata_regressors!$A$2:$A$2000,0)+1,MATCH(F$2,vdata_regressors!$A$1:$R$1,0)),"")</f>
        <v/>
      </c>
      <c r="G477" s="23" t="str">
        <f>IFERROR(INDEX(vdata_regressors!$A$1:$L$2000,MATCH($A477,vdata_regressors!$A$2:$A$2000,0)+1,MATCH(G$2,vdata_regressors!$A$1:$R$1,0)),"")</f>
        <v/>
      </c>
      <c r="H477" s="23" t="str">
        <f>IFERROR(INDEX(vdata_regressors!$A$1:$L$2000,MATCH($A477,vdata_regressors!$A$2:$A$2000,0)+1,MATCH(H$2,vdata_regressors!$A$1:$R$1,0)),"")</f>
        <v/>
      </c>
      <c r="I477" s="23" t="str">
        <f>IFERROR(INDEX(vdata_regressors!$A$1:$L$2000,MATCH($A477,vdata_regressors!$A$2:$A$2000,0)+1,MATCH(I$2,vdata_regressors!$A$1:$R$1,0)),"")</f>
        <v/>
      </c>
      <c r="J477" s="23" t="str">
        <f>IFERROR(INDEX(vdata_regressors!$A$1:$L$2000,MATCH($A477,vdata_regressors!$A$2:$A$2000,0)+1,MATCH(J$2,vdata_regressors!$A$1:$R$1,0)),"")</f>
        <v/>
      </c>
      <c r="K477" s="23" t="str">
        <f>IFERROR(INDEX(vdata_regressors!$A$1:$L$2000,MATCH($A477,vdata_regressors!$A$2:$A$2000,0)+1,MATCH(K$2,vdata_regressors!$A$1:$R$1,0)),"")</f>
        <v/>
      </c>
      <c r="L477" s="23" t="str">
        <f>IFERROR(INDEX(vdata_regressors!$A$1:$L$2000,MATCH($A477,vdata_regressors!$A$2:$A$2000,0)+1,MATCH(L$2,vdata_regressors!$A$1:$R$1,0)),"")</f>
        <v/>
      </c>
      <c r="M477" s="23" t="str">
        <f>IFERROR(VLOOKUP(A477,vdata_hours!$A$2:$B$1000,2,FALSE),"")</f>
        <v/>
      </c>
    </row>
    <row r="478" spans="1:13" x14ac:dyDescent="0.25">
      <c r="A478" s="23" t="str">
        <f>IF(vdata_hours!A477=0,"",vdata_hours!A477)</f>
        <v/>
      </c>
      <c r="B478" s="23" t="str">
        <f>IFERROR(INDEX(vdata_regressors!$A$1:$L$2000,MATCH($A478,vdata_regressors!$A$2:$A$2000,0)+1,MATCH(B$2,vdata_regressors!$A$1:$R$1,0)),"")</f>
        <v/>
      </c>
      <c r="C478" s="23" t="str">
        <f>IFERROR(INDEX(vdata_regressors!$A$1:$L$2000,MATCH($A478,vdata_regressors!$A$2:$A$2000,0)+1,MATCH(C$2,vdata_regressors!$A$1:$R$1,0)),"")</f>
        <v/>
      </c>
      <c r="D478" s="23" t="str">
        <f>IFERROR(INDEX(vdata_regressors!$A$1:$L$2000,MATCH($A478,vdata_regressors!$A$2:$A$2000,0)+1,MATCH(D$2,vdata_regressors!$A$1:$R$1,0)),"")</f>
        <v/>
      </c>
      <c r="E478" s="23" t="str">
        <f>IFERROR(INDEX(vdata_regressors!$A$1:$L$2000,MATCH($A478,vdata_regressors!$A$2:$A$2000,0)+1,MATCH(E$2,vdata_regressors!$A$1:$R$1,0)),"")</f>
        <v/>
      </c>
      <c r="F478" s="23" t="str">
        <f>IFERROR(INDEX(vdata_regressors!$A$1:$L$2000,MATCH($A478,vdata_regressors!$A$2:$A$2000,0)+1,MATCH(F$2,vdata_regressors!$A$1:$R$1,0)),"")</f>
        <v/>
      </c>
      <c r="G478" s="23" t="str">
        <f>IFERROR(INDEX(vdata_regressors!$A$1:$L$2000,MATCH($A478,vdata_regressors!$A$2:$A$2000,0)+1,MATCH(G$2,vdata_regressors!$A$1:$R$1,0)),"")</f>
        <v/>
      </c>
      <c r="H478" s="23" t="str">
        <f>IFERROR(INDEX(vdata_regressors!$A$1:$L$2000,MATCH($A478,vdata_regressors!$A$2:$A$2000,0)+1,MATCH(H$2,vdata_regressors!$A$1:$R$1,0)),"")</f>
        <v/>
      </c>
      <c r="I478" s="23" t="str">
        <f>IFERROR(INDEX(vdata_regressors!$A$1:$L$2000,MATCH($A478,vdata_regressors!$A$2:$A$2000,0)+1,MATCH(I$2,vdata_regressors!$A$1:$R$1,0)),"")</f>
        <v/>
      </c>
      <c r="J478" s="23" t="str">
        <f>IFERROR(INDEX(vdata_regressors!$A$1:$L$2000,MATCH($A478,vdata_regressors!$A$2:$A$2000,0)+1,MATCH(J$2,vdata_regressors!$A$1:$R$1,0)),"")</f>
        <v/>
      </c>
      <c r="K478" s="23" t="str">
        <f>IFERROR(INDEX(vdata_regressors!$A$1:$L$2000,MATCH($A478,vdata_regressors!$A$2:$A$2000,0)+1,MATCH(K$2,vdata_regressors!$A$1:$R$1,0)),"")</f>
        <v/>
      </c>
      <c r="L478" s="23" t="str">
        <f>IFERROR(INDEX(vdata_regressors!$A$1:$L$2000,MATCH($A478,vdata_regressors!$A$2:$A$2000,0)+1,MATCH(L$2,vdata_regressors!$A$1:$R$1,0)),"")</f>
        <v/>
      </c>
      <c r="M478" s="23" t="str">
        <f>IFERROR(VLOOKUP(A478,vdata_hours!$A$2:$B$1000,2,FALSE),"")</f>
        <v/>
      </c>
    </row>
    <row r="479" spans="1:13" x14ac:dyDescent="0.25">
      <c r="A479" s="23" t="str">
        <f>IF(vdata_hours!A478=0,"",vdata_hours!A478)</f>
        <v/>
      </c>
      <c r="B479" s="23" t="str">
        <f>IFERROR(INDEX(vdata_regressors!$A$1:$L$2000,MATCH($A479,vdata_regressors!$A$2:$A$2000,0)+1,MATCH(B$2,vdata_regressors!$A$1:$R$1,0)),"")</f>
        <v/>
      </c>
      <c r="C479" s="23" t="str">
        <f>IFERROR(INDEX(vdata_regressors!$A$1:$L$2000,MATCH($A479,vdata_regressors!$A$2:$A$2000,0)+1,MATCH(C$2,vdata_regressors!$A$1:$R$1,0)),"")</f>
        <v/>
      </c>
      <c r="D479" s="23" t="str">
        <f>IFERROR(INDEX(vdata_regressors!$A$1:$L$2000,MATCH($A479,vdata_regressors!$A$2:$A$2000,0)+1,MATCH(D$2,vdata_regressors!$A$1:$R$1,0)),"")</f>
        <v/>
      </c>
      <c r="E479" s="23" t="str">
        <f>IFERROR(INDEX(vdata_regressors!$A$1:$L$2000,MATCH($A479,vdata_regressors!$A$2:$A$2000,0)+1,MATCH(E$2,vdata_regressors!$A$1:$R$1,0)),"")</f>
        <v/>
      </c>
      <c r="F479" s="23" t="str">
        <f>IFERROR(INDEX(vdata_regressors!$A$1:$L$2000,MATCH($A479,vdata_regressors!$A$2:$A$2000,0)+1,MATCH(F$2,vdata_regressors!$A$1:$R$1,0)),"")</f>
        <v/>
      </c>
      <c r="G479" s="23" t="str">
        <f>IFERROR(INDEX(vdata_regressors!$A$1:$L$2000,MATCH($A479,vdata_regressors!$A$2:$A$2000,0)+1,MATCH(G$2,vdata_regressors!$A$1:$R$1,0)),"")</f>
        <v/>
      </c>
      <c r="H479" s="23" t="str">
        <f>IFERROR(INDEX(vdata_regressors!$A$1:$L$2000,MATCH($A479,vdata_regressors!$A$2:$A$2000,0)+1,MATCH(H$2,vdata_regressors!$A$1:$R$1,0)),"")</f>
        <v/>
      </c>
      <c r="I479" s="23" t="str">
        <f>IFERROR(INDEX(vdata_regressors!$A$1:$L$2000,MATCH($A479,vdata_regressors!$A$2:$A$2000,0)+1,MATCH(I$2,vdata_regressors!$A$1:$R$1,0)),"")</f>
        <v/>
      </c>
      <c r="J479" s="23" t="str">
        <f>IFERROR(INDEX(vdata_regressors!$A$1:$L$2000,MATCH($A479,vdata_regressors!$A$2:$A$2000,0)+1,MATCH(J$2,vdata_regressors!$A$1:$R$1,0)),"")</f>
        <v/>
      </c>
      <c r="K479" s="23" t="str">
        <f>IFERROR(INDEX(vdata_regressors!$A$1:$L$2000,MATCH($A479,vdata_regressors!$A$2:$A$2000,0)+1,MATCH(K$2,vdata_regressors!$A$1:$R$1,0)),"")</f>
        <v/>
      </c>
      <c r="L479" s="23" t="str">
        <f>IFERROR(INDEX(vdata_regressors!$A$1:$L$2000,MATCH($A479,vdata_regressors!$A$2:$A$2000,0)+1,MATCH(L$2,vdata_regressors!$A$1:$R$1,0)),"")</f>
        <v/>
      </c>
      <c r="M479" s="23" t="str">
        <f>IFERROR(VLOOKUP(A479,vdata_hours!$A$2:$B$1000,2,FALSE),"")</f>
        <v/>
      </c>
    </row>
    <row r="480" spans="1:13" x14ac:dyDescent="0.25">
      <c r="A480" s="23" t="str">
        <f>IF(vdata_hours!A479=0,"",vdata_hours!A479)</f>
        <v/>
      </c>
      <c r="B480" s="23" t="str">
        <f>IFERROR(INDEX(vdata_regressors!$A$1:$L$2000,MATCH($A480,vdata_regressors!$A$2:$A$2000,0)+1,MATCH(B$2,vdata_regressors!$A$1:$R$1,0)),"")</f>
        <v/>
      </c>
      <c r="C480" s="23" t="str">
        <f>IFERROR(INDEX(vdata_regressors!$A$1:$L$2000,MATCH($A480,vdata_regressors!$A$2:$A$2000,0)+1,MATCH(C$2,vdata_regressors!$A$1:$R$1,0)),"")</f>
        <v/>
      </c>
      <c r="D480" s="23" t="str">
        <f>IFERROR(INDEX(vdata_regressors!$A$1:$L$2000,MATCH($A480,vdata_regressors!$A$2:$A$2000,0)+1,MATCH(D$2,vdata_regressors!$A$1:$R$1,0)),"")</f>
        <v/>
      </c>
      <c r="E480" s="23" t="str">
        <f>IFERROR(INDEX(vdata_regressors!$A$1:$L$2000,MATCH($A480,vdata_regressors!$A$2:$A$2000,0)+1,MATCH(E$2,vdata_regressors!$A$1:$R$1,0)),"")</f>
        <v/>
      </c>
      <c r="F480" s="23" t="str">
        <f>IFERROR(INDEX(vdata_regressors!$A$1:$L$2000,MATCH($A480,vdata_regressors!$A$2:$A$2000,0)+1,MATCH(F$2,vdata_regressors!$A$1:$R$1,0)),"")</f>
        <v/>
      </c>
      <c r="G480" s="23" t="str">
        <f>IFERROR(INDEX(vdata_regressors!$A$1:$L$2000,MATCH($A480,vdata_regressors!$A$2:$A$2000,0)+1,MATCH(G$2,vdata_regressors!$A$1:$R$1,0)),"")</f>
        <v/>
      </c>
      <c r="H480" s="23" t="str">
        <f>IFERROR(INDEX(vdata_regressors!$A$1:$L$2000,MATCH($A480,vdata_regressors!$A$2:$A$2000,0)+1,MATCH(H$2,vdata_regressors!$A$1:$R$1,0)),"")</f>
        <v/>
      </c>
      <c r="I480" s="23" t="str">
        <f>IFERROR(INDEX(vdata_regressors!$A$1:$L$2000,MATCH($A480,vdata_regressors!$A$2:$A$2000,0)+1,MATCH(I$2,vdata_regressors!$A$1:$R$1,0)),"")</f>
        <v/>
      </c>
      <c r="J480" s="23" t="str">
        <f>IFERROR(INDEX(vdata_regressors!$A$1:$L$2000,MATCH($A480,vdata_regressors!$A$2:$A$2000,0)+1,MATCH(J$2,vdata_regressors!$A$1:$R$1,0)),"")</f>
        <v/>
      </c>
      <c r="K480" s="23" t="str">
        <f>IFERROR(INDEX(vdata_regressors!$A$1:$L$2000,MATCH($A480,vdata_regressors!$A$2:$A$2000,0)+1,MATCH(K$2,vdata_regressors!$A$1:$R$1,0)),"")</f>
        <v/>
      </c>
      <c r="L480" s="23" t="str">
        <f>IFERROR(INDEX(vdata_regressors!$A$1:$L$2000,MATCH($A480,vdata_regressors!$A$2:$A$2000,0)+1,MATCH(L$2,vdata_regressors!$A$1:$R$1,0)),"")</f>
        <v/>
      </c>
      <c r="M480" s="23" t="str">
        <f>IFERROR(VLOOKUP(A480,vdata_hours!$A$2:$B$1000,2,FALSE),"")</f>
        <v/>
      </c>
    </row>
    <row r="481" spans="1:13" x14ac:dyDescent="0.25">
      <c r="A481" s="23" t="str">
        <f>IF(vdata_hours!A480=0,"",vdata_hours!A480)</f>
        <v/>
      </c>
      <c r="B481" s="23" t="str">
        <f>IFERROR(INDEX(vdata_regressors!$A$1:$L$2000,MATCH($A481,vdata_regressors!$A$2:$A$2000,0)+1,MATCH(B$2,vdata_regressors!$A$1:$R$1,0)),"")</f>
        <v/>
      </c>
      <c r="C481" s="23" t="str">
        <f>IFERROR(INDEX(vdata_regressors!$A$1:$L$2000,MATCH($A481,vdata_regressors!$A$2:$A$2000,0)+1,MATCH(C$2,vdata_regressors!$A$1:$R$1,0)),"")</f>
        <v/>
      </c>
      <c r="D481" s="23" t="str">
        <f>IFERROR(INDEX(vdata_regressors!$A$1:$L$2000,MATCH($A481,vdata_regressors!$A$2:$A$2000,0)+1,MATCH(D$2,vdata_regressors!$A$1:$R$1,0)),"")</f>
        <v/>
      </c>
      <c r="E481" s="23" t="str">
        <f>IFERROR(INDEX(vdata_regressors!$A$1:$L$2000,MATCH($A481,vdata_regressors!$A$2:$A$2000,0)+1,MATCH(E$2,vdata_regressors!$A$1:$R$1,0)),"")</f>
        <v/>
      </c>
      <c r="F481" s="23" t="str">
        <f>IFERROR(INDEX(vdata_regressors!$A$1:$L$2000,MATCH($A481,vdata_regressors!$A$2:$A$2000,0)+1,MATCH(F$2,vdata_regressors!$A$1:$R$1,0)),"")</f>
        <v/>
      </c>
      <c r="G481" s="23" t="str">
        <f>IFERROR(INDEX(vdata_regressors!$A$1:$L$2000,MATCH($A481,vdata_regressors!$A$2:$A$2000,0)+1,MATCH(G$2,vdata_regressors!$A$1:$R$1,0)),"")</f>
        <v/>
      </c>
      <c r="H481" s="23" t="str">
        <f>IFERROR(INDEX(vdata_regressors!$A$1:$L$2000,MATCH($A481,vdata_regressors!$A$2:$A$2000,0)+1,MATCH(H$2,vdata_regressors!$A$1:$R$1,0)),"")</f>
        <v/>
      </c>
      <c r="I481" s="23" t="str">
        <f>IFERROR(INDEX(vdata_regressors!$A$1:$L$2000,MATCH($A481,vdata_regressors!$A$2:$A$2000,0)+1,MATCH(I$2,vdata_regressors!$A$1:$R$1,0)),"")</f>
        <v/>
      </c>
      <c r="J481" s="23" t="str">
        <f>IFERROR(INDEX(vdata_regressors!$A$1:$L$2000,MATCH($A481,vdata_regressors!$A$2:$A$2000,0)+1,MATCH(J$2,vdata_regressors!$A$1:$R$1,0)),"")</f>
        <v/>
      </c>
      <c r="K481" s="23" t="str">
        <f>IFERROR(INDEX(vdata_regressors!$A$1:$L$2000,MATCH($A481,vdata_regressors!$A$2:$A$2000,0)+1,MATCH(K$2,vdata_regressors!$A$1:$R$1,0)),"")</f>
        <v/>
      </c>
      <c r="L481" s="23" t="str">
        <f>IFERROR(INDEX(vdata_regressors!$A$1:$L$2000,MATCH($A481,vdata_regressors!$A$2:$A$2000,0)+1,MATCH(L$2,vdata_regressors!$A$1:$R$1,0)),"")</f>
        <v/>
      </c>
      <c r="M481" s="23" t="str">
        <f>IFERROR(VLOOKUP(A481,vdata_hours!$A$2:$B$1000,2,FALSE),"")</f>
        <v/>
      </c>
    </row>
    <row r="482" spans="1:13" x14ac:dyDescent="0.25">
      <c r="A482" s="23" t="str">
        <f>IF(vdata_hours!A481=0,"",vdata_hours!A481)</f>
        <v/>
      </c>
      <c r="B482" s="23" t="str">
        <f>IFERROR(INDEX(vdata_regressors!$A$1:$L$2000,MATCH($A482,vdata_regressors!$A$2:$A$2000,0)+1,MATCH(B$2,vdata_regressors!$A$1:$R$1,0)),"")</f>
        <v/>
      </c>
      <c r="C482" s="23" t="str">
        <f>IFERROR(INDEX(vdata_regressors!$A$1:$L$2000,MATCH($A482,vdata_regressors!$A$2:$A$2000,0)+1,MATCH(C$2,vdata_regressors!$A$1:$R$1,0)),"")</f>
        <v/>
      </c>
      <c r="D482" s="23" t="str">
        <f>IFERROR(INDEX(vdata_regressors!$A$1:$L$2000,MATCH($A482,vdata_regressors!$A$2:$A$2000,0)+1,MATCH(D$2,vdata_regressors!$A$1:$R$1,0)),"")</f>
        <v/>
      </c>
      <c r="E482" s="23" t="str">
        <f>IFERROR(INDEX(vdata_regressors!$A$1:$L$2000,MATCH($A482,vdata_regressors!$A$2:$A$2000,0)+1,MATCH(E$2,vdata_regressors!$A$1:$R$1,0)),"")</f>
        <v/>
      </c>
      <c r="F482" s="23" t="str">
        <f>IFERROR(INDEX(vdata_regressors!$A$1:$L$2000,MATCH($A482,vdata_regressors!$A$2:$A$2000,0)+1,MATCH(F$2,vdata_regressors!$A$1:$R$1,0)),"")</f>
        <v/>
      </c>
      <c r="G482" s="23" t="str">
        <f>IFERROR(INDEX(vdata_regressors!$A$1:$L$2000,MATCH($A482,vdata_regressors!$A$2:$A$2000,0)+1,MATCH(G$2,vdata_regressors!$A$1:$R$1,0)),"")</f>
        <v/>
      </c>
      <c r="H482" s="23" t="str">
        <f>IFERROR(INDEX(vdata_regressors!$A$1:$L$2000,MATCH($A482,vdata_regressors!$A$2:$A$2000,0)+1,MATCH(H$2,vdata_regressors!$A$1:$R$1,0)),"")</f>
        <v/>
      </c>
      <c r="I482" s="23" t="str">
        <f>IFERROR(INDEX(vdata_regressors!$A$1:$L$2000,MATCH($A482,vdata_regressors!$A$2:$A$2000,0)+1,MATCH(I$2,vdata_regressors!$A$1:$R$1,0)),"")</f>
        <v/>
      </c>
      <c r="J482" s="23" t="str">
        <f>IFERROR(INDEX(vdata_regressors!$A$1:$L$2000,MATCH($A482,vdata_regressors!$A$2:$A$2000,0)+1,MATCH(J$2,vdata_regressors!$A$1:$R$1,0)),"")</f>
        <v/>
      </c>
      <c r="K482" s="23" t="str">
        <f>IFERROR(INDEX(vdata_regressors!$A$1:$L$2000,MATCH($A482,vdata_regressors!$A$2:$A$2000,0)+1,MATCH(K$2,vdata_regressors!$A$1:$R$1,0)),"")</f>
        <v/>
      </c>
      <c r="L482" s="23" t="str">
        <f>IFERROR(INDEX(vdata_regressors!$A$1:$L$2000,MATCH($A482,vdata_regressors!$A$2:$A$2000,0)+1,MATCH(L$2,vdata_regressors!$A$1:$R$1,0)),"")</f>
        <v/>
      </c>
      <c r="M482" s="23" t="str">
        <f>IFERROR(VLOOKUP(A482,vdata_hours!$A$2:$B$1000,2,FALSE),"")</f>
        <v/>
      </c>
    </row>
    <row r="483" spans="1:13" x14ac:dyDescent="0.25">
      <c r="A483" s="23" t="str">
        <f>IF(vdata_hours!A482=0,"",vdata_hours!A482)</f>
        <v/>
      </c>
      <c r="B483" s="23" t="str">
        <f>IFERROR(INDEX(vdata_regressors!$A$1:$L$2000,MATCH($A483,vdata_regressors!$A$2:$A$2000,0)+1,MATCH(B$2,vdata_regressors!$A$1:$R$1,0)),"")</f>
        <v/>
      </c>
      <c r="C483" s="23" t="str">
        <f>IFERROR(INDEX(vdata_regressors!$A$1:$L$2000,MATCH($A483,vdata_regressors!$A$2:$A$2000,0)+1,MATCH(C$2,vdata_regressors!$A$1:$R$1,0)),"")</f>
        <v/>
      </c>
      <c r="D483" s="23" t="str">
        <f>IFERROR(INDEX(vdata_regressors!$A$1:$L$2000,MATCH($A483,vdata_regressors!$A$2:$A$2000,0)+1,MATCH(D$2,vdata_regressors!$A$1:$R$1,0)),"")</f>
        <v/>
      </c>
      <c r="E483" s="23" t="str">
        <f>IFERROR(INDEX(vdata_regressors!$A$1:$L$2000,MATCH($A483,vdata_regressors!$A$2:$A$2000,0)+1,MATCH(E$2,vdata_regressors!$A$1:$R$1,0)),"")</f>
        <v/>
      </c>
      <c r="F483" s="23" t="str">
        <f>IFERROR(INDEX(vdata_regressors!$A$1:$L$2000,MATCH($A483,vdata_regressors!$A$2:$A$2000,0)+1,MATCH(F$2,vdata_regressors!$A$1:$R$1,0)),"")</f>
        <v/>
      </c>
      <c r="G483" s="23" t="str">
        <f>IFERROR(INDEX(vdata_regressors!$A$1:$L$2000,MATCH($A483,vdata_regressors!$A$2:$A$2000,0)+1,MATCH(G$2,vdata_regressors!$A$1:$R$1,0)),"")</f>
        <v/>
      </c>
      <c r="H483" s="23" t="str">
        <f>IFERROR(INDEX(vdata_regressors!$A$1:$L$2000,MATCH($A483,vdata_regressors!$A$2:$A$2000,0)+1,MATCH(H$2,vdata_regressors!$A$1:$R$1,0)),"")</f>
        <v/>
      </c>
      <c r="I483" s="23" t="str">
        <f>IFERROR(INDEX(vdata_regressors!$A$1:$L$2000,MATCH($A483,vdata_regressors!$A$2:$A$2000,0)+1,MATCH(I$2,vdata_regressors!$A$1:$R$1,0)),"")</f>
        <v/>
      </c>
      <c r="J483" s="23" t="str">
        <f>IFERROR(INDEX(vdata_regressors!$A$1:$L$2000,MATCH($A483,vdata_regressors!$A$2:$A$2000,0)+1,MATCH(J$2,vdata_regressors!$A$1:$R$1,0)),"")</f>
        <v/>
      </c>
      <c r="K483" s="23" t="str">
        <f>IFERROR(INDEX(vdata_regressors!$A$1:$L$2000,MATCH($A483,vdata_regressors!$A$2:$A$2000,0)+1,MATCH(K$2,vdata_regressors!$A$1:$R$1,0)),"")</f>
        <v/>
      </c>
      <c r="L483" s="23" t="str">
        <f>IFERROR(INDEX(vdata_regressors!$A$1:$L$2000,MATCH($A483,vdata_regressors!$A$2:$A$2000,0)+1,MATCH(L$2,vdata_regressors!$A$1:$R$1,0)),"")</f>
        <v/>
      </c>
      <c r="M483" s="23" t="str">
        <f>IFERROR(VLOOKUP(A483,vdata_hours!$A$2:$B$1000,2,FALSE),"")</f>
        <v/>
      </c>
    </row>
    <row r="484" spans="1:13" x14ac:dyDescent="0.25">
      <c r="A484" s="23" t="str">
        <f>IF(vdata_hours!A483=0,"",vdata_hours!A483)</f>
        <v/>
      </c>
      <c r="B484" s="23" t="str">
        <f>IFERROR(INDEX(vdata_regressors!$A$1:$L$2000,MATCH($A484,vdata_regressors!$A$2:$A$2000,0)+1,MATCH(B$2,vdata_regressors!$A$1:$R$1,0)),"")</f>
        <v/>
      </c>
      <c r="C484" s="23" t="str">
        <f>IFERROR(INDEX(vdata_regressors!$A$1:$L$2000,MATCH($A484,vdata_regressors!$A$2:$A$2000,0)+1,MATCH(C$2,vdata_regressors!$A$1:$R$1,0)),"")</f>
        <v/>
      </c>
      <c r="D484" s="23" t="str">
        <f>IFERROR(INDEX(vdata_regressors!$A$1:$L$2000,MATCH($A484,vdata_regressors!$A$2:$A$2000,0)+1,MATCH(D$2,vdata_regressors!$A$1:$R$1,0)),"")</f>
        <v/>
      </c>
      <c r="E484" s="23" t="str">
        <f>IFERROR(INDEX(vdata_regressors!$A$1:$L$2000,MATCH($A484,vdata_regressors!$A$2:$A$2000,0)+1,MATCH(E$2,vdata_regressors!$A$1:$R$1,0)),"")</f>
        <v/>
      </c>
      <c r="F484" s="23" t="str">
        <f>IFERROR(INDEX(vdata_regressors!$A$1:$L$2000,MATCH($A484,vdata_regressors!$A$2:$A$2000,0)+1,MATCH(F$2,vdata_regressors!$A$1:$R$1,0)),"")</f>
        <v/>
      </c>
      <c r="G484" s="23" t="str">
        <f>IFERROR(INDEX(vdata_regressors!$A$1:$L$2000,MATCH($A484,vdata_regressors!$A$2:$A$2000,0)+1,MATCH(G$2,vdata_regressors!$A$1:$R$1,0)),"")</f>
        <v/>
      </c>
      <c r="H484" s="23" t="str">
        <f>IFERROR(INDEX(vdata_regressors!$A$1:$L$2000,MATCH($A484,vdata_regressors!$A$2:$A$2000,0)+1,MATCH(H$2,vdata_regressors!$A$1:$R$1,0)),"")</f>
        <v/>
      </c>
      <c r="I484" s="23" t="str">
        <f>IFERROR(INDEX(vdata_regressors!$A$1:$L$2000,MATCH($A484,vdata_regressors!$A$2:$A$2000,0)+1,MATCH(I$2,vdata_regressors!$A$1:$R$1,0)),"")</f>
        <v/>
      </c>
      <c r="J484" s="23" t="str">
        <f>IFERROR(INDEX(vdata_regressors!$A$1:$L$2000,MATCH($A484,vdata_regressors!$A$2:$A$2000,0)+1,MATCH(J$2,vdata_regressors!$A$1:$R$1,0)),"")</f>
        <v/>
      </c>
      <c r="K484" s="23" t="str">
        <f>IFERROR(INDEX(vdata_regressors!$A$1:$L$2000,MATCH($A484,vdata_regressors!$A$2:$A$2000,0)+1,MATCH(K$2,vdata_regressors!$A$1:$R$1,0)),"")</f>
        <v/>
      </c>
      <c r="L484" s="23" t="str">
        <f>IFERROR(INDEX(vdata_regressors!$A$1:$L$2000,MATCH($A484,vdata_regressors!$A$2:$A$2000,0)+1,MATCH(L$2,vdata_regressors!$A$1:$R$1,0)),"")</f>
        <v/>
      </c>
      <c r="M484" s="23" t="str">
        <f>IFERROR(VLOOKUP(A484,vdata_hours!$A$2:$B$1000,2,FALSE),"")</f>
        <v/>
      </c>
    </row>
    <row r="485" spans="1:13" x14ac:dyDescent="0.25">
      <c r="A485" s="23" t="str">
        <f>IF(vdata_hours!A484=0,"",vdata_hours!A484)</f>
        <v/>
      </c>
      <c r="B485" s="23" t="str">
        <f>IFERROR(INDEX(vdata_regressors!$A$1:$L$2000,MATCH($A485,vdata_regressors!$A$2:$A$2000,0)+1,MATCH(B$2,vdata_regressors!$A$1:$R$1,0)),"")</f>
        <v/>
      </c>
      <c r="C485" s="23" t="str">
        <f>IFERROR(INDEX(vdata_regressors!$A$1:$L$2000,MATCH($A485,vdata_regressors!$A$2:$A$2000,0)+1,MATCH(C$2,vdata_regressors!$A$1:$R$1,0)),"")</f>
        <v/>
      </c>
      <c r="D485" s="23" t="str">
        <f>IFERROR(INDEX(vdata_regressors!$A$1:$L$2000,MATCH($A485,vdata_regressors!$A$2:$A$2000,0)+1,MATCH(D$2,vdata_regressors!$A$1:$R$1,0)),"")</f>
        <v/>
      </c>
      <c r="E485" s="23" t="str">
        <f>IFERROR(INDEX(vdata_regressors!$A$1:$L$2000,MATCH($A485,vdata_regressors!$A$2:$A$2000,0)+1,MATCH(E$2,vdata_regressors!$A$1:$R$1,0)),"")</f>
        <v/>
      </c>
      <c r="F485" s="23" t="str">
        <f>IFERROR(INDEX(vdata_regressors!$A$1:$L$2000,MATCH($A485,vdata_regressors!$A$2:$A$2000,0)+1,MATCH(F$2,vdata_regressors!$A$1:$R$1,0)),"")</f>
        <v/>
      </c>
      <c r="G485" s="23" t="str">
        <f>IFERROR(INDEX(vdata_regressors!$A$1:$L$2000,MATCH($A485,vdata_regressors!$A$2:$A$2000,0)+1,MATCH(G$2,vdata_regressors!$A$1:$R$1,0)),"")</f>
        <v/>
      </c>
      <c r="H485" s="23" t="str">
        <f>IFERROR(INDEX(vdata_regressors!$A$1:$L$2000,MATCH($A485,vdata_regressors!$A$2:$A$2000,0)+1,MATCH(H$2,vdata_regressors!$A$1:$R$1,0)),"")</f>
        <v/>
      </c>
      <c r="I485" s="23" t="str">
        <f>IFERROR(INDEX(vdata_regressors!$A$1:$L$2000,MATCH($A485,vdata_regressors!$A$2:$A$2000,0)+1,MATCH(I$2,vdata_regressors!$A$1:$R$1,0)),"")</f>
        <v/>
      </c>
      <c r="J485" s="23" t="str">
        <f>IFERROR(INDEX(vdata_regressors!$A$1:$L$2000,MATCH($A485,vdata_regressors!$A$2:$A$2000,0)+1,MATCH(J$2,vdata_regressors!$A$1:$R$1,0)),"")</f>
        <v/>
      </c>
      <c r="K485" s="23" t="str">
        <f>IFERROR(INDEX(vdata_regressors!$A$1:$L$2000,MATCH($A485,vdata_regressors!$A$2:$A$2000,0)+1,MATCH(K$2,vdata_regressors!$A$1:$R$1,0)),"")</f>
        <v/>
      </c>
      <c r="L485" s="23" t="str">
        <f>IFERROR(INDEX(vdata_regressors!$A$1:$L$2000,MATCH($A485,vdata_regressors!$A$2:$A$2000,0)+1,MATCH(L$2,vdata_regressors!$A$1:$R$1,0)),"")</f>
        <v/>
      </c>
      <c r="M485" s="23" t="str">
        <f>IFERROR(VLOOKUP(A485,vdata_hours!$A$2:$B$1000,2,FALSE),"")</f>
        <v/>
      </c>
    </row>
    <row r="486" spans="1:13" x14ac:dyDescent="0.25">
      <c r="A486" s="23" t="str">
        <f>IF(vdata_hours!A485=0,"",vdata_hours!A485)</f>
        <v/>
      </c>
      <c r="B486" s="23" t="str">
        <f>IFERROR(INDEX(vdata_regressors!$A$1:$L$2000,MATCH($A486,vdata_regressors!$A$2:$A$2000,0)+1,MATCH(B$2,vdata_regressors!$A$1:$R$1,0)),"")</f>
        <v/>
      </c>
      <c r="C486" s="23" t="str">
        <f>IFERROR(INDEX(vdata_regressors!$A$1:$L$2000,MATCH($A486,vdata_regressors!$A$2:$A$2000,0)+1,MATCH(C$2,vdata_regressors!$A$1:$R$1,0)),"")</f>
        <v/>
      </c>
      <c r="D486" s="23" t="str">
        <f>IFERROR(INDEX(vdata_regressors!$A$1:$L$2000,MATCH($A486,vdata_regressors!$A$2:$A$2000,0)+1,MATCH(D$2,vdata_regressors!$A$1:$R$1,0)),"")</f>
        <v/>
      </c>
      <c r="E486" s="23" t="str">
        <f>IFERROR(INDEX(vdata_regressors!$A$1:$L$2000,MATCH($A486,vdata_regressors!$A$2:$A$2000,0)+1,MATCH(E$2,vdata_regressors!$A$1:$R$1,0)),"")</f>
        <v/>
      </c>
      <c r="F486" s="23" t="str">
        <f>IFERROR(INDEX(vdata_regressors!$A$1:$L$2000,MATCH($A486,vdata_regressors!$A$2:$A$2000,0)+1,MATCH(F$2,vdata_regressors!$A$1:$R$1,0)),"")</f>
        <v/>
      </c>
      <c r="G486" s="23" t="str">
        <f>IFERROR(INDEX(vdata_regressors!$A$1:$L$2000,MATCH($A486,vdata_regressors!$A$2:$A$2000,0)+1,MATCH(G$2,vdata_regressors!$A$1:$R$1,0)),"")</f>
        <v/>
      </c>
      <c r="H486" s="23" t="str">
        <f>IFERROR(INDEX(vdata_regressors!$A$1:$L$2000,MATCH($A486,vdata_regressors!$A$2:$A$2000,0)+1,MATCH(H$2,vdata_regressors!$A$1:$R$1,0)),"")</f>
        <v/>
      </c>
      <c r="I486" s="23" t="str">
        <f>IFERROR(INDEX(vdata_regressors!$A$1:$L$2000,MATCH($A486,vdata_regressors!$A$2:$A$2000,0)+1,MATCH(I$2,vdata_regressors!$A$1:$R$1,0)),"")</f>
        <v/>
      </c>
      <c r="J486" s="23" t="str">
        <f>IFERROR(INDEX(vdata_regressors!$A$1:$L$2000,MATCH($A486,vdata_regressors!$A$2:$A$2000,0)+1,MATCH(J$2,vdata_regressors!$A$1:$R$1,0)),"")</f>
        <v/>
      </c>
      <c r="K486" s="23" t="str">
        <f>IFERROR(INDEX(vdata_regressors!$A$1:$L$2000,MATCH($A486,vdata_regressors!$A$2:$A$2000,0)+1,MATCH(K$2,vdata_regressors!$A$1:$R$1,0)),"")</f>
        <v/>
      </c>
      <c r="L486" s="23" t="str">
        <f>IFERROR(INDEX(vdata_regressors!$A$1:$L$2000,MATCH($A486,vdata_regressors!$A$2:$A$2000,0)+1,MATCH(L$2,vdata_regressors!$A$1:$R$1,0)),"")</f>
        <v/>
      </c>
      <c r="M486" s="23" t="str">
        <f>IFERROR(VLOOKUP(A486,vdata_hours!$A$2:$B$1000,2,FALSE),"")</f>
        <v/>
      </c>
    </row>
    <row r="487" spans="1:13" x14ac:dyDescent="0.25">
      <c r="A487" s="23" t="str">
        <f>IF(vdata_hours!A486=0,"",vdata_hours!A486)</f>
        <v/>
      </c>
      <c r="B487" s="23" t="str">
        <f>IFERROR(INDEX(vdata_regressors!$A$1:$L$2000,MATCH($A487,vdata_regressors!$A$2:$A$2000,0)+1,MATCH(B$2,vdata_regressors!$A$1:$R$1,0)),"")</f>
        <v/>
      </c>
      <c r="C487" s="23" t="str">
        <f>IFERROR(INDEX(vdata_regressors!$A$1:$L$2000,MATCH($A487,vdata_regressors!$A$2:$A$2000,0)+1,MATCH(C$2,vdata_regressors!$A$1:$R$1,0)),"")</f>
        <v/>
      </c>
      <c r="D487" s="23" t="str">
        <f>IFERROR(INDEX(vdata_regressors!$A$1:$L$2000,MATCH($A487,vdata_regressors!$A$2:$A$2000,0)+1,MATCH(D$2,vdata_regressors!$A$1:$R$1,0)),"")</f>
        <v/>
      </c>
      <c r="E487" s="23" t="str">
        <f>IFERROR(INDEX(vdata_regressors!$A$1:$L$2000,MATCH($A487,vdata_regressors!$A$2:$A$2000,0)+1,MATCH(E$2,vdata_regressors!$A$1:$R$1,0)),"")</f>
        <v/>
      </c>
      <c r="F487" s="23" t="str">
        <f>IFERROR(INDEX(vdata_regressors!$A$1:$L$2000,MATCH($A487,vdata_regressors!$A$2:$A$2000,0)+1,MATCH(F$2,vdata_regressors!$A$1:$R$1,0)),"")</f>
        <v/>
      </c>
      <c r="G487" s="23" t="str">
        <f>IFERROR(INDEX(vdata_regressors!$A$1:$L$2000,MATCH($A487,vdata_regressors!$A$2:$A$2000,0)+1,MATCH(G$2,vdata_regressors!$A$1:$R$1,0)),"")</f>
        <v/>
      </c>
      <c r="H487" s="23" t="str">
        <f>IFERROR(INDEX(vdata_regressors!$A$1:$L$2000,MATCH($A487,vdata_regressors!$A$2:$A$2000,0)+1,MATCH(H$2,vdata_regressors!$A$1:$R$1,0)),"")</f>
        <v/>
      </c>
      <c r="I487" s="23" t="str">
        <f>IFERROR(INDEX(vdata_regressors!$A$1:$L$2000,MATCH($A487,vdata_regressors!$A$2:$A$2000,0)+1,MATCH(I$2,vdata_regressors!$A$1:$R$1,0)),"")</f>
        <v/>
      </c>
      <c r="J487" s="23" t="str">
        <f>IFERROR(INDEX(vdata_regressors!$A$1:$L$2000,MATCH($A487,vdata_regressors!$A$2:$A$2000,0)+1,MATCH(J$2,vdata_regressors!$A$1:$R$1,0)),"")</f>
        <v/>
      </c>
      <c r="K487" s="23" t="str">
        <f>IFERROR(INDEX(vdata_regressors!$A$1:$L$2000,MATCH($A487,vdata_regressors!$A$2:$A$2000,0)+1,MATCH(K$2,vdata_regressors!$A$1:$R$1,0)),"")</f>
        <v/>
      </c>
      <c r="L487" s="23" t="str">
        <f>IFERROR(INDEX(vdata_regressors!$A$1:$L$2000,MATCH($A487,vdata_regressors!$A$2:$A$2000,0)+1,MATCH(L$2,vdata_regressors!$A$1:$R$1,0)),"")</f>
        <v/>
      </c>
      <c r="M487" s="23" t="str">
        <f>IFERROR(VLOOKUP(A487,vdata_hours!$A$2:$B$1000,2,FALSE),"")</f>
        <v/>
      </c>
    </row>
    <row r="488" spans="1:13" x14ac:dyDescent="0.25">
      <c r="A488" s="23" t="str">
        <f>IF(vdata_hours!A487=0,"",vdata_hours!A487)</f>
        <v/>
      </c>
      <c r="B488" s="23" t="str">
        <f>IFERROR(INDEX(vdata_regressors!$A$1:$L$2000,MATCH($A488,vdata_regressors!$A$2:$A$2000,0)+1,MATCH(B$2,vdata_regressors!$A$1:$R$1,0)),"")</f>
        <v/>
      </c>
      <c r="C488" s="23" t="str">
        <f>IFERROR(INDEX(vdata_regressors!$A$1:$L$2000,MATCH($A488,vdata_regressors!$A$2:$A$2000,0)+1,MATCH(C$2,vdata_regressors!$A$1:$R$1,0)),"")</f>
        <v/>
      </c>
      <c r="D488" s="23" t="str">
        <f>IFERROR(INDEX(vdata_regressors!$A$1:$L$2000,MATCH($A488,vdata_regressors!$A$2:$A$2000,0)+1,MATCH(D$2,vdata_regressors!$A$1:$R$1,0)),"")</f>
        <v/>
      </c>
      <c r="E488" s="23" t="str">
        <f>IFERROR(INDEX(vdata_regressors!$A$1:$L$2000,MATCH($A488,vdata_regressors!$A$2:$A$2000,0)+1,MATCH(E$2,vdata_regressors!$A$1:$R$1,0)),"")</f>
        <v/>
      </c>
      <c r="F488" s="23" t="str">
        <f>IFERROR(INDEX(vdata_regressors!$A$1:$L$2000,MATCH($A488,vdata_regressors!$A$2:$A$2000,0)+1,MATCH(F$2,vdata_regressors!$A$1:$R$1,0)),"")</f>
        <v/>
      </c>
      <c r="G488" s="23" t="str">
        <f>IFERROR(INDEX(vdata_regressors!$A$1:$L$2000,MATCH($A488,vdata_regressors!$A$2:$A$2000,0)+1,MATCH(G$2,vdata_regressors!$A$1:$R$1,0)),"")</f>
        <v/>
      </c>
      <c r="H488" s="23" t="str">
        <f>IFERROR(INDEX(vdata_regressors!$A$1:$L$2000,MATCH($A488,vdata_regressors!$A$2:$A$2000,0)+1,MATCH(H$2,vdata_regressors!$A$1:$R$1,0)),"")</f>
        <v/>
      </c>
      <c r="I488" s="23" t="str">
        <f>IFERROR(INDEX(vdata_regressors!$A$1:$L$2000,MATCH($A488,vdata_regressors!$A$2:$A$2000,0)+1,MATCH(I$2,vdata_regressors!$A$1:$R$1,0)),"")</f>
        <v/>
      </c>
      <c r="J488" s="23" t="str">
        <f>IFERROR(INDEX(vdata_regressors!$A$1:$L$2000,MATCH($A488,vdata_regressors!$A$2:$A$2000,0)+1,MATCH(J$2,vdata_regressors!$A$1:$R$1,0)),"")</f>
        <v/>
      </c>
      <c r="K488" s="23" t="str">
        <f>IFERROR(INDEX(vdata_regressors!$A$1:$L$2000,MATCH($A488,vdata_regressors!$A$2:$A$2000,0)+1,MATCH(K$2,vdata_regressors!$A$1:$R$1,0)),"")</f>
        <v/>
      </c>
      <c r="L488" s="23" t="str">
        <f>IFERROR(INDEX(vdata_regressors!$A$1:$L$2000,MATCH($A488,vdata_regressors!$A$2:$A$2000,0)+1,MATCH(L$2,vdata_regressors!$A$1:$R$1,0)),"")</f>
        <v/>
      </c>
      <c r="M488" s="23" t="str">
        <f>IFERROR(VLOOKUP(A488,vdata_hours!$A$2:$B$1000,2,FALSE),"")</f>
        <v/>
      </c>
    </row>
    <row r="489" spans="1:13" x14ac:dyDescent="0.25">
      <c r="A489" s="23" t="str">
        <f>IF(vdata_hours!A488=0,"",vdata_hours!A488)</f>
        <v/>
      </c>
      <c r="B489" s="23" t="str">
        <f>IFERROR(INDEX(vdata_regressors!$A$1:$L$2000,MATCH($A489,vdata_regressors!$A$2:$A$2000,0)+1,MATCH(B$2,vdata_regressors!$A$1:$R$1,0)),"")</f>
        <v/>
      </c>
      <c r="C489" s="23" t="str">
        <f>IFERROR(INDEX(vdata_regressors!$A$1:$L$2000,MATCH($A489,vdata_regressors!$A$2:$A$2000,0)+1,MATCH(C$2,vdata_regressors!$A$1:$R$1,0)),"")</f>
        <v/>
      </c>
      <c r="D489" s="23" t="str">
        <f>IFERROR(INDEX(vdata_regressors!$A$1:$L$2000,MATCH($A489,vdata_regressors!$A$2:$A$2000,0)+1,MATCH(D$2,vdata_regressors!$A$1:$R$1,0)),"")</f>
        <v/>
      </c>
      <c r="E489" s="23" t="str">
        <f>IFERROR(INDEX(vdata_regressors!$A$1:$L$2000,MATCH($A489,vdata_regressors!$A$2:$A$2000,0)+1,MATCH(E$2,vdata_regressors!$A$1:$R$1,0)),"")</f>
        <v/>
      </c>
      <c r="F489" s="23" t="str">
        <f>IFERROR(INDEX(vdata_regressors!$A$1:$L$2000,MATCH($A489,vdata_regressors!$A$2:$A$2000,0)+1,MATCH(F$2,vdata_regressors!$A$1:$R$1,0)),"")</f>
        <v/>
      </c>
      <c r="G489" s="23" t="str">
        <f>IFERROR(INDEX(vdata_regressors!$A$1:$L$2000,MATCH($A489,vdata_regressors!$A$2:$A$2000,0)+1,MATCH(G$2,vdata_regressors!$A$1:$R$1,0)),"")</f>
        <v/>
      </c>
      <c r="H489" s="23" t="str">
        <f>IFERROR(INDEX(vdata_regressors!$A$1:$L$2000,MATCH($A489,vdata_regressors!$A$2:$A$2000,0)+1,MATCH(H$2,vdata_regressors!$A$1:$R$1,0)),"")</f>
        <v/>
      </c>
      <c r="I489" s="23" t="str">
        <f>IFERROR(INDEX(vdata_regressors!$A$1:$L$2000,MATCH($A489,vdata_regressors!$A$2:$A$2000,0)+1,MATCH(I$2,vdata_regressors!$A$1:$R$1,0)),"")</f>
        <v/>
      </c>
      <c r="J489" s="23" t="str">
        <f>IFERROR(INDEX(vdata_regressors!$A$1:$L$2000,MATCH($A489,vdata_regressors!$A$2:$A$2000,0)+1,MATCH(J$2,vdata_regressors!$A$1:$R$1,0)),"")</f>
        <v/>
      </c>
      <c r="K489" s="23" t="str">
        <f>IFERROR(INDEX(vdata_regressors!$A$1:$L$2000,MATCH($A489,vdata_regressors!$A$2:$A$2000,0)+1,MATCH(K$2,vdata_regressors!$A$1:$R$1,0)),"")</f>
        <v/>
      </c>
      <c r="L489" s="23" t="str">
        <f>IFERROR(INDEX(vdata_regressors!$A$1:$L$2000,MATCH($A489,vdata_regressors!$A$2:$A$2000,0)+1,MATCH(L$2,vdata_regressors!$A$1:$R$1,0)),"")</f>
        <v/>
      </c>
      <c r="M489" s="23" t="str">
        <f>IFERROR(VLOOKUP(A489,vdata_hours!$A$2:$B$1000,2,FALSE),"")</f>
        <v/>
      </c>
    </row>
    <row r="490" spans="1:13" x14ac:dyDescent="0.25">
      <c r="A490" s="23" t="str">
        <f>IF(vdata_hours!A489=0,"",vdata_hours!A489)</f>
        <v/>
      </c>
      <c r="B490" s="23" t="str">
        <f>IFERROR(INDEX(vdata_regressors!$A$1:$L$2000,MATCH($A490,vdata_regressors!$A$2:$A$2000,0)+1,MATCH(B$2,vdata_regressors!$A$1:$R$1,0)),"")</f>
        <v/>
      </c>
      <c r="C490" s="23" t="str">
        <f>IFERROR(INDEX(vdata_regressors!$A$1:$L$2000,MATCH($A490,vdata_regressors!$A$2:$A$2000,0)+1,MATCH(C$2,vdata_regressors!$A$1:$R$1,0)),"")</f>
        <v/>
      </c>
      <c r="D490" s="23" t="str">
        <f>IFERROR(INDEX(vdata_regressors!$A$1:$L$2000,MATCH($A490,vdata_regressors!$A$2:$A$2000,0)+1,MATCH(D$2,vdata_regressors!$A$1:$R$1,0)),"")</f>
        <v/>
      </c>
      <c r="E490" s="23" t="str">
        <f>IFERROR(INDEX(vdata_regressors!$A$1:$L$2000,MATCH($A490,vdata_regressors!$A$2:$A$2000,0)+1,MATCH(E$2,vdata_regressors!$A$1:$R$1,0)),"")</f>
        <v/>
      </c>
      <c r="F490" s="23" t="str">
        <f>IFERROR(INDEX(vdata_regressors!$A$1:$L$2000,MATCH($A490,vdata_regressors!$A$2:$A$2000,0)+1,MATCH(F$2,vdata_regressors!$A$1:$R$1,0)),"")</f>
        <v/>
      </c>
      <c r="G490" s="23" t="str">
        <f>IFERROR(INDEX(vdata_regressors!$A$1:$L$2000,MATCH($A490,vdata_regressors!$A$2:$A$2000,0)+1,MATCH(G$2,vdata_regressors!$A$1:$R$1,0)),"")</f>
        <v/>
      </c>
      <c r="H490" s="23" t="str">
        <f>IFERROR(INDEX(vdata_regressors!$A$1:$L$2000,MATCH($A490,vdata_regressors!$A$2:$A$2000,0)+1,MATCH(H$2,vdata_regressors!$A$1:$R$1,0)),"")</f>
        <v/>
      </c>
      <c r="I490" s="23" t="str">
        <f>IFERROR(INDEX(vdata_regressors!$A$1:$L$2000,MATCH($A490,vdata_regressors!$A$2:$A$2000,0)+1,MATCH(I$2,vdata_regressors!$A$1:$R$1,0)),"")</f>
        <v/>
      </c>
      <c r="J490" s="23" t="str">
        <f>IFERROR(INDEX(vdata_regressors!$A$1:$L$2000,MATCH($A490,vdata_regressors!$A$2:$A$2000,0)+1,MATCH(J$2,vdata_regressors!$A$1:$R$1,0)),"")</f>
        <v/>
      </c>
      <c r="K490" s="23" t="str">
        <f>IFERROR(INDEX(vdata_regressors!$A$1:$L$2000,MATCH($A490,vdata_regressors!$A$2:$A$2000,0)+1,MATCH(K$2,vdata_regressors!$A$1:$R$1,0)),"")</f>
        <v/>
      </c>
      <c r="L490" s="23" t="str">
        <f>IFERROR(INDEX(vdata_regressors!$A$1:$L$2000,MATCH($A490,vdata_regressors!$A$2:$A$2000,0)+1,MATCH(L$2,vdata_regressors!$A$1:$R$1,0)),"")</f>
        <v/>
      </c>
      <c r="M490" s="23" t="str">
        <f>IFERROR(VLOOKUP(A490,vdata_hours!$A$2:$B$1000,2,FALSE),"")</f>
        <v/>
      </c>
    </row>
    <row r="491" spans="1:13" x14ac:dyDescent="0.25">
      <c r="A491" s="23" t="str">
        <f>IF(vdata_hours!A490=0,"",vdata_hours!A490)</f>
        <v/>
      </c>
      <c r="B491" s="23" t="str">
        <f>IFERROR(INDEX(vdata_regressors!$A$1:$L$2000,MATCH($A491,vdata_regressors!$A$2:$A$2000,0)+1,MATCH(B$2,vdata_regressors!$A$1:$R$1,0)),"")</f>
        <v/>
      </c>
      <c r="C491" s="23" t="str">
        <f>IFERROR(INDEX(vdata_regressors!$A$1:$L$2000,MATCH($A491,vdata_regressors!$A$2:$A$2000,0)+1,MATCH(C$2,vdata_regressors!$A$1:$R$1,0)),"")</f>
        <v/>
      </c>
      <c r="D491" s="23" t="str">
        <f>IFERROR(INDEX(vdata_regressors!$A$1:$L$2000,MATCH($A491,vdata_regressors!$A$2:$A$2000,0)+1,MATCH(D$2,vdata_regressors!$A$1:$R$1,0)),"")</f>
        <v/>
      </c>
      <c r="E491" s="23" t="str">
        <f>IFERROR(INDEX(vdata_regressors!$A$1:$L$2000,MATCH($A491,vdata_regressors!$A$2:$A$2000,0)+1,MATCH(E$2,vdata_regressors!$A$1:$R$1,0)),"")</f>
        <v/>
      </c>
      <c r="F491" s="23" t="str">
        <f>IFERROR(INDEX(vdata_regressors!$A$1:$L$2000,MATCH($A491,vdata_regressors!$A$2:$A$2000,0)+1,MATCH(F$2,vdata_regressors!$A$1:$R$1,0)),"")</f>
        <v/>
      </c>
      <c r="G491" s="23" t="str">
        <f>IFERROR(INDEX(vdata_regressors!$A$1:$L$2000,MATCH($A491,vdata_regressors!$A$2:$A$2000,0)+1,MATCH(G$2,vdata_regressors!$A$1:$R$1,0)),"")</f>
        <v/>
      </c>
      <c r="H491" s="23" t="str">
        <f>IFERROR(INDEX(vdata_regressors!$A$1:$L$2000,MATCH($A491,vdata_regressors!$A$2:$A$2000,0)+1,MATCH(H$2,vdata_regressors!$A$1:$R$1,0)),"")</f>
        <v/>
      </c>
      <c r="I491" s="23" t="str">
        <f>IFERROR(INDEX(vdata_regressors!$A$1:$L$2000,MATCH($A491,vdata_regressors!$A$2:$A$2000,0)+1,MATCH(I$2,vdata_regressors!$A$1:$R$1,0)),"")</f>
        <v/>
      </c>
      <c r="J491" s="23" t="str">
        <f>IFERROR(INDEX(vdata_regressors!$A$1:$L$2000,MATCH($A491,vdata_regressors!$A$2:$A$2000,0)+1,MATCH(J$2,vdata_regressors!$A$1:$R$1,0)),"")</f>
        <v/>
      </c>
      <c r="K491" s="23" t="str">
        <f>IFERROR(INDEX(vdata_regressors!$A$1:$L$2000,MATCH($A491,vdata_regressors!$A$2:$A$2000,0)+1,MATCH(K$2,vdata_regressors!$A$1:$R$1,0)),"")</f>
        <v/>
      </c>
      <c r="L491" s="23" t="str">
        <f>IFERROR(INDEX(vdata_regressors!$A$1:$L$2000,MATCH($A491,vdata_regressors!$A$2:$A$2000,0)+1,MATCH(L$2,vdata_regressors!$A$1:$R$1,0)),"")</f>
        <v/>
      </c>
      <c r="M491" s="23" t="str">
        <f>IFERROR(VLOOKUP(A491,vdata_hours!$A$2:$B$1000,2,FALSE),"")</f>
        <v/>
      </c>
    </row>
    <row r="492" spans="1:13" x14ac:dyDescent="0.25">
      <c r="A492" s="23" t="str">
        <f>IF(vdata_hours!A491=0,"",vdata_hours!A491)</f>
        <v/>
      </c>
      <c r="B492" s="23" t="str">
        <f>IFERROR(INDEX(vdata_regressors!$A$1:$L$2000,MATCH($A492,vdata_regressors!$A$2:$A$2000,0)+1,MATCH(B$2,vdata_regressors!$A$1:$R$1,0)),"")</f>
        <v/>
      </c>
      <c r="C492" s="23" t="str">
        <f>IFERROR(INDEX(vdata_regressors!$A$1:$L$2000,MATCH($A492,vdata_regressors!$A$2:$A$2000,0)+1,MATCH(C$2,vdata_regressors!$A$1:$R$1,0)),"")</f>
        <v/>
      </c>
      <c r="D492" s="23" t="str">
        <f>IFERROR(INDEX(vdata_regressors!$A$1:$L$2000,MATCH($A492,vdata_regressors!$A$2:$A$2000,0)+1,MATCH(D$2,vdata_regressors!$A$1:$R$1,0)),"")</f>
        <v/>
      </c>
      <c r="E492" s="23" t="str">
        <f>IFERROR(INDEX(vdata_regressors!$A$1:$L$2000,MATCH($A492,vdata_regressors!$A$2:$A$2000,0)+1,MATCH(E$2,vdata_regressors!$A$1:$R$1,0)),"")</f>
        <v/>
      </c>
      <c r="F492" s="23" t="str">
        <f>IFERROR(INDEX(vdata_regressors!$A$1:$L$2000,MATCH($A492,vdata_regressors!$A$2:$A$2000,0)+1,MATCH(F$2,vdata_regressors!$A$1:$R$1,0)),"")</f>
        <v/>
      </c>
      <c r="G492" s="23" t="str">
        <f>IFERROR(INDEX(vdata_regressors!$A$1:$L$2000,MATCH($A492,vdata_regressors!$A$2:$A$2000,0)+1,MATCH(G$2,vdata_regressors!$A$1:$R$1,0)),"")</f>
        <v/>
      </c>
      <c r="H492" s="23" t="str">
        <f>IFERROR(INDEX(vdata_regressors!$A$1:$L$2000,MATCH($A492,vdata_regressors!$A$2:$A$2000,0)+1,MATCH(H$2,vdata_regressors!$A$1:$R$1,0)),"")</f>
        <v/>
      </c>
      <c r="I492" s="23" t="str">
        <f>IFERROR(INDEX(vdata_regressors!$A$1:$L$2000,MATCH($A492,vdata_regressors!$A$2:$A$2000,0)+1,MATCH(I$2,vdata_regressors!$A$1:$R$1,0)),"")</f>
        <v/>
      </c>
      <c r="J492" s="23" t="str">
        <f>IFERROR(INDEX(vdata_regressors!$A$1:$L$2000,MATCH($A492,vdata_regressors!$A$2:$A$2000,0)+1,MATCH(J$2,vdata_regressors!$A$1:$R$1,0)),"")</f>
        <v/>
      </c>
      <c r="K492" s="23" t="str">
        <f>IFERROR(INDEX(vdata_regressors!$A$1:$L$2000,MATCH($A492,vdata_regressors!$A$2:$A$2000,0)+1,MATCH(K$2,vdata_regressors!$A$1:$R$1,0)),"")</f>
        <v/>
      </c>
      <c r="L492" s="23" t="str">
        <f>IFERROR(INDEX(vdata_regressors!$A$1:$L$2000,MATCH($A492,vdata_regressors!$A$2:$A$2000,0)+1,MATCH(L$2,vdata_regressors!$A$1:$R$1,0)),"")</f>
        <v/>
      </c>
      <c r="M492" s="23" t="str">
        <f>IFERROR(VLOOKUP(A492,vdata_hours!$A$2:$B$1000,2,FALSE),"")</f>
        <v/>
      </c>
    </row>
    <row r="493" spans="1:13" x14ac:dyDescent="0.25">
      <c r="A493" s="23" t="str">
        <f>IF(vdata_hours!A492=0,"",vdata_hours!A492)</f>
        <v/>
      </c>
      <c r="B493" s="23" t="str">
        <f>IFERROR(INDEX(vdata_regressors!$A$1:$L$2000,MATCH($A493,vdata_regressors!$A$2:$A$2000,0)+1,MATCH(B$2,vdata_regressors!$A$1:$R$1,0)),"")</f>
        <v/>
      </c>
      <c r="C493" s="23" t="str">
        <f>IFERROR(INDEX(vdata_regressors!$A$1:$L$2000,MATCH($A493,vdata_regressors!$A$2:$A$2000,0)+1,MATCH(C$2,vdata_regressors!$A$1:$R$1,0)),"")</f>
        <v/>
      </c>
      <c r="D493" s="23" t="str">
        <f>IFERROR(INDEX(vdata_regressors!$A$1:$L$2000,MATCH($A493,vdata_regressors!$A$2:$A$2000,0)+1,MATCH(D$2,vdata_regressors!$A$1:$R$1,0)),"")</f>
        <v/>
      </c>
      <c r="E493" s="23" t="str">
        <f>IFERROR(INDEX(vdata_regressors!$A$1:$L$2000,MATCH($A493,vdata_regressors!$A$2:$A$2000,0)+1,MATCH(E$2,vdata_regressors!$A$1:$R$1,0)),"")</f>
        <v/>
      </c>
      <c r="F493" s="23" t="str">
        <f>IFERROR(INDEX(vdata_regressors!$A$1:$L$2000,MATCH($A493,vdata_regressors!$A$2:$A$2000,0)+1,MATCH(F$2,vdata_regressors!$A$1:$R$1,0)),"")</f>
        <v/>
      </c>
      <c r="G493" s="23" t="str">
        <f>IFERROR(INDEX(vdata_regressors!$A$1:$L$2000,MATCH($A493,vdata_regressors!$A$2:$A$2000,0)+1,MATCH(G$2,vdata_regressors!$A$1:$R$1,0)),"")</f>
        <v/>
      </c>
      <c r="H493" s="23" t="str">
        <f>IFERROR(INDEX(vdata_regressors!$A$1:$L$2000,MATCH($A493,vdata_regressors!$A$2:$A$2000,0)+1,MATCH(H$2,vdata_regressors!$A$1:$R$1,0)),"")</f>
        <v/>
      </c>
      <c r="I493" s="23" t="str">
        <f>IFERROR(INDEX(vdata_regressors!$A$1:$L$2000,MATCH($A493,vdata_regressors!$A$2:$A$2000,0)+1,MATCH(I$2,vdata_regressors!$A$1:$R$1,0)),"")</f>
        <v/>
      </c>
      <c r="J493" s="23" t="str">
        <f>IFERROR(INDEX(vdata_regressors!$A$1:$L$2000,MATCH($A493,vdata_regressors!$A$2:$A$2000,0)+1,MATCH(J$2,vdata_regressors!$A$1:$R$1,0)),"")</f>
        <v/>
      </c>
      <c r="K493" s="23" t="str">
        <f>IFERROR(INDEX(vdata_regressors!$A$1:$L$2000,MATCH($A493,vdata_regressors!$A$2:$A$2000,0)+1,MATCH(K$2,vdata_regressors!$A$1:$R$1,0)),"")</f>
        <v/>
      </c>
      <c r="L493" s="23" t="str">
        <f>IFERROR(INDEX(vdata_regressors!$A$1:$L$2000,MATCH($A493,vdata_regressors!$A$2:$A$2000,0)+1,MATCH(L$2,vdata_regressors!$A$1:$R$1,0)),"")</f>
        <v/>
      </c>
      <c r="M493" s="23" t="str">
        <f>IFERROR(VLOOKUP(A493,vdata_hours!$A$2:$B$1000,2,FALSE),"")</f>
        <v/>
      </c>
    </row>
    <row r="494" spans="1:13" x14ac:dyDescent="0.25">
      <c r="A494" s="23" t="str">
        <f>IF(vdata_hours!A493=0,"",vdata_hours!A493)</f>
        <v/>
      </c>
      <c r="B494" s="23" t="str">
        <f>IFERROR(INDEX(vdata_regressors!$A$1:$L$2000,MATCH($A494,vdata_regressors!$A$2:$A$2000,0)+1,MATCH(B$2,vdata_regressors!$A$1:$R$1,0)),"")</f>
        <v/>
      </c>
      <c r="C494" s="23" t="str">
        <f>IFERROR(INDEX(vdata_regressors!$A$1:$L$2000,MATCH($A494,vdata_regressors!$A$2:$A$2000,0)+1,MATCH(C$2,vdata_regressors!$A$1:$R$1,0)),"")</f>
        <v/>
      </c>
      <c r="D494" s="23" t="str">
        <f>IFERROR(INDEX(vdata_regressors!$A$1:$L$2000,MATCH($A494,vdata_regressors!$A$2:$A$2000,0)+1,MATCH(D$2,vdata_regressors!$A$1:$R$1,0)),"")</f>
        <v/>
      </c>
      <c r="E494" s="23" t="str">
        <f>IFERROR(INDEX(vdata_regressors!$A$1:$L$2000,MATCH($A494,vdata_regressors!$A$2:$A$2000,0)+1,MATCH(E$2,vdata_regressors!$A$1:$R$1,0)),"")</f>
        <v/>
      </c>
      <c r="F494" s="23" t="str">
        <f>IFERROR(INDEX(vdata_regressors!$A$1:$L$2000,MATCH($A494,vdata_regressors!$A$2:$A$2000,0)+1,MATCH(F$2,vdata_regressors!$A$1:$R$1,0)),"")</f>
        <v/>
      </c>
      <c r="G494" s="23" t="str">
        <f>IFERROR(INDEX(vdata_regressors!$A$1:$L$2000,MATCH($A494,vdata_regressors!$A$2:$A$2000,0)+1,MATCH(G$2,vdata_regressors!$A$1:$R$1,0)),"")</f>
        <v/>
      </c>
      <c r="H494" s="23" t="str">
        <f>IFERROR(INDEX(vdata_regressors!$A$1:$L$2000,MATCH($A494,vdata_regressors!$A$2:$A$2000,0)+1,MATCH(H$2,vdata_regressors!$A$1:$R$1,0)),"")</f>
        <v/>
      </c>
      <c r="I494" s="23" t="str">
        <f>IFERROR(INDEX(vdata_regressors!$A$1:$L$2000,MATCH($A494,vdata_regressors!$A$2:$A$2000,0)+1,MATCH(I$2,vdata_regressors!$A$1:$R$1,0)),"")</f>
        <v/>
      </c>
      <c r="J494" s="23" t="str">
        <f>IFERROR(INDEX(vdata_regressors!$A$1:$L$2000,MATCH($A494,vdata_regressors!$A$2:$A$2000,0)+1,MATCH(J$2,vdata_regressors!$A$1:$R$1,0)),"")</f>
        <v/>
      </c>
      <c r="K494" s="23" t="str">
        <f>IFERROR(INDEX(vdata_regressors!$A$1:$L$2000,MATCH($A494,vdata_regressors!$A$2:$A$2000,0)+1,MATCH(K$2,vdata_regressors!$A$1:$R$1,0)),"")</f>
        <v/>
      </c>
      <c r="L494" s="23" t="str">
        <f>IFERROR(INDEX(vdata_regressors!$A$1:$L$2000,MATCH($A494,vdata_regressors!$A$2:$A$2000,0)+1,MATCH(L$2,vdata_regressors!$A$1:$R$1,0)),"")</f>
        <v/>
      </c>
      <c r="M494" s="23" t="str">
        <f>IFERROR(VLOOKUP(A494,vdata_hours!$A$2:$B$1000,2,FALSE),"")</f>
        <v/>
      </c>
    </row>
    <row r="495" spans="1:13" x14ac:dyDescent="0.25">
      <c r="A495" s="23" t="str">
        <f>IF(vdata_hours!A494=0,"",vdata_hours!A494)</f>
        <v/>
      </c>
      <c r="B495" s="23" t="str">
        <f>IFERROR(INDEX(vdata_regressors!$A$1:$L$2000,MATCH($A495,vdata_regressors!$A$2:$A$2000,0)+1,MATCH(B$2,vdata_regressors!$A$1:$R$1,0)),"")</f>
        <v/>
      </c>
      <c r="C495" s="23" t="str">
        <f>IFERROR(INDEX(vdata_regressors!$A$1:$L$2000,MATCH($A495,vdata_regressors!$A$2:$A$2000,0)+1,MATCH(C$2,vdata_regressors!$A$1:$R$1,0)),"")</f>
        <v/>
      </c>
      <c r="D495" s="23" t="str">
        <f>IFERROR(INDEX(vdata_regressors!$A$1:$L$2000,MATCH($A495,vdata_regressors!$A$2:$A$2000,0)+1,MATCH(D$2,vdata_regressors!$A$1:$R$1,0)),"")</f>
        <v/>
      </c>
      <c r="E495" s="23" t="str">
        <f>IFERROR(INDEX(vdata_regressors!$A$1:$L$2000,MATCH($A495,vdata_regressors!$A$2:$A$2000,0)+1,MATCH(E$2,vdata_regressors!$A$1:$R$1,0)),"")</f>
        <v/>
      </c>
      <c r="F495" s="23" t="str">
        <f>IFERROR(INDEX(vdata_regressors!$A$1:$L$2000,MATCH($A495,vdata_regressors!$A$2:$A$2000,0)+1,MATCH(F$2,vdata_regressors!$A$1:$R$1,0)),"")</f>
        <v/>
      </c>
      <c r="G495" s="23" t="str">
        <f>IFERROR(INDEX(vdata_regressors!$A$1:$L$2000,MATCH($A495,vdata_regressors!$A$2:$A$2000,0)+1,MATCH(G$2,vdata_regressors!$A$1:$R$1,0)),"")</f>
        <v/>
      </c>
      <c r="H495" s="23" t="str">
        <f>IFERROR(INDEX(vdata_regressors!$A$1:$L$2000,MATCH($A495,vdata_regressors!$A$2:$A$2000,0)+1,MATCH(H$2,vdata_regressors!$A$1:$R$1,0)),"")</f>
        <v/>
      </c>
      <c r="I495" s="23" t="str">
        <f>IFERROR(INDEX(vdata_regressors!$A$1:$L$2000,MATCH($A495,vdata_regressors!$A$2:$A$2000,0)+1,MATCH(I$2,vdata_regressors!$A$1:$R$1,0)),"")</f>
        <v/>
      </c>
      <c r="J495" s="23" t="str">
        <f>IFERROR(INDEX(vdata_regressors!$A$1:$L$2000,MATCH($A495,vdata_regressors!$A$2:$A$2000,0)+1,MATCH(J$2,vdata_regressors!$A$1:$R$1,0)),"")</f>
        <v/>
      </c>
      <c r="K495" s="23" t="str">
        <f>IFERROR(INDEX(vdata_regressors!$A$1:$L$2000,MATCH($A495,vdata_regressors!$A$2:$A$2000,0)+1,MATCH(K$2,vdata_regressors!$A$1:$R$1,0)),"")</f>
        <v/>
      </c>
      <c r="L495" s="23" t="str">
        <f>IFERROR(INDEX(vdata_regressors!$A$1:$L$2000,MATCH($A495,vdata_regressors!$A$2:$A$2000,0)+1,MATCH(L$2,vdata_regressors!$A$1:$R$1,0)),"")</f>
        <v/>
      </c>
      <c r="M495" s="23" t="str">
        <f>IFERROR(VLOOKUP(A495,vdata_hours!$A$2:$B$1000,2,FALSE),"")</f>
        <v/>
      </c>
    </row>
    <row r="496" spans="1:13" x14ac:dyDescent="0.25">
      <c r="A496" s="23" t="str">
        <f>IF(vdata_hours!A495=0,"",vdata_hours!A495)</f>
        <v/>
      </c>
      <c r="B496" s="23" t="str">
        <f>IFERROR(INDEX(vdata_regressors!$A$1:$L$2000,MATCH($A496,vdata_regressors!$A$2:$A$2000,0)+1,MATCH(B$2,vdata_regressors!$A$1:$R$1,0)),"")</f>
        <v/>
      </c>
      <c r="C496" s="23" t="str">
        <f>IFERROR(INDEX(vdata_regressors!$A$1:$L$2000,MATCH($A496,vdata_regressors!$A$2:$A$2000,0)+1,MATCH(C$2,vdata_regressors!$A$1:$R$1,0)),"")</f>
        <v/>
      </c>
      <c r="D496" s="23" t="str">
        <f>IFERROR(INDEX(vdata_regressors!$A$1:$L$2000,MATCH($A496,vdata_regressors!$A$2:$A$2000,0)+1,MATCH(D$2,vdata_regressors!$A$1:$R$1,0)),"")</f>
        <v/>
      </c>
      <c r="E496" s="23" t="str">
        <f>IFERROR(INDEX(vdata_regressors!$A$1:$L$2000,MATCH($A496,vdata_regressors!$A$2:$A$2000,0)+1,MATCH(E$2,vdata_regressors!$A$1:$R$1,0)),"")</f>
        <v/>
      </c>
      <c r="F496" s="23" t="str">
        <f>IFERROR(INDEX(vdata_regressors!$A$1:$L$2000,MATCH($A496,vdata_regressors!$A$2:$A$2000,0)+1,MATCH(F$2,vdata_regressors!$A$1:$R$1,0)),"")</f>
        <v/>
      </c>
      <c r="G496" s="23" t="str">
        <f>IFERROR(INDEX(vdata_regressors!$A$1:$L$2000,MATCH($A496,vdata_regressors!$A$2:$A$2000,0)+1,MATCH(G$2,vdata_regressors!$A$1:$R$1,0)),"")</f>
        <v/>
      </c>
      <c r="H496" s="23" t="str">
        <f>IFERROR(INDEX(vdata_regressors!$A$1:$L$2000,MATCH($A496,vdata_regressors!$A$2:$A$2000,0)+1,MATCH(H$2,vdata_regressors!$A$1:$R$1,0)),"")</f>
        <v/>
      </c>
      <c r="I496" s="23" t="str">
        <f>IFERROR(INDEX(vdata_regressors!$A$1:$L$2000,MATCH($A496,vdata_regressors!$A$2:$A$2000,0)+1,MATCH(I$2,vdata_regressors!$A$1:$R$1,0)),"")</f>
        <v/>
      </c>
      <c r="J496" s="23" t="str">
        <f>IFERROR(INDEX(vdata_regressors!$A$1:$L$2000,MATCH($A496,vdata_regressors!$A$2:$A$2000,0)+1,MATCH(J$2,vdata_regressors!$A$1:$R$1,0)),"")</f>
        <v/>
      </c>
      <c r="K496" s="23" t="str">
        <f>IFERROR(INDEX(vdata_regressors!$A$1:$L$2000,MATCH($A496,vdata_regressors!$A$2:$A$2000,0)+1,MATCH(K$2,vdata_regressors!$A$1:$R$1,0)),"")</f>
        <v/>
      </c>
      <c r="L496" s="23" t="str">
        <f>IFERROR(INDEX(vdata_regressors!$A$1:$L$2000,MATCH($A496,vdata_regressors!$A$2:$A$2000,0)+1,MATCH(L$2,vdata_regressors!$A$1:$R$1,0)),"")</f>
        <v/>
      </c>
      <c r="M496" s="23" t="str">
        <f>IFERROR(VLOOKUP(A496,vdata_hours!$A$2:$B$1000,2,FALSE),"")</f>
        <v/>
      </c>
    </row>
    <row r="497" spans="1:13" x14ac:dyDescent="0.25">
      <c r="A497" s="23" t="str">
        <f>IF(vdata_hours!A496=0,"",vdata_hours!A496)</f>
        <v/>
      </c>
      <c r="B497" s="23" t="str">
        <f>IFERROR(INDEX(vdata_regressors!$A$1:$L$2000,MATCH($A497,vdata_regressors!$A$2:$A$2000,0)+1,MATCH(B$2,vdata_regressors!$A$1:$R$1,0)),"")</f>
        <v/>
      </c>
      <c r="C497" s="23" t="str">
        <f>IFERROR(INDEX(vdata_regressors!$A$1:$L$2000,MATCH($A497,vdata_regressors!$A$2:$A$2000,0)+1,MATCH(C$2,vdata_regressors!$A$1:$R$1,0)),"")</f>
        <v/>
      </c>
      <c r="D497" s="23" t="str">
        <f>IFERROR(INDEX(vdata_regressors!$A$1:$L$2000,MATCH($A497,vdata_regressors!$A$2:$A$2000,0)+1,MATCH(D$2,vdata_regressors!$A$1:$R$1,0)),"")</f>
        <v/>
      </c>
      <c r="E497" s="23" t="str">
        <f>IFERROR(INDEX(vdata_regressors!$A$1:$L$2000,MATCH($A497,vdata_regressors!$A$2:$A$2000,0)+1,MATCH(E$2,vdata_regressors!$A$1:$R$1,0)),"")</f>
        <v/>
      </c>
      <c r="F497" s="23" t="str">
        <f>IFERROR(INDEX(vdata_regressors!$A$1:$L$2000,MATCH($A497,vdata_regressors!$A$2:$A$2000,0)+1,MATCH(F$2,vdata_regressors!$A$1:$R$1,0)),"")</f>
        <v/>
      </c>
      <c r="G497" s="23" t="str">
        <f>IFERROR(INDEX(vdata_regressors!$A$1:$L$2000,MATCH($A497,vdata_regressors!$A$2:$A$2000,0)+1,MATCH(G$2,vdata_regressors!$A$1:$R$1,0)),"")</f>
        <v/>
      </c>
      <c r="H497" s="23" t="str">
        <f>IFERROR(INDEX(vdata_regressors!$A$1:$L$2000,MATCH($A497,vdata_regressors!$A$2:$A$2000,0)+1,MATCH(H$2,vdata_regressors!$A$1:$R$1,0)),"")</f>
        <v/>
      </c>
      <c r="I497" s="23" t="str">
        <f>IFERROR(INDEX(vdata_regressors!$A$1:$L$2000,MATCH($A497,vdata_regressors!$A$2:$A$2000,0)+1,MATCH(I$2,vdata_regressors!$A$1:$R$1,0)),"")</f>
        <v/>
      </c>
      <c r="J497" s="23" t="str">
        <f>IFERROR(INDEX(vdata_regressors!$A$1:$L$2000,MATCH($A497,vdata_regressors!$A$2:$A$2000,0)+1,MATCH(J$2,vdata_regressors!$A$1:$R$1,0)),"")</f>
        <v/>
      </c>
      <c r="K497" s="23" t="str">
        <f>IFERROR(INDEX(vdata_regressors!$A$1:$L$2000,MATCH($A497,vdata_regressors!$A$2:$A$2000,0)+1,MATCH(K$2,vdata_regressors!$A$1:$R$1,0)),"")</f>
        <v/>
      </c>
      <c r="L497" s="23" t="str">
        <f>IFERROR(INDEX(vdata_regressors!$A$1:$L$2000,MATCH($A497,vdata_regressors!$A$2:$A$2000,0)+1,MATCH(L$2,vdata_regressors!$A$1:$R$1,0)),"")</f>
        <v/>
      </c>
      <c r="M497" s="23" t="str">
        <f>IFERROR(VLOOKUP(A497,vdata_hours!$A$2:$B$1000,2,FALSE),"")</f>
        <v/>
      </c>
    </row>
    <row r="498" spans="1:13" x14ac:dyDescent="0.25">
      <c r="A498" s="23" t="str">
        <f>IF(vdata_hours!A497=0,"",vdata_hours!A497)</f>
        <v/>
      </c>
      <c r="B498" s="23" t="str">
        <f>IFERROR(INDEX(vdata_regressors!$A$1:$L$2000,MATCH($A498,vdata_regressors!$A$2:$A$2000,0)+1,MATCH(B$2,vdata_regressors!$A$1:$R$1,0)),"")</f>
        <v/>
      </c>
      <c r="C498" s="23" t="str">
        <f>IFERROR(INDEX(vdata_regressors!$A$1:$L$2000,MATCH($A498,vdata_regressors!$A$2:$A$2000,0)+1,MATCH(C$2,vdata_regressors!$A$1:$R$1,0)),"")</f>
        <v/>
      </c>
      <c r="D498" s="23" t="str">
        <f>IFERROR(INDEX(vdata_regressors!$A$1:$L$2000,MATCH($A498,vdata_regressors!$A$2:$A$2000,0)+1,MATCH(D$2,vdata_regressors!$A$1:$R$1,0)),"")</f>
        <v/>
      </c>
      <c r="E498" s="23" t="str">
        <f>IFERROR(INDEX(vdata_regressors!$A$1:$L$2000,MATCH($A498,vdata_regressors!$A$2:$A$2000,0)+1,MATCH(E$2,vdata_regressors!$A$1:$R$1,0)),"")</f>
        <v/>
      </c>
      <c r="F498" s="23" t="str">
        <f>IFERROR(INDEX(vdata_regressors!$A$1:$L$2000,MATCH($A498,vdata_regressors!$A$2:$A$2000,0)+1,MATCH(F$2,vdata_regressors!$A$1:$R$1,0)),"")</f>
        <v/>
      </c>
      <c r="G498" s="23" t="str">
        <f>IFERROR(INDEX(vdata_regressors!$A$1:$L$2000,MATCH($A498,vdata_regressors!$A$2:$A$2000,0)+1,MATCH(G$2,vdata_regressors!$A$1:$R$1,0)),"")</f>
        <v/>
      </c>
      <c r="H498" s="23" t="str">
        <f>IFERROR(INDEX(vdata_regressors!$A$1:$L$2000,MATCH($A498,vdata_regressors!$A$2:$A$2000,0)+1,MATCH(H$2,vdata_regressors!$A$1:$R$1,0)),"")</f>
        <v/>
      </c>
      <c r="I498" s="23" t="str">
        <f>IFERROR(INDEX(vdata_regressors!$A$1:$L$2000,MATCH($A498,vdata_regressors!$A$2:$A$2000,0)+1,MATCH(I$2,vdata_regressors!$A$1:$R$1,0)),"")</f>
        <v/>
      </c>
      <c r="J498" s="23" t="str">
        <f>IFERROR(INDEX(vdata_regressors!$A$1:$L$2000,MATCH($A498,vdata_regressors!$A$2:$A$2000,0)+1,MATCH(J$2,vdata_regressors!$A$1:$R$1,0)),"")</f>
        <v/>
      </c>
      <c r="K498" s="23" t="str">
        <f>IFERROR(INDEX(vdata_regressors!$A$1:$L$2000,MATCH($A498,vdata_regressors!$A$2:$A$2000,0)+1,MATCH(K$2,vdata_regressors!$A$1:$R$1,0)),"")</f>
        <v/>
      </c>
      <c r="L498" s="23" t="str">
        <f>IFERROR(INDEX(vdata_regressors!$A$1:$L$2000,MATCH($A498,vdata_regressors!$A$2:$A$2000,0)+1,MATCH(L$2,vdata_regressors!$A$1:$R$1,0)),"")</f>
        <v/>
      </c>
      <c r="M498" s="23" t="str">
        <f>IFERROR(VLOOKUP(A498,vdata_hours!$A$2:$B$1000,2,FALSE),"")</f>
        <v/>
      </c>
    </row>
    <row r="499" spans="1:13" x14ac:dyDescent="0.25">
      <c r="A499" s="23" t="str">
        <f>IF(vdata_hours!A498=0,"",vdata_hours!A498)</f>
        <v/>
      </c>
      <c r="B499" s="23" t="str">
        <f>IFERROR(INDEX(vdata_regressors!$A$1:$L$2000,MATCH($A499,vdata_regressors!$A$2:$A$2000,0)+1,MATCH(B$2,vdata_regressors!$A$1:$R$1,0)),"")</f>
        <v/>
      </c>
      <c r="C499" s="23" t="str">
        <f>IFERROR(INDEX(vdata_regressors!$A$1:$L$2000,MATCH($A499,vdata_regressors!$A$2:$A$2000,0)+1,MATCH(C$2,vdata_regressors!$A$1:$R$1,0)),"")</f>
        <v/>
      </c>
      <c r="D499" s="23" t="str">
        <f>IFERROR(INDEX(vdata_regressors!$A$1:$L$2000,MATCH($A499,vdata_regressors!$A$2:$A$2000,0)+1,MATCH(D$2,vdata_regressors!$A$1:$R$1,0)),"")</f>
        <v/>
      </c>
      <c r="E499" s="23" t="str">
        <f>IFERROR(INDEX(vdata_regressors!$A$1:$L$2000,MATCH($A499,vdata_regressors!$A$2:$A$2000,0)+1,MATCH(E$2,vdata_regressors!$A$1:$R$1,0)),"")</f>
        <v/>
      </c>
      <c r="F499" s="23" t="str">
        <f>IFERROR(INDEX(vdata_regressors!$A$1:$L$2000,MATCH($A499,vdata_regressors!$A$2:$A$2000,0)+1,MATCH(F$2,vdata_regressors!$A$1:$R$1,0)),"")</f>
        <v/>
      </c>
      <c r="G499" s="23" t="str">
        <f>IFERROR(INDEX(vdata_regressors!$A$1:$L$2000,MATCH($A499,vdata_regressors!$A$2:$A$2000,0)+1,MATCH(G$2,vdata_regressors!$A$1:$R$1,0)),"")</f>
        <v/>
      </c>
      <c r="H499" s="23" t="str">
        <f>IFERROR(INDEX(vdata_regressors!$A$1:$L$2000,MATCH($A499,vdata_regressors!$A$2:$A$2000,0)+1,MATCH(H$2,vdata_regressors!$A$1:$R$1,0)),"")</f>
        <v/>
      </c>
      <c r="I499" s="23" t="str">
        <f>IFERROR(INDEX(vdata_regressors!$A$1:$L$2000,MATCH($A499,vdata_regressors!$A$2:$A$2000,0)+1,MATCH(I$2,vdata_regressors!$A$1:$R$1,0)),"")</f>
        <v/>
      </c>
      <c r="J499" s="23" t="str">
        <f>IFERROR(INDEX(vdata_regressors!$A$1:$L$2000,MATCH($A499,vdata_regressors!$A$2:$A$2000,0)+1,MATCH(J$2,vdata_regressors!$A$1:$R$1,0)),"")</f>
        <v/>
      </c>
      <c r="K499" s="23" t="str">
        <f>IFERROR(INDEX(vdata_regressors!$A$1:$L$2000,MATCH($A499,vdata_regressors!$A$2:$A$2000,0)+1,MATCH(K$2,vdata_regressors!$A$1:$R$1,0)),"")</f>
        <v/>
      </c>
      <c r="L499" s="23" t="str">
        <f>IFERROR(INDEX(vdata_regressors!$A$1:$L$2000,MATCH($A499,vdata_regressors!$A$2:$A$2000,0)+1,MATCH(L$2,vdata_regressors!$A$1:$R$1,0)),"")</f>
        <v/>
      </c>
      <c r="M499" s="23" t="str">
        <f>IFERROR(VLOOKUP(A499,vdata_hours!$A$2:$B$1000,2,FALSE),"")</f>
        <v/>
      </c>
    </row>
    <row r="500" spans="1:13" x14ac:dyDescent="0.25">
      <c r="A500" s="23" t="str">
        <f>IF(vdata_hours!A499=0,"",vdata_hours!A499)</f>
        <v/>
      </c>
      <c r="B500" s="23" t="str">
        <f>IFERROR(INDEX(vdata_regressors!$A$1:$L$2000,MATCH($A500,vdata_regressors!$A$2:$A$2000,0)+1,MATCH(B$2,vdata_regressors!$A$1:$R$1,0)),"")</f>
        <v/>
      </c>
      <c r="C500" s="23" t="str">
        <f>IFERROR(INDEX(vdata_regressors!$A$1:$L$2000,MATCH($A500,vdata_regressors!$A$2:$A$2000,0)+1,MATCH(C$2,vdata_regressors!$A$1:$R$1,0)),"")</f>
        <v/>
      </c>
      <c r="D500" s="23" t="str">
        <f>IFERROR(INDEX(vdata_regressors!$A$1:$L$2000,MATCH($A500,vdata_regressors!$A$2:$A$2000,0)+1,MATCH(D$2,vdata_regressors!$A$1:$R$1,0)),"")</f>
        <v/>
      </c>
      <c r="E500" s="23" t="str">
        <f>IFERROR(INDEX(vdata_regressors!$A$1:$L$2000,MATCH($A500,vdata_regressors!$A$2:$A$2000,0)+1,MATCH(E$2,vdata_regressors!$A$1:$R$1,0)),"")</f>
        <v/>
      </c>
      <c r="F500" s="23" t="str">
        <f>IFERROR(INDEX(vdata_regressors!$A$1:$L$2000,MATCH($A500,vdata_regressors!$A$2:$A$2000,0)+1,MATCH(F$2,vdata_regressors!$A$1:$R$1,0)),"")</f>
        <v/>
      </c>
      <c r="G500" s="23" t="str">
        <f>IFERROR(INDEX(vdata_regressors!$A$1:$L$2000,MATCH($A500,vdata_regressors!$A$2:$A$2000,0)+1,MATCH(G$2,vdata_regressors!$A$1:$R$1,0)),"")</f>
        <v/>
      </c>
      <c r="H500" s="23" t="str">
        <f>IFERROR(INDEX(vdata_regressors!$A$1:$L$2000,MATCH($A500,vdata_regressors!$A$2:$A$2000,0)+1,MATCH(H$2,vdata_regressors!$A$1:$R$1,0)),"")</f>
        <v/>
      </c>
      <c r="I500" s="23" t="str">
        <f>IFERROR(INDEX(vdata_regressors!$A$1:$L$2000,MATCH($A500,vdata_regressors!$A$2:$A$2000,0)+1,MATCH(I$2,vdata_regressors!$A$1:$R$1,0)),"")</f>
        <v/>
      </c>
      <c r="J500" s="23" t="str">
        <f>IFERROR(INDEX(vdata_regressors!$A$1:$L$2000,MATCH($A500,vdata_regressors!$A$2:$A$2000,0)+1,MATCH(J$2,vdata_regressors!$A$1:$R$1,0)),"")</f>
        <v/>
      </c>
      <c r="K500" s="23" t="str">
        <f>IFERROR(INDEX(vdata_regressors!$A$1:$L$2000,MATCH($A500,vdata_regressors!$A$2:$A$2000,0)+1,MATCH(K$2,vdata_regressors!$A$1:$R$1,0)),"")</f>
        <v/>
      </c>
      <c r="L500" s="23" t="str">
        <f>IFERROR(INDEX(vdata_regressors!$A$1:$L$2000,MATCH($A500,vdata_regressors!$A$2:$A$2000,0)+1,MATCH(L$2,vdata_regressors!$A$1:$R$1,0)),"")</f>
        <v/>
      </c>
      <c r="M500" s="23" t="str">
        <f>IFERROR(VLOOKUP(A500,vdata_hours!$A$2:$B$1000,2,FALSE),"")</f>
        <v/>
      </c>
    </row>
    <row r="501" spans="1:13" x14ac:dyDescent="0.25">
      <c r="A501" s="23" t="str">
        <f>IF(vdata_hours!A500=0,"",vdata_hours!A500)</f>
        <v/>
      </c>
      <c r="B501" s="23" t="str">
        <f>IFERROR(INDEX(vdata_regressors!$A$1:$L$2000,MATCH($A501,vdata_regressors!$A$2:$A$2000,0)+1,MATCH(B$2,vdata_regressors!$A$1:$R$1,0)),"")</f>
        <v/>
      </c>
      <c r="C501" s="23" t="str">
        <f>IFERROR(INDEX(vdata_regressors!$A$1:$L$2000,MATCH($A501,vdata_regressors!$A$2:$A$2000,0)+1,MATCH(C$2,vdata_regressors!$A$1:$R$1,0)),"")</f>
        <v/>
      </c>
      <c r="D501" s="23" t="str">
        <f>IFERROR(INDEX(vdata_regressors!$A$1:$L$2000,MATCH($A501,vdata_regressors!$A$2:$A$2000,0)+1,MATCH(D$2,vdata_regressors!$A$1:$R$1,0)),"")</f>
        <v/>
      </c>
      <c r="E501" s="23" t="str">
        <f>IFERROR(INDEX(vdata_regressors!$A$1:$L$2000,MATCH($A501,vdata_regressors!$A$2:$A$2000,0)+1,MATCH(E$2,vdata_regressors!$A$1:$R$1,0)),"")</f>
        <v/>
      </c>
      <c r="F501" s="23" t="str">
        <f>IFERROR(INDEX(vdata_regressors!$A$1:$L$2000,MATCH($A501,vdata_regressors!$A$2:$A$2000,0)+1,MATCH(F$2,vdata_regressors!$A$1:$R$1,0)),"")</f>
        <v/>
      </c>
      <c r="G501" s="23" t="str">
        <f>IFERROR(INDEX(vdata_regressors!$A$1:$L$2000,MATCH($A501,vdata_regressors!$A$2:$A$2000,0)+1,MATCH(G$2,vdata_regressors!$A$1:$R$1,0)),"")</f>
        <v/>
      </c>
      <c r="H501" s="23" t="str">
        <f>IFERROR(INDEX(vdata_regressors!$A$1:$L$2000,MATCH($A501,vdata_regressors!$A$2:$A$2000,0)+1,MATCH(H$2,vdata_regressors!$A$1:$R$1,0)),"")</f>
        <v/>
      </c>
      <c r="I501" s="23" t="str">
        <f>IFERROR(INDEX(vdata_regressors!$A$1:$L$2000,MATCH($A501,vdata_regressors!$A$2:$A$2000,0)+1,MATCH(I$2,vdata_regressors!$A$1:$R$1,0)),"")</f>
        <v/>
      </c>
      <c r="J501" s="23" t="str">
        <f>IFERROR(INDEX(vdata_regressors!$A$1:$L$2000,MATCH($A501,vdata_regressors!$A$2:$A$2000,0)+1,MATCH(J$2,vdata_regressors!$A$1:$R$1,0)),"")</f>
        <v/>
      </c>
      <c r="K501" s="23" t="str">
        <f>IFERROR(INDEX(vdata_regressors!$A$1:$L$2000,MATCH($A501,vdata_regressors!$A$2:$A$2000,0)+1,MATCH(K$2,vdata_regressors!$A$1:$R$1,0)),"")</f>
        <v/>
      </c>
      <c r="L501" s="23" t="str">
        <f>IFERROR(INDEX(vdata_regressors!$A$1:$L$2000,MATCH($A501,vdata_regressors!$A$2:$A$2000,0)+1,MATCH(L$2,vdata_regressors!$A$1:$R$1,0)),"")</f>
        <v/>
      </c>
      <c r="M501" s="23" t="str">
        <f>IFERROR(VLOOKUP(A501,vdata_hours!$A$2:$B$1000,2,FALSE),"")</f>
        <v/>
      </c>
    </row>
    <row r="502" spans="1:13" x14ac:dyDescent="0.25">
      <c r="A502" s="23" t="str">
        <f>IF(vdata_hours!A501=0,"",vdata_hours!A501)</f>
        <v/>
      </c>
      <c r="B502" s="23" t="str">
        <f>IFERROR(INDEX(vdata_regressors!$A$1:$L$2000,MATCH($A502,vdata_regressors!$A$2:$A$2000,0)+1,MATCH(B$2,vdata_regressors!$A$1:$R$1,0)),"")</f>
        <v/>
      </c>
      <c r="C502" s="23" t="str">
        <f>IFERROR(INDEX(vdata_regressors!$A$1:$L$2000,MATCH($A502,vdata_regressors!$A$2:$A$2000,0)+1,MATCH(C$2,vdata_regressors!$A$1:$R$1,0)),"")</f>
        <v/>
      </c>
      <c r="D502" s="23" t="str">
        <f>IFERROR(INDEX(vdata_regressors!$A$1:$L$2000,MATCH($A502,vdata_regressors!$A$2:$A$2000,0)+1,MATCH(D$2,vdata_regressors!$A$1:$R$1,0)),"")</f>
        <v/>
      </c>
      <c r="E502" s="23" t="str">
        <f>IFERROR(INDEX(vdata_regressors!$A$1:$L$2000,MATCH($A502,vdata_regressors!$A$2:$A$2000,0)+1,MATCH(E$2,vdata_regressors!$A$1:$R$1,0)),"")</f>
        <v/>
      </c>
      <c r="F502" s="23" t="str">
        <f>IFERROR(INDEX(vdata_regressors!$A$1:$L$2000,MATCH($A502,vdata_regressors!$A$2:$A$2000,0)+1,MATCH(F$2,vdata_regressors!$A$1:$R$1,0)),"")</f>
        <v/>
      </c>
      <c r="G502" s="23" t="str">
        <f>IFERROR(INDEX(vdata_regressors!$A$1:$L$2000,MATCH($A502,vdata_regressors!$A$2:$A$2000,0)+1,MATCH(G$2,vdata_regressors!$A$1:$R$1,0)),"")</f>
        <v/>
      </c>
      <c r="H502" s="23" t="str">
        <f>IFERROR(INDEX(vdata_regressors!$A$1:$L$2000,MATCH($A502,vdata_regressors!$A$2:$A$2000,0)+1,MATCH(H$2,vdata_regressors!$A$1:$R$1,0)),"")</f>
        <v/>
      </c>
      <c r="I502" s="23" t="str">
        <f>IFERROR(INDEX(vdata_regressors!$A$1:$L$2000,MATCH($A502,vdata_regressors!$A$2:$A$2000,0)+1,MATCH(I$2,vdata_regressors!$A$1:$R$1,0)),"")</f>
        <v/>
      </c>
      <c r="J502" s="23" t="str">
        <f>IFERROR(INDEX(vdata_regressors!$A$1:$L$2000,MATCH($A502,vdata_regressors!$A$2:$A$2000,0)+1,MATCH(J$2,vdata_regressors!$A$1:$R$1,0)),"")</f>
        <v/>
      </c>
      <c r="K502" s="23" t="str">
        <f>IFERROR(INDEX(vdata_regressors!$A$1:$L$2000,MATCH($A502,vdata_regressors!$A$2:$A$2000,0)+1,MATCH(K$2,vdata_regressors!$A$1:$R$1,0)),"")</f>
        <v/>
      </c>
      <c r="L502" s="23" t="str">
        <f>IFERROR(INDEX(vdata_regressors!$A$1:$L$2000,MATCH($A502,vdata_regressors!$A$2:$A$2000,0)+1,MATCH(L$2,vdata_regressors!$A$1:$R$1,0)),"")</f>
        <v/>
      </c>
      <c r="M502" s="23" t="str">
        <f>IFERROR(VLOOKUP(A502,vdata_hours!$A$2:$B$1000,2,FALSE),"")</f>
        <v/>
      </c>
    </row>
    <row r="503" spans="1:13" x14ac:dyDescent="0.25">
      <c r="A503" s="23" t="str">
        <f>IF(vdata_hours!A502=0,"",vdata_hours!A502)</f>
        <v/>
      </c>
      <c r="B503" s="23" t="str">
        <f>IFERROR(INDEX(vdata_regressors!$A$1:$L$2000,MATCH($A503,vdata_regressors!$A$2:$A$2000,0)+1,MATCH(B$2,vdata_regressors!$A$1:$R$1,0)),"")</f>
        <v/>
      </c>
      <c r="C503" s="23" t="str">
        <f>IFERROR(INDEX(vdata_regressors!$A$1:$L$2000,MATCH($A503,vdata_regressors!$A$2:$A$2000,0)+1,MATCH(C$2,vdata_regressors!$A$1:$R$1,0)),"")</f>
        <v/>
      </c>
      <c r="D503" s="23" t="str">
        <f>IFERROR(INDEX(vdata_regressors!$A$1:$L$2000,MATCH($A503,vdata_regressors!$A$2:$A$2000,0)+1,MATCH(D$2,vdata_regressors!$A$1:$R$1,0)),"")</f>
        <v/>
      </c>
      <c r="E503" s="23" t="str">
        <f>IFERROR(INDEX(vdata_regressors!$A$1:$L$2000,MATCH($A503,vdata_regressors!$A$2:$A$2000,0)+1,MATCH(E$2,vdata_regressors!$A$1:$R$1,0)),"")</f>
        <v/>
      </c>
      <c r="F503" s="23" t="str">
        <f>IFERROR(INDEX(vdata_regressors!$A$1:$L$2000,MATCH($A503,vdata_regressors!$A$2:$A$2000,0)+1,MATCH(F$2,vdata_regressors!$A$1:$R$1,0)),"")</f>
        <v/>
      </c>
      <c r="G503" s="23" t="str">
        <f>IFERROR(INDEX(vdata_regressors!$A$1:$L$2000,MATCH($A503,vdata_regressors!$A$2:$A$2000,0)+1,MATCH(G$2,vdata_regressors!$A$1:$R$1,0)),"")</f>
        <v/>
      </c>
      <c r="H503" s="23" t="str">
        <f>IFERROR(INDEX(vdata_regressors!$A$1:$L$2000,MATCH($A503,vdata_regressors!$A$2:$A$2000,0)+1,MATCH(H$2,vdata_regressors!$A$1:$R$1,0)),"")</f>
        <v/>
      </c>
      <c r="I503" s="23" t="str">
        <f>IFERROR(INDEX(vdata_regressors!$A$1:$L$2000,MATCH($A503,vdata_regressors!$A$2:$A$2000,0)+1,MATCH(I$2,vdata_regressors!$A$1:$R$1,0)),"")</f>
        <v/>
      </c>
      <c r="J503" s="23" t="str">
        <f>IFERROR(INDEX(vdata_regressors!$A$1:$L$2000,MATCH($A503,vdata_regressors!$A$2:$A$2000,0)+1,MATCH(J$2,vdata_regressors!$A$1:$R$1,0)),"")</f>
        <v/>
      </c>
      <c r="K503" s="23" t="str">
        <f>IFERROR(INDEX(vdata_regressors!$A$1:$L$2000,MATCH($A503,vdata_regressors!$A$2:$A$2000,0)+1,MATCH(K$2,vdata_regressors!$A$1:$R$1,0)),"")</f>
        <v/>
      </c>
      <c r="L503" s="23" t="str">
        <f>IFERROR(INDEX(vdata_regressors!$A$1:$L$2000,MATCH($A503,vdata_regressors!$A$2:$A$2000,0)+1,MATCH(L$2,vdata_regressors!$A$1:$R$1,0)),"")</f>
        <v/>
      </c>
      <c r="M503" s="23" t="str">
        <f>IFERROR(VLOOKUP(A503,vdata_hours!$A$2:$B$1000,2,FALSE),"")</f>
        <v/>
      </c>
    </row>
    <row r="504" spans="1:13" x14ac:dyDescent="0.25">
      <c r="A504" s="23" t="str">
        <f>IF(vdata_hours!A503=0,"",vdata_hours!A503)</f>
        <v/>
      </c>
      <c r="B504" s="23" t="str">
        <f>IFERROR(INDEX(vdata_regressors!$A$1:$L$2000,MATCH($A504,vdata_regressors!$A$2:$A$2000,0)+1,MATCH(B$2,vdata_regressors!$A$1:$R$1,0)),"")</f>
        <v/>
      </c>
      <c r="C504" s="23" t="str">
        <f>IFERROR(INDEX(vdata_regressors!$A$1:$L$2000,MATCH($A504,vdata_regressors!$A$2:$A$2000,0)+1,MATCH(C$2,vdata_regressors!$A$1:$R$1,0)),"")</f>
        <v/>
      </c>
      <c r="D504" s="23" t="str">
        <f>IFERROR(INDEX(vdata_regressors!$A$1:$L$2000,MATCH($A504,vdata_regressors!$A$2:$A$2000,0)+1,MATCH(D$2,vdata_regressors!$A$1:$R$1,0)),"")</f>
        <v/>
      </c>
      <c r="E504" s="23" t="str">
        <f>IFERROR(INDEX(vdata_regressors!$A$1:$L$2000,MATCH($A504,vdata_regressors!$A$2:$A$2000,0)+1,MATCH(E$2,vdata_regressors!$A$1:$R$1,0)),"")</f>
        <v/>
      </c>
      <c r="F504" s="23" t="str">
        <f>IFERROR(INDEX(vdata_regressors!$A$1:$L$2000,MATCH($A504,vdata_regressors!$A$2:$A$2000,0)+1,MATCH(F$2,vdata_regressors!$A$1:$R$1,0)),"")</f>
        <v/>
      </c>
      <c r="G504" s="23" t="str">
        <f>IFERROR(INDEX(vdata_regressors!$A$1:$L$2000,MATCH($A504,vdata_regressors!$A$2:$A$2000,0)+1,MATCH(G$2,vdata_regressors!$A$1:$R$1,0)),"")</f>
        <v/>
      </c>
      <c r="H504" s="23" t="str">
        <f>IFERROR(INDEX(vdata_regressors!$A$1:$L$2000,MATCH($A504,vdata_regressors!$A$2:$A$2000,0)+1,MATCH(H$2,vdata_regressors!$A$1:$R$1,0)),"")</f>
        <v/>
      </c>
      <c r="I504" s="23" t="str">
        <f>IFERROR(INDEX(vdata_regressors!$A$1:$L$2000,MATCH($A504,vdata_regressors!$A$2:$A$2000,0)+1,MATCH(I$2,vdata_regressors!$A$1:$R$1,0)),"")</f>
        <v/>
      </c>
      <c r="J504" s="23" t="str">
        <f>IFERROR(INDEX(vdata_regressors!$A$1:$L$2000,MATCH($A504,vdata_regressors!$A$2:$A$2000,0)+1,MATCH(J$2,vdata_regressors!$A$1:$R$1,0)),"")</f>
        <v/>
      </c>
      <c r="K504" s="23" t="str">
        <f>IFERROR(INDEX(vdata_regressors!$A$1:$L$2000,MATCH($A504,vdata_regressors!$A$2:$A$2000,0)+1,MATCH(K$2,vdata_regressors!$A$1:$R$1,0)),"")</f>
        <v/>
      </c>
      <c r="L504" s="23" t="str">
        <f>IFERROR(INDEX(vdata_regressors!$A$1:$L$2000,MATCH($A504,vdata_regressors!$A$2:$A$2000,0)+1,MATCH(L$2,vdata_regressors!$A$1:$R$1,0)),"")</f>
        <v/>
      </c>
      <c r="M504" s="23" t="str">
        <f>IFERROR(VLOOKUP(A504,vdata_hours!$A$2:$B$1000,2,FALSE),"")</f>
        <v/>
      </c>
    </row>
    <row r="505" spans="1:13" x14ac:dyDescent="0.25">
      <c r="A505" s="23" t="str">
        <f>IF(vdata_hours!A504=0,"",vdata_hours!A504)</f>
        <v/>
      </c>
      <c r="B505" s="23" t="str">
        <f>IFERROR(INDEX(vdata_regressors!$A$1:$L$2000,MATCH($A505,vdata_regressors!$A$2:$A$2000,0)+1,MATCH(B$2,vdata_regressors!$A$1:$R$1,0)),"")</f>
        <v/>
      </c>
      <c r="C505" s="23" t="str">
        <f>IFERROR(INDEX(vdata_regressors!$A$1:$L$2000,MATCH($A505,vdata_regressors!$A$2:$A$2000,0)+1,MATCH(C$2,vdata_regressors!$A$1:$R$1,0)),"")</f>
        <v/>
      </c>
      <c r="D505" s="23" t="str">
        <f>IFERROR(INDEX(vdata_regressors!$A$1:$L$2000,MATCH($A505,vdata_regressors!$A$2:$A$2000,0)+1,MATCH(D$2,vdata_regressors!$A$1:$R$1,0)),"")</f>
        <v/>
      </c>
      <c r="E505" s="23" t="str">
        <f>IFERROR(INDEX(vdata_regressors!$A$1:$L$2000,MATCH($A505,vdata_regressors!$A$2:$A$2000,0)+1,MATCH(E$2,vdata_regressors!$A$1:$R$1,0)),"")</f>
        <v/>
      </c>
      <c r="F505" s="23" t="str">
        <f>IFERROR(INDEX(vdata_regressors!$A$1:$L$2000,MATCH($A505,vdata_regressors!$A$2:$A$2000,0)+1,MATCH(F$2,vdata_regressors!$A$1:$R$1,0)),"")</f>
        <v/>
      </c>
      <c r="G505" s="23" t="str">
        <f>IFERROR(INDEX(vdata_regressors!$A$1:$L$2000,MATCH($A505,vdata_regressors!$A$2:$A$2000,0)+1,MATCH(G$2,vdata_regressors!$A$1:$R$1,0)),"")</f>
        <v/>
      </c>
      <c r="H505" s="23" t="str">
        <f>IFERROR(INDEX(vdata_regressors!$A$1:$L$2000,MATCH($A505,vdata_regressors!$A$2:$A$2000,0)+1,MATCH(H$2,vdata_regressors!$A$1:$R$1,0)),"")</f>
        <v/>
      </c>
      <c r="I505" s="23" t="str">
        <f>IFERROR(INDEX(vdata_regressors!$A$1:$L$2000,MATCH($A505,vdata_regressors!$A$2:$A$2000,0)+1,MATCH(I$2,vdata_regressors!$A$1:$R$1,0)),"")</f>
        <v/>
      </c>
      <c r="J505" s="23" t="str">
        <f>IFERROR(INDEX(vdata_regressors!$A$1:$L$2000,MATCH($A505,vdata_regressors!$A$2:$A$2000,0)+1,MATCH(J$2,vdata_regressors!$A$1:$R$1,0)),"")</f>
        <v/>
      </c>
      <c r="K505" s="23" t="str">
        <f>IFERROR(INDEX(vdata_regressors!$A$1:$L$2000,MATCH($A505,vdata_regressors!$A$2:$A$2000,0)+1,MATCH(K$2,vdata_regressors!$A$1:$R$1,0)),"")</f>
        <v/>
      </c>
      <c r="L505" s="23" t="str">
        <f>IFERROR(INDEX(vdata_regressors!$A$1:$L$2000,MATCH($A505,vdata_regressors!$A$2:$A$2000,0)+1,MATCH(L$2,vdata_regressors!$A$1:$R$1,0)),"")</f>
        <v/>
      </c>
      <c r="M505" s="23" t="str">
        <f>IFERROR(VLOOKUP(A505,vdata_hours!$A$2:$B$1000,2,FALSE),"")</f>
        <v/>
      </c>
    </row>
    <row r="506" spans="1:13" x14ac:dyDescent="0.25">
      <c r="A506" s="23" t="str">
        <f>IF(vdata_hours!A505=0,"",vdata_hours!A505)</f>
        <v/>
      </c>
      <c r="B506" s="23" t="str">
        <f>IFERROR(INDEX(vdata_regressors!$A$1:$L$2000,MATCH($A506,vdata_regressors!$A$2:$A$2000,0)+1,MATCH(B$2,vdata_regressors!$A$1:$R$1,0)),"")</f>
        <v/>
      </c>
      <c r="C506" s="23" t="str">
        <f>IFERROR(INDEX(vdata_regressors!$A$1:$L$2000,MATCH($A506,vdata_regressors!$A$2:$A$2000,0)+1,MATCH(C$2,vdata_regressors!$A$1:$R$1,0)),"")</f>
        <v/>
      </c>
      <c r="D506" s="23" t="str">
        <f>IFERROR(INDEX(vdata_regressors!$A$1:$L$2000,MATCH($A506,vdata_regressors!$A$2:$A$2000,0)+1,MATCH(D$2,vdata_regressors!$A$1:$R$1,0)),"")</f>
        <v/>
      </c>
      <c r="E506" s="23" t="str">
        <f>IFERROR(INDEX(vdata_regressors!$A$1:$L$2000,MATCH($A506,vdata_regressors!$A$2:$A$2000,0)+1,MATCH(E$2,vdata_regressors!$A$1:$R$1,0)),"")</f>
        <v/>
      </c>
      <c r="F506" s="23" t="str">
        <f>IFERROR(INDEX(vdata_regressors!$A$1:$L$2000,MATCH($A506,vdata_regressors!$A$2:$A$2000,0)+1,MATCH(F$2,vdata_regressors!$A$1:$R$1,0)),"")</f>
        <v/>
      </c>
      <c r="G506" s="23" t="str">
        <f>IFERROR(INDEX(vdata_regressors!$A$1:$L$2000,MATCH($A506,vdata_regressors!$A$2:$A$2000,0)+1,MATCH(G$2,vdata_regressors!$A$1:$R$1,0)),"")</f>
        <v/>
      </c>
      <c r="H506" s="23" t="str">
        <f>IFERROR(INDEX(vdata_regressors!$A$1:$L$2000,MATCH($A506,vdata_regressors!$A$2:$A$2000,0)+1,MATCH(H$2,vdata_regressors!$A$1:$R$1,0)),"")</f>
        <v/>
      </c>
      <c r="I506" s="23" t="str">
        <f>IFERROR(INDEX(vdata_regressors!$A$1:$L$2000,MATCH($A506,vdata_regressors!$A$2:$A$2000,0)+1,MATCH(I$2,vdata_regressors!$A$1:$R$1,0)),"")</f>
        <v/>
      </c>
      <c r="J506" s="23" t="str">
        <f>IFERROR(INDEX(vdata_regressors!$A$1:$L$2000,MATCH($A506,vdata_regressors!$A$2:$A$2000,0)+1,MATCH(J$2,vdata_regressors!$A$1:$R$1,0)),"")</f>
        <v/>
      </c>
      <c r="K506" s="23" t="str">
        <f>IFERROR(INDEX(vdata_regressors!$A$1:$L$2000,MATCH($A506,vdata_regressors!$A$2:$A$2000,0)+1,MATCH(K$2,vdata_regressors!$A$1:$R$1,0)),"")</f>
        <v/>
      </c>
      <c r="L506" s="23" t="str">
        <f>IFERROR(INDEX(vdata_regressors!$A$1:$L$2000,MATCH($A506,vdata_regressors!$A$2:$A$2000,0)+1,MATCH(L$2,vdata_regressors!$A$1:$R$1,0)),"")</f>
        <v/>
      </c>
      <c r="M506" s="23" t="str">
        <f>IFERROR(VLOOKUP(A506,vdata_hours!$A$2:$B$1000,2,FALSE),"")</f>
        <v/>
      </c>
    </row>
    <row r="507" spans="1:13" x14ac:dyDescent="0.25">
      <c r="A507" s="23" t="str">
        <f>IF(vdata_hours!A506=0,"",vdata_hours!A506)</f>
        <v/>
      </c>
      <c r="B507" s="23" t="str">
        <f>IFERROR(INDEX(vdata_regressors!$A$1:$L$2000,MATCH($A507,vdata_regressors!$A$2:$A$2000,0)+1,MATCH(B$2,vdata_regressors!$A$1:$R$1,0)),"")</f>
        <v/>
      </c>
      <c r="C507" s="23" t="str">
        <f>IFERROR(INDEX(vdata_regressors!$A$1:$L$2000,MATCH($A507,vdata_regressors!$A$2:$A$2000,0)+1,MATCH(C$2,vdata_regressors!$A$1:$R$1,0)),"")</f>
        <v/>
      </c>
      <c r="D507" s="23" t="str">
        <f>IFERROR(INDEX(vdata_regressors!$A$1:$L$2000,MATCH($A507,vdata_regressors!$A$2:$A$2000,0)+1,MATCH(D$2,vdata_regressors!$A$1:$R$1,0)),"")</f>
        <v/>
      </c>
      <c r="E507" s="23" t="str">
        <f>IFERROR(INDEX(vdata_regressors!$A$1:$L$2000,MATCH($A507,vdata_regressors!$A$2:$A$2000,0)+1,MATCH(E$2,vdata_regressors!$A$1:$R$1,0)),"")</f>
        <v/>
      </c>
      <c r="F507" s="23" t="str">
        <f>IFERROR(INDEX(vdata_regressors!$A$1:$L$2000,MATCH($A507,vdata_regressors!$A$2:$A$2000,0)+1,MATCH(F$2,vdata_regressors!$A$1:$R$1,0)),"")</f>
        <v/>
      </c>
      <c r="G507" s="23" t="str">
        <f>IFERROR(INDEX(vdata_regressors!$A$1:$L$2000,MATCH($A507,vdata_regressors!$A$2:$A$2000,0)+1,MATCH(G$2,vdata_regressors!$A$1:$R$1,0)),"")</f>
        <v/>
      </c>
      <c r="H507" s="23" t="str">
        <f>IFERROR(INDEX(vdata_regressors!$A$1:$L$2000,MATCH($A507,vdata_regressors!$A$2:$A$2000,0)+1,MATCH(H$2,vdata_regressors!$A$1:$R$1,0)),"")</f>
        <v/>
      </c>
      <c r="I507" s="23" t="str">
        <f>IFERROR(INDEX(vdata_regressors!$A$1:$L$2000,MATCH($A507,vdata_regressors!$A$2:$A$2000,0)+1,MATCH(I$2,vdata_regressors!$A$1:$R$1,0)),"")</f>
        <v/>
      </c>
      <c r="J507" s="23" t="str">
        <f>IFERROR(INDEX(vdata_regressors!$A$1:$L$2000,MATCH($A507,vdata_regressors!$A$2:$A$2000,0)+1,MATCH(J$2,vdata_regressors!$A$1:$R$1,0)),"")</f>
        <v/>
      </c>
      <c r="K507" s="23" t="str">
        <f>IFERROR(INDEX(vdata_regressors!$A$1:$L$2000,MATCH($A507,vdata_regressors!$A$2:$A$2000,0)+1,MATCH(K$2,vdata_regressors!$A$1:$R$1,0)),"")</f>
        <v/>
      </c>
      <c r="L507" s="23" t="str">
        <f>IFERROR(INDEX(vdata_regressors!$A$1:$L$2000,MATCH($A507,vdata_regressors!$A$2:$A$2000,0)+1,MATCH(L$2,vdata_regressors!$A$1:$R$1,0)),"")</f>
        <v/>
      </c>
      <c r="M507" s="23" t="str">
        <f>IFERROR(VLOOKUP(A507,vdata_hours!$A$2:$B$1000,2,FALSE),"")</f>
        <v/>
      </c>
    </row>
    <row r="508" spans="1:13" x14ac:dyDescent="0.25">
      <c r="A508" s="23" t="str">
        <f>IF(vdata_hours!A507=0,"",vdata_hours!A507)</f>
        <v/>
      </c>
      <c r="B508" s="23" t="str">
        <f>IFERROR(INDEX(vdata_regressors!$A$1:$L$2000,MATCH($A508,vdata_regressors!$A$2:$A$2000,0)+1,MATCH(B$2,vdata_regressors!$A$1:$R$1,0)),"")</f>
        <v/>
      </c>
      <c r="C508" s="23" t="str">
        <f>IFERROR(INDEX(vdata_regressors!$A$1:$L$2000,MATCH($A508,vdata_regressors!$A$2:$A$2000,0)+1,MATCH(C$2,vdata_regressors!$A$1:$R$1,0)),"")</f>
        <v/>
      </c>
      <c r="D508" s="23" t="str">
        <f>IFERROR(INDEX(vdata_regressors!$A$1:$L$2000,MATCH($A508,vdata_regressors!$A$2:$A$2000,0)+1,MATCH(D$2,vdata_regressors!$A$1:$R$1,0)),"")</f>
        <v/>
      </c>
      <c r="E508" s="23" t="str">
        <f>IFERROR(INDEX(vdata_regressors!$A$1:$L$2000,MATCH($A508,vdata_regressors!$A$2:$A$2000,0)+1,MATCH(E$2,vdata_regressors!$A$1:$R$1,0)),"")</f>
        <v/>
      </c>
      <c r="F508" s="23" t="str">
        <f>IFERROR(INDEX(vdata_regressors!$A$1:$L$2000,MATCH($A508,vdata_regressors!$A$2:$A$2000,0)+1,MATCH(F$2,vdata_regressors!$A$1:$R$1,0)),"")</f>
        <v/>
      </c>
      <c r="G508" s="23" t="str">
        <f>IFERROR(INDEX(vdata_regressors!$A$1:$L$2000,MATCH($A508,vdata_regressors!$A$2:$A$2000,0)+1,MATCH(G$2,vdata_regressors!$A$1:$R$1,0)),"")</f>
        <v/>
      </c>
      <c r="H508" s="23" t="str">
        <f>IFERROR(INDEX(vdata_regressors!$A$1:$L$2000,MATCH($A508,vdata_regressors!$A$2:$A$2000,0)+1,MATCH(H$2,vdata_regressors!$A$1:$R$1,0)),"")</f>
        <v/>
      </c>
      <c r="I508" s="23" t="str">
        <f>IFERROR(INDEX(vdata_regressors!$A$1:$L$2000,MATCH($A508,vdata_regressors!$A$2:$A$2000,0)+1,MATCH(I$2,vdata_regressors!$A$1:$R$1,0)),"")</f>
        <v/>
      </c>
      <c r="J508" s="23" t="str">
        <f>IFERROR(INDEX(vdata_regressors!$A$1:$L$2000,MATCH($A508,vdata_regressors!$A$2:$A$2000,0)+1,MATCH(J$2,vdata_regressors!$A$1:$R$1,0)),"")</f>
        <v/>
      </c>
      <c r="K508" s="23" t="str">
        <f>IFERROR(INDEX(vdata_regressors!$A$1:$L$2000,MATCH($A508,vdata_regressors!$A$2:$A$2000,0)+1,MATCH(K$2,vdata_regressors!$A$1:$R$1,0)),"")</f>
        <v/>
      </c>
      <c r="L508" s="23" t="str">
        <f>IFERROR(INDEX(vdata_regressors!$A$1:$L$2000,MATCH($A508,vdata_regressors!$A$2:$A$2000,0)+1,MATCH(L$2,vdata_regressors!$A$1:$R$1,0)),"")</f>
        <v/>
      </c>
      <c r="M508" s="23" t="str">
        <f>IFERROR(VLOOKUP(A508,vdata_hours!$A$2:$B$1000,2,FALSE),"")</f>
        <v/>
      </c>
    </row>
    <row r="509" spans="1:13" x14ac:dyDescent="0.25">
      <c r="A509" s="23" t="str">
        <f>IF(vdata_hours!A508=0,"",vdata_hours!A508)</f>
        <v/>
      </c>
      <c r="B509" s="23" t="str">
        <f>IFERROR(INDEX(vdata_regressors!$A$1:$L$2000,MATCH($A509,vdata_regressors!$A$2:$A$2000,0)+1,MATCH(B$2,vdata_regressors!$A$1:$R$1,0)),"")</f>
        <v/>
      </c>
      <c r="C509" s="23" t="str">
        <f>IFERROR(INDEX(vdata_regressors!$A$1:$L$2000,MATCH($A509,vdata_regressors!$A$2:$A$2000,0)+1,MATCH(C$2,vdata_regressors!$A$1:$R$1,0)),"")</f>
        <v/>
      </c>
      <c r="D509" s="23" t="str">
        <f>IFERROR(INDEX(vdata_regressors!$A$1:$L$2000,MATCH($A509,vdata_regressors!$A$2:$A$2000,0)+1,MATCH(D$2,vdata_regressors!$A$1:$R$1,0)),"")</f>
        <v/>
      </c>
      <c r="E509" s="23" t="str">
        <f>IFERROR(INDEX(vdata_regressors!$A$1:$L$2000,MATCH($A509,vdata_regressors!$A$2:$A$2000,0)+1,MATCH(E$2,vdata_regressors!$A$1:$R$1,0)),"")</f>
        <v/>
      </c>
      <c r="F509" s="23" t="str">
        <f>IFERROR(INDEX(vdata_regressors!$A$1:$L$2000,MATCH($A509,vdata_regressors!$A$2:$A$2000,0)+1,MATCH(F$2,vdata_regressors!$A$1:$R$1,0)),"")</f>
        <v/>
      </c>
      <c r="G509" s="23" t="str">
        <f>IFERROR(INDEX(vdata_regressors!$A$1:$L$2000,MATCH($A509,vdata_regressors!$A$2:$A$2000,0)+1,MATCH(G$2,vdata_regressors!$A$1:$R$1,0)),"")</f>
        <v/>
      </c>
      <c r="H509" s="23" t="str">
        <f>IFERROR(INDEX(vdata_regressors!$A$1:$L$2000,MATCH($A509,vdata_regressors!$A$2:$A$2000,0)+1,MATCH(H$2,vdata_regressors!$A$1:$R$1,0)),"")</f>
        <v/>
      </c>
      <c r="I509" s="23" t="str">
        <f>IFERROR(INDEX(vdata_regressors!$A$1:$L$2000,MATCH($A509,vdata_regressors!$A$2:$A$2000,0)+1,MATCH(I$2,vdata_regressors!$A$1:$R$1,0)),"")</f>
        <v/>
      </c>
      <c r="J509" s="23" t="str">
        <f>IFERROR(INDEX(vdata_regressors!$A$1:$L$2000,MATCH($A509,vdata_regressors!$A$2:$A$2000,0)+1,MATCH(J$2,vdata_regressors!$A$1:$R$1,0)),"")</f>
        <v/>
      </c>
      <c r="K509" s="23" t="str">
        <f>IFERROR(INDEX(vdata_regressors!$A$1:$L$2000,MATCH($A509,vdata_regressors!$A$2:$A$2000,0)+1,MATCH(K$2,vdata_regressors!$A$1:$R$1,0)),"")</f>
        <v/>
      </c>
      <c r="L509" s="23" t="str">
        <f>IFERROR(INDEX(vdata_regressors!$A$1:$L$2000,MATCH($A509,vdata_regressors!$A$2:$A$2000,0)+1,MATCH(L$2,vdata_regressors!$A$1:$R$1,0)),"")</f>
        <v/>
      </c>
      <c r="M509" s="23" t="str">
        <f>IFERROR(VLOOKUP(A509,vdata_hours!$A$2:$B$1000,2,FALSE),"")</f>
        <v/>
      </c>
    </row>
    <row r="510" spans="1:13" x14ac:dyDescent="0.25">
      <c r="A510" s="23" t="str">
        <f>IF(vdata_hours!A509=0,"",vdata_hours!A509)</f>
        <v/>
      </c>
      <c r="B510" s="23" t="str">
        <f>IFERROR(INDEX(vdata_regressors!$A$1:$L$2000,MATCH($A510,vdata_regressors!$A$2:$A$2000,0)+1,MATCH(B$2,vdata_regressors!$A$1:$R$1,0)),"")</f>
        <v/>
      </c>
      <c r="C510" s="23" t="str">
        <f>IFERROR(INDEX(vdata_regressors!$A$1:$L$2000,MATCH($A510,vdata_regressors!$A$2:$A$2000,0)+1,MATCH(C$2,vdata_regressors!$A$1:$R$1,0)),"")</f>
        <v/>
      </c>
      <c r="D510" s="23" t="str">
        <f>IFERROR(INDEX(vdata_regressors!$A$1:$L$2000,MATCH($A510,vdata_regressors!$A$2:$A$2000,0)+1,MATCH(D$2,vdata_regressors!$A$1:$R$1,0)),"")</f>
        <v/>
      </c>
      <c r="E510" s="23" t="str">
        <f>IFERROR(INDEX(vdata_regressors!$A$1:$L$2000,MATCH($A510,vdata_regressors!$A$2:$A$2000,0)+1,MATCH(E$2,vdata_regressors!$A$1:$R$1,0)),"")</f>
        <v/>
      </c>
      <c r="F510" s="23" t="str">
        <f>IFERROR(INDEX(vdata_regressors!$A$1:$L$2000,MATCH($A510,vdata_regressors!$A$2:$A$2000,0)+1,MATCH(F$2,vdata_regressors!$A$1:$R$1,0)),"")</f>
        <v/>
      </c>
      <c r="G510" s="23" t="str">
        <f>IFERROR(INDEX(vdata_regressors!$A$1:$L$2000,MATCH($A510,vdata_regressors!$A$2:$A$2000,0)+1,MATCH(G$2,vdata_regressors!$A$1:$R$1,0)),"")</f>
        <v/>
      </c>
      <c r="H510" s="23" t="str">
        <f>IFERROR(INDEX(vdata_regressors!$A$1:$L$2000,MATCH($A510,vdata_regressors!$A$2:$A$2000,0)+1,MATCH(H$2,vdata_regressors!$A$1:$R$1,0)),"")</f>
        <v/>
      </c>
      <c r="I510" s="23" t="str">
        <f>IFERROR(INDEX(vdata_regressors!$A$1:$L$2000,MATCH($A510,vdata_regressors!$A$2:$A$2000,0)+1,MATCH(I$2,vdata_regressors!$A$1:$R$1,0)),"")</f>
        <v/>
      </c>
      <c r="J510" s="23" t="str">
        <f>IFERROR(INDEX(vdata_regressors!$A$1:$L$2000,MATCH($A510,vdata_regressors!$A$2:$A$2000,0)+1,MATCH(J$2,vdata_regressors!$A$1:$R$1,0)),"")</f>
        <v/>
      </c>
      <c r="K510" s="23" t="str">
        <f>IFERROR(INDEX(vdata_regressors!$A$1:$L$2000,MATCH($A510,vdata_regressors!$A$2:$A$2000,0)+1,MATCH(K$2,vdata_regressors!$A$1:$R$1,0)),"")</f>
        <v/>
      </c>
      <c r="L510" s="23" t="str">
        <f>IFERROR(INDEX(vdata_regressors!$A$1:$L$2000,MATCH($A510,vdata_regressors!$A$2:$A$2000,0)+1,MATCH(L$2,vdata_regressors!$A$1:$R$1,0)),"")</f>
        <v/>
      </c>
      <c r="M510" s="23" t="str">
        <f>IFERROR(VLOOKUP(A510,vdata_hours!$A$2:$B$1000,2,FALSE),"")</f>
        <v/>
      </c>
    </row>
    <row r="511" spans="1:13" x14ac:dyDescent="0.25">
      <c r="A511" s="23" t="str">
        <f>IF(vdata_hours!A510=0,"",vdata_hours!A510)</f>
        <v/>
      </c>
      <c r="B511" s="23" t="str">
        <f>IFERROR(INDEX(vdata_regressors!$A$1:$L$2000,MATCH($A511,vdata_regressors!$A$2:$A$2000,0)+1,MATCH(B$2,vdata_regressors!$A$1:$R$1,0)),"")</f>
        <v/>
      </c>
      <c r="C511" s="23" t="str">
        <f>IFERROR(INDEX(vdata_regressors!$A$1:$L$2000,MATCH($A511,vdata_regressors!$A$2:$A$2000,0)+1,MATCH(C$2,vdata_regressors!$A$1:$R$1,0)),"")</f>
        <v/>
      </c>
      <c r="D511" s="23" t="str">
        <f>IFERROR(INDEX(vdata_regressors!$A$1:$L$2000,MATCH($A511,vdata_regressors!$A$2:$A$2000,0)+1,MATCH(D$2,vdata_regressors!$A$1:$R$1,0)),"")</f>
        <v/>
      </c>
      <c r="E511" s="23" t="str">
        <f>IFERROR(INDEX(vdata_regressors!$A$1:$L$2000,MATCH($A511,vdata_regressors!$A$2:$A$2000,0)+1,MATCH(E$2,vdata_regressors!$A$1:$R$1,0)),"")</f>
        <v/>
      </c>
      <c r="F511" s="23" t="str">
        <f>IFERROR(INDEX(vdata_regressors!$A$1:$L$2000,MATCH($A511,vdata_regressors!$A$2:$A$2000,0)+1,MATCH(F$2,vdata_regressors!$A$1:$R$1,0)),"")</f>
        <v/>
      </c>
      <c r="G511" s="23" t="str">
        <f>IFERROR(INDEX(vdata_regressors!$A$1:$L$2000,MATCH($A511,vdata_regressors!$A$2:$A$2000,0)+1,MATCH(G$2,vdata_regressors!$A$1:$R$1,0)),"")</f>
        <v/>
      </c>
      <c r="H511" s="23" t="str">
        <f>IFERROR(INDEX(vdata_regressors!$A$1:$L$2000,MATCH($A511,vdata_regressors!$A$2:$A$2000,0)+1,MATCH(H$2,vdata_regressors!$A$1:$R$1,0)),"")</f>
        <v/>
      </c>
      <c r="I511" s="23" t="str">
        <f>IFERROR(INDEX(vdata_regressors!$A$1:$L$2000,MATCH($A511,vdata_regressors!$A$2:$A$2000,0)+1,MATCH(I$2,vdata_regressors!$A$1:$R$1,0)),"")</f>
        <v/>
      </c>
      <c r="J511" s="23" t="str">
        <f>IFERROR(INDEX(vdata_regressors!$A$1:$L$2000,MATCH($A511,vdata_regressors!$A$2:$A$2000,0)+1,MATCH(J$2,vdata_regressors!$A$1:$R$1,0)),"")</f>
        <v/>
      </c>
      <c r="K511" s="23" t="str">
        <f>IFERROR(INDEX(vdata_regressors!$A$1:$L$2000,MATCH($A511,vdata_regressors!$A$2:$A$2000,0)+1,MATCH(K$2,vdata_regressors!$A$1:$R$1,0)),"")</f>
        <v/>
      </c>
      <c r="L511" s="23" t="str">
        <f>IFERROR(INDEX(vdata_regressors!$A$1:$L$2000,MATCH($A511,vdata_regressors!$A$2:$A$2000,0)+1,MATCH(L$2,vdata_regressors!$A$1:$R$1,0)),"")</f>
        <v/>
      </c>
      <c r="M511" s="23" t="str">
        <f>IFERROR(VLOOKUP(A511,vdata_hours!$A$2:$B$1000,2,FALSE),"")</f>
        <v/>
      </c>
    </row>
    <row r="512" spans="1:13" x14ac:dyDescent="0.25">
      <c r="A512" s="23" t="str">
        <f>IF(vdata_hours!A511=0,"",vdata_hours!A511)</f>
        <v/>
      </c>
      <c r="B512" s="23" t="str">
        <f>IFERROR(INDEX(vdata_regressors!$A$1:$L$2000,MATCH($A512,vdata_regressors!$A$2:$A$2000,0)+1,MATCH(B$2,vdata_regressors!$A$1:$R$1,0)),"")</f>
        <v/>
      </c>
      <c r="C512" s="23" t="str">
        <f>IFERROR(INDEX(vdata_regressors!$A$1:$L$2000,MATCH($A512,vdata_regressors!$A$2:$A$2000,0)+1,MATCH(C$2,vdata_regressors!$A$1:$R$1,0)),"")</f>
        <v/>
      </c>
      <c r="D512" s="23" t="str">
        <f>IFERROR(INDEX(vdata_regressors!$A$1:$L$2000,MATCH($A512,vdata_regressors!$A$2:$A$2000,0)+1,MATCH(D$2,vdata_regressors!$A$1:$R$1,0)),"")</f>
        <v/>
      </c>
      <c r="E512" s="23" t="str">
        <f>IFERROR(INDEX(vdata_regressors!$A$1:$L$2000,MATCH($A512,vdata_regressors!$A$2:$A$2000,0)+1,MATCH(E$2,vdata_regressors!$A$1:$R$1,0)),"")</f>
        <v/>
      </c>
      <c r="F512" s="23" t="str">
        <f>IFERROR(INDEX(vdata_regressors!$A$1:$L$2000,MATCH($A512,vdata_regressors!$A$2:$A$2000,0)+1,MATCH(F$2,vdata_regressors!$A$1:$R$1,0)),"")</f>
        <v/>
      </c>
      <c r="G512" s="23" t="str">
        <f>IFERROR(INDEX(vdata_regressors!$A$1:$L$2000,MATCH($A512,vdata_regressors!$A$2:$A$2000,0)+1,MATCH(G$2,vdata_regressors!$A$1:$R$1,0)),"")</f>
        <v/>
      </c>
      <c r="H512" s="23" t="str">
        <f>IFERROR(INDEX(vdata_regressors!$A$1:$L$2000,MATCH($A512,vdata_regressors!$A$2:$A$2000,0)+1,MATCH(H$2,vdata_regressors!$A$1:$R$1,0)),"")</f>
        <v/>
      </c>
      <c r="I512" s="23" t="str">
        <f>IFERROR(INDEX(vdata_regressors!$A$1:$L$2000,MATCH($A512,vdata_regressors!$A$2:$A$2000,0)+1,MATCH(I$2,vdata_regressors!$A$1:$R$1,0)),"")</f>
        <v/>
      </c>
      <c r="J512" s="23" t="str">
        <f>IFERROR(INDEX(vdata_regressors!$A$1:$L$2000,MATCH($A512,vdata_regressors!$A$2:$A$2000,0)+1,MATCH(J$2,vdata_regressors!$A$1:$R$1,0)),"")</f>
        <v/>
      </c>
      <c r="K512" s="23" t="str">
        <f>IFERROR(INDEX(vdata_regressors!$A$1:$L$2000,MATCH($A512,vdata_regressors!$A$2:$A$2000,0)+1,MATCH(K$2,vdata_regressors!$A$1:$R$1,0)),"")</f>
        <v/>
      </c>
      <c r="L512" s="23" t="str">
        <f>IFERROR(INDEX(vdata_regressors!$A$1:$L$2000,MATCH($A512,vdata_regressors!$A$2:$A$2000,0)+1,MATCH(L$2,vdata_regressors!$A$1:$R$1,0)),"")</f>
        <v/>
      </c>
      <c r="M512" s="23" t="str">
        <f>IFERROR(VLOOKUP(A512,vdata_hours!$A$2:$B$1000,2,FALSE),"")</f>
        <v/>
      </c>
    </row>
    <row r="513" spans="1:13" x14ac:dyDescent="0.25">
      <c r="A513" s="23" t="str">
        <f>IF(vdata_hours!A512=0,"",vdata_hours!A512)</f>
        <v/>
      </c>
      <c r="B513" s="23" t="str">
        <f>IFERROR(INDEX(vdata_regressors!$A$1:$L$2000,MATCH($A513,vdata_regressors!$A$2:$A$2000,0)+1,MATCH(B$2,vdata_regressors!$A$1:$R$1,0)),"")</f>
        <v/>
      </c>
      <c r="C513" s="23" t="str">
        <f>IFERROR(INDEX(vdata_regressors!$A$1:$L$2000,MATCH($A513,vdata_regressors!$A$2:$A$2000,0)+1,MATCH(C$2,vdata_regressors!$A$1:$R$1,0)),"")</f>
        <v/>
      </c>
      <c r="D513" s="23" t="str">
        <f>IFERROR(INDEX(vdata_regressors!$A$1:$L$2000,MATCH($A513,vdata_regressors!$A$2:$A$2000,0)+1,MATCH(D$2,vdata_regressors!$A$1:$R$1,0)),"")</f>
        <v/>
      </c>
      <c r="E513" s="23" t="str">
        <f>IFERROR(INDEX(vdata_regressors!$A$1:$L$2000,MATCH($A513,vdata_regressors!$A$2:$A$2000,0)+1,MATCH(E$2,vdata_regressors!$A$1:$R$1,0)),"")</f>
        <v/>
      </c>
      <c r="F513" s="23" t="str">
        <f>IFERROR(INDEX(vdata_regressors!$A$1:$L$2000,MATCH($A513,vdata_regressors!$A$2:$A$2000,0)+1,MATCH(F$2,vdata_regressors!$A$1:$R$1,0)),"")</f>
        <v/>
      </c>
      <c r="G513" s="23" t="str">
        <f>IFERROR(INDEX(vdata_regressors!$A$1:$L$2000,MATCH($A513,vdata_regressors!$A$2:$A$2000,0)+1,MATCH(G$2,vdata_regressors!$A$1:$R$1,0)),"")</f>
        <v/>
      </c>
      <c r="H513" s="23" t="str">
        <f>IFERROR(INDEX(vdata_regressors!$A$1:$L$2000,MATCH($A513,vdata_regressors!$A$2:$A$2000,0)+1,MATCH(H$2,vdata_regressors!$A$1:$R$1,0)),"")</f>
        <v/>
      </c>
      <c r="I513" s="23" t="str">
        <f>IFERROR(INDEX(vdata_regressors!$A$1:$L$2000,MATCH($A513,vdata_regressors!$A$2:$A$2000,0)+1,MATCH(I$2,vdata_regressors!$A$1:$R$1,0)),"")</f>
        <v/>
      </c>
      <c r="J513" s="23" t="str">
        <f>IFERROR(INDEX(vdata_regressors!$A$1:$L$2000,MATCH($A513,vdata_regressors!$A$2:$A$2000,0)+1,MATCH(J$2,vdata_regressors!$A$1:$R$1,0)),"")</f>
        <v/>
      </c>
      <c r="K513" s="23" t="str">
        <f>IFERROR(INDEX(vdata_regressors!$A$1:$L$2000,MATCH($A513,vdata_regressors!$A$2:$A$2000,0)+1,MATCH(K$2,vdata_regressors!$A$1:$R$1,0)),"")</f>
        <v/>
      </c>
      <c r="L513" s="23" t="str">
        <f>IFERROR(INDEX(vdata_regressors!$A$1:$L$2000,MATCH($A513,vdata_regressors!$A$2:$A$2000,0)+1,MATCH(L$2,vdata_regressors!$A$1:$R$1,0)),"")</f>
        <v/>
      </c>
      <c r="M513" s="23" t="str">
        <f>IFERROR(VLOOKUP(A513,vdata_hours!$A$2:$B$1000,2,FALSE),"")</f>
        <v/>
      </c>
    </row>
    <row r="514" spans="1:13" x14ac:dyDescent="0.25">
      <c r="A514" s="23" t="str">
        <f>IF(vdata_hours!A513=0,"",vdata_hours!A513)</f>
        <v/>
      </c>
      <c r="B514" s="23" t="str">
        <f>IFERROR(INDEX(vdata_regressors!$A$1:$L$2000,MATCH($A514,vdata_regressors!$A$2:$A$2000,0)+1,MATCH(B$2,vdata_regressors!$A$1:$R$1,0)),"")</f>
        <v/>
      </c>
      <c r="C514" s="23" t="str">
        <f>IFERROR(INDEX(vdata_regressors!$A$1:$L$2000,MATCH($A514,vdata_regressors!$A$2:$A$2000,0)+1,MATCH(C$2,vdata_regressors!$A$1:$R$1,0)),"")</f>
        <v/>
      </c>
      <c r="D514" s="23" t="str">
        <f>IFERROR(INDEX(vdata_regressors!$A$1:$L$2000,MATCH($A514,vdata_regressors!$A$2:$A$2000,0)+1,MATCH(D$2,vdata_regressors!$A$1:$R$1,0)),"")</f>
        <v/>
      </c>
      <c r="E514" s="23" t="str">
        <f>IFERROR(INDEX(vdata_regressors!$A$1:$L$2000,MATCH($A514,vdata_regressors!$A$2:$A$2000,0)+1,MATCH(E$2,vdata_regressors!$A$1:$R$1,0)),"")</f>
        <v/>
      </c>
      <c r="F514" s="23" t="str">
        <f>IFERROR(INDEX(vdata_regressors!$A$1:$L$2000,MATCH($A514,vdata_regressors!$A$2:$A$2000,0)+1,MATCH(F$2,vdata_regressors!$A$1:$R$1,0)),"")</f>
        <v/>
      </c>
      <c r="G514" s="23" t="str">
        <f>IFERROR(INDEX(vdata_regressors!$A$1:$L$2000,MATCH($A514,vdata_regressors!$A$2:$A$2000,0)+1,MATCH(G$2,vdata_regressors!$A$1:$R$1,0)),"")</f>
        <v/>
      </c>
      <c r="H514" s="23" t="str">
        <f>IFERROR(INDEX(vdata_regressors!$A$1:$L$2000,MATCH($A514,vdata_regressors!$A$2:$A$2000,0)+1,MATCH(H$2,vdata_regressors!$A$1:$R$1,0)),"")</f>
        <v/>
      </c>
      <c r="I514" s="23" t="str">
        <f>IFERROR(INDEX(vdata_regressors!$A$1:$L$2000,MATCH($A514,vdata_regressors!$A$2:$A$2000,0)+1,MATCH(I$2,vdata_regressors!$A$1:$R$1,0)),"")</f>
        <v/>
      </c>
      <c r="J514" s="23" t="str">
        <f>IFERROR(INDEX(vdata_regressors!$A$1:$L$2000,MATCH($A514,vdata_regressors!$A$2:$A$2000,0)+1,MATCH(J$2,vdata_regressors!$A$1:$R$1,0)),"")</f>
        <v/>
      </c>
      <c r="K514" s="23" t="str">
        <f>IFERROR(INDEX(vdata_regressors!$A$1:$L$2000,MATCH($A514,vdata_regressors!$A$2:$A$2000,0)+1,MATCH(K$2,vdata_regressors!$A$1:$R$1,0)),"")</f>
        <v/>
      </c>
      <c r="L514" s="23" t="str">
        <f>IFERROR(INDEX(vdata_regressors!$A$1:$L$2000,MATCH($A514,vdata_regressors!$A$2:$A$2000,0)+1,MATCH(L$2,vdata_regressors!$A$1:$R$1,0)),"")</f>
        <v/>
      </c>
      <c r="M514" s="23" t="str">
        <f>IFERROR(VLOOKUP(A514,vdata_hours!$A$2:$B$1000,2,FALSE),"")</f>
        <v/>
      </c>
    </row>
    <row r="515" spans="1:13" x14ac:dyDescent="0.25">
      <c r="A515" s="23" t="str">
        <f>IF(vdata_hours!A514=0,"",vdata_hours!A514)</f>
        <v/>
      </c>
      <c r="B515" s="23" t="str">
        <f>IFERROR(INDEX(vdata_regressors!$A$1:$L$2000,MATCH($A515,vdata_regressors!$A$2:$A$2000,0)+1,MATCH(B$2,vdata_regressors!$A$1:$R$1,0)),"")</f>
        <v/>
      </c>
      <c r="C515" s="23" t="str">
        <f>IFERROR(INDEX(vdata_regressors!$A$1:$L$2000,MATCH($A515,vdata_regressors!$A$2:$A$2000,0)+1,MATCH(C$2,vdata_regressors!$A$1:$R$1,0)),"")</f>
        <v/>
      </c>
      <c r="D515" s="23" t="str">
        <f>IFERROR(INDEX(vdata_regressors!$A$1:$L$2000,MATCH($A515,vdata_regressors!$A$2:$A$2000,0)+1,MATCH(D$2,vdata_regressors!$A$1:$R$1,0)),"")</f>
        <v/>
      </c>
      <c r="E515" s="23" t="str">
        <f>IFERROR(INDEX(vdata_regressors!$A$1:$L$2000,MATCH($A515,vdata_regressors!$A$2:$A$2000,0)+1,MATCH(E$2,vdata_regressors!$A$1:$R$1,0)),"")</f>
        <v/>
      </c>
      <c r="F515" s="23" t="str">
        <f>IFERROR(INDEX(vdata_regressors!$A$1:$L$2000,MATCH($A515,vdata_regressors!$A$2:$A$2000,0)+1,MATCH(F$2,vdata_regressors!$A$1:$R$1,0)),"")</f>
        <v/>
      </c>
      <c r="G515" s="23" t="str">
        <f>IFERROR(INDEX(vdata_regressors!$A$1:$L$2000,MATCH($A515,vdata_regressors!$A$2:$A$2000,0)+1,MATCH(G$2,vdata_regressors!$A$1:$R$1,0)),"")</f>
        <v/>
      </c>
      <c r="H515" s="23" t="str">
        <f>IFERROR(INDEX(vdata_regressors!$A$1:$L$2000,MATCH($A515,vdata_regressors!$A$2:$A$2000,0)+1,MATCH(H$2,vdata_regressors!$A$1:$R$1,0)),"")</f>
        <v/>
      </c>
      <c r="I515" s="23" t="str">
        <f>IFERROR(INDEX(vdata_regressors!$A$1:$L$2000,MATCH($A515,vdata_regressors!$A$2:$A$2000,0)+1,MATCH(I$2,vdata_regressors!$A$1:$R$1,0)),"")</f>
        <v/>
      </c>
      <c r="J515" s="23" t="str">
        <f>IFERROR(INDEX(vdata_regressors!$A$1:$L$2000,MATCH($A515,vdata_regressors!$A$2:$A$2000,0)+1,MATCH(J$2,vdata_regressors!$A$1:$R$1,0)),"")</f>
        <v/>
      </c>
      <c r="K515" s="23" t="str">
        <f>IFERROR(INDEX(vdata_regressors!$A$1:$L$2000,MATCH($A515,vdata_regressors!$A$2:$A$2000,0)+1,MATCH(K$2,vdata_regressors!$A$1:$R$1,0)),"")</f>
        <v/>
      </c>
      <c r="L515" s="23" t="str">
        <f>IFERROR(INDEX(vdata_regressors!$A$1:$L$2000,MATCH($A515,vdata_regressors!$A$2:$A$2000,0)+1,MATCH(L$2,vdata_regressors!$A$1:$R$1,0)),"")</f>
        <v/>
      </c>
      <c r="M515" s="23" t="str">
        <f>IFERROR(VLOOKUP(A515,vdata_hours!$A$2:$B$1000,2,FALSE),"")</f>
        <v/>
      </c>
    </row>
    <row r="516" spans="1:13" x14ac:dyDescent="0.25">
      <c r="A516" s="23" t="str">
        <f>IF(vdata_hours!A515=0,"",vdata_hours!A515)</f>
        <v/>
      </c>
      <c r="B516" s="23" t="str">
        <f>IFERROR(INDEX(vdata_regressors!$A$1:$L$2000,MATCH($A516,vdata_regressors!$A$2:$A$2000,0)+1,MATCH(B$2,vdata_regressors!$A$1:$R$1,0)),"")</f>
        <v/>
      </c>
      <c r="C516" s="23" t="str">
        <f>IFERROR(INDEX(vdata_regressors!$A$1:$L$2000,MATCH($A516,vdata_regressors!$A$2:$A$2000,0)+1,MATCH(C$2,vdata_regressors!$A$1:$R$1,0)),"")</f>
        <v/>
      </c>
      <c r="D516" s="23" t="str">
        <f>IFERROR(INDEX(vdata_regressors!$A$1:$L$2000,MATCH($A516,vdata_regressors!$A$2:$A$2000,0)+1,MATCH(D$2,vdata_regressors!$A$1:$R$1,0)),"")</f>
        <v/>
      </c>
      <c r="E516" s="23" t="str">
        <f>IFERROR(INDEX(vdata_regressors!$A$1:$L$2000,MATCH($A516,vdata_regressors!$A$2:$A$2000,0)+1,MATCH(E$2,vdata_regressors!$A$1:$R$1,0)),"")</f>
        <v/>
      </c>
      <c r="F516" s="23" t="str">
        <f>IFERROR(INDEX(vdata_regressors!$A$1:$L$2000,MATCH($A516,vdata_regressors!$A$2:$A$2000,0)+1,MATCH(F$2,vdata_regressors!$A$1:$R$1,0)),"")</f>
        <v/>
      </c>
      <c r="G516" s="23" t="str">
        <f>IFERROR(INDEX(vdata_regressors!$A$1:$L$2000,MATCH($A516,vdata_regressors!$A$2:$A$2000,0)+1,MATCH(G$2,vdata_regressors!$A$1:$R$1,0)),"")</f>
        <v/>
      </c>
      <c r="H516" s="23" t="str">
        <f>IFERROR(INDEX(vdata_regressors!$A$1:$L$2000,MATCH($A516,vdata_regressors!$A$2:$A$2000,0)+1,MATCH(H$2,vdata_regressors!$A$1:$R$1,0)),"")</f>
        <v/>
      </c>
      <c r="I516" s="23" t="str">
        <f>IFERROR(INDEX(vdata_regressors!$A$1:$L$2000,MATCH($A516,vdata_regressors!$A$2:$A$2000,0)+1,MATCH(I$2,vdata_regressors!$A$1:$R$1,0)),"")</f>
        <v/>
      </c>
      <c r="J516" s="23" t="str">
        <f>IFERROR(INDEX(vdata_regressors!$A$1:$L$2000,MATCH($A516,vdata_regressors!$A$2:$A$2000,0)+1,MATCH(J$2,vdata_regressors!$A$1:$R$1,0)),"")</f>
        <v/>
      </c>
      <c r="K516" s="23" t="str">
        <f>IFERROR(INDEX(vdata_regressors!$A$1:$L$2000,MATCH($A516,vdata_regressors!$A$2:$A$2000,0)+1,MATCH(K$2,vdata_regressors!$A$1:$R$1,0)),"")</f>
        <v/>
      </c>
      <c r="L516" s="23" t="str">
        <f>IFERROR(INDEX(vdata_regressors!$A$1:$L$2000,MATCH($A516,vdata_regressors!$A$2:$A$2000,0)+1,MATCH(L$2,vdata_regressors!$A$1:$R$1,0)),"")</f>
        <v/>
      </c>
      <c r="M516" s="23" t="str">
        <f>IFERROR(VLOOKUP(A516,vdata_hours!$A$2:$B$1000,2,FALSE),"")</f>
        <v/>
      </c>
    </row>
    <row r="517" spans="1:13" x14ac:dyDescent="0.25">
      <c r="A517" s="23" t="str">
        <f>IF(vdata_hours!A516=0,"",vdata_hours!A516)</f>
        <v/>
      </c>
      <c r="B517" s="23" t="str">
        <f>IFERROR(INDEX(vdata_regressors!$A$1:$L$2000,MATCH($A517,vdata_regressors!$A$2:$A$2000,0)+1,MATCH(B$2,vdata_regressors!$A$1:$R$1,0)),"")</f>
        <v/>
      </c>
      <c r="C517" s="23" t="str">
        <f>IFERROR(INDEX(vdata_regressors!$A$1:$L$2000,MATCH($A517,vdata_regressors!$A$2:$A$2000,0)+1,MATCH(C$2,vdata_regressors!$A$1:$R$1,0)),"")</f>
        <v/>
      </c>
      <c r="D517" s="23" t="str">
        <f>IFERROR(INDEX(vdata_regressors!$A$1:$L$2000,MATCH($A517,vdata_regressors!$A$2:$A$2000,0)+1,MATCH(D$2,vdata_regressors!$A$1:$R$1,0)),"")</f>
        <v/>
      </c>
      <c r="E517" s="23" t="str">
        <f>IFERROR(INDEX(vdata_regressors!$A$1:$L$2000,MATCH($A517,vdata_regressors!$A$2:$A$2000,0)+1,MATCH(E$2,vdata_regressors!$A$1:$R$1,0)),"")</f>
        <v/>
      </c>
      <c r="F517" s="23" t="str">
        <f>IFERROR(INDEX(vdata_regressors!$A$1:$L$2000,MATCH($A517,vdata_regressors!$A$2:$A$2000,0)+1,MATCH(F$2,vdata_regressors!$A$1:$R$1,0)),"")</f>
        <v/>
      </c>
      <c r="G517" s="23" t="str">
        <f>IFERROR(INDEX(vdata_regressors!$A$1:$L$2000,MATCH($A517,vdata_regressors!$A$2:$A$2000,0)+1,MATCH(G$2,vdata_regressors!$A$1:$R$1,0)),"")</f>
        <v/>
      </c>
      <c r="H517" s="23" t="str">
        <f>IFERROR(INDEX(vdata_regressors!$A$1:$L$2000,MATCH($A517,vdata_regressors!$A$2:$A$2000,0)+1,MATCH(H$2,vdata_regressors!$A$1:$R$1,0)),"")</f>
        <v/>
      </c>
      <c r="I517" s="23" t="str">
        <f>IFERROR(INDEX(vdata_regressors!$A$1:$L$2000,MATCH($A517,vdata_regressors!$A$2:$A$2000,0)+1,MATCH(I$2,vdata_regressors!$A$1:$R$1,0)),"")</f>
        <v/>
      </c>
      <c r="J517" s="23" t="str">
        <f>IFERROR(INDEX(vdata_regressors!$A$1:$L$2000,MATCH($A517,vdata_regressors!$A$2:$A$2000,0)+1,MATCH(J$2,vdata_regressors!$A$1:$R$1,0)),"")</f>
        <v/>
      </c>
      <c r="K517" s="23" t="str">
        <f>IFERROR(INDEX(vdata_regressors!$A$1:$L$2000,MATCH($A517,vdata_regressors!$A$2:$A$2000,0)+1,MATCH(K$2,vdata_regressors!$A$1:$R$1,0)),"")</f>
        <v/>
      </c>
      <c r="L517" s="23" t="str">
        <f>IFERROR(INDEX(vdata_regressors!$A$1:$L$2000,MATCH($A517,vdata_regressors!$A$2:$A$2000,0)+1,MATCH(L$2,vdata_regressors!$A$1:$R$1,0)),"")</f>
        <v/>
      </c>
      <c r="M517" s="23" t="str">
        <f>IFERROR(VLOOKUP(A517,vdata_hours!$A$2:$B$1000,2,FALSE),"")</f>
        <v/>
      </c>
    </row>
    <row r="518" spans="1:13" x14ac:dyDescent="0.25">
      <c r="A518" s="23" t="str">
        <f>IF(vdata_hours!A517=0,"",vdata_hours!A517)</f>
        <v/>
      </c>
      <c r="B518" s="23" t="str">
        <f>IFERROR(INDEX(vdata_regressors!$A$1:$L$2000,MATCH($A518,vdata_regressors!$A$2:$A$2000,0)+1,MATCH(B$2,vdata_regressors!$A$1:$R$1,0)),"")</f>
        <v/>
      </c>
      <c r="C518" s="23" t="str">
        <f>IFERROR(INDEX(vdata_regressors!$A$1:$L$2000,MATCH($A518,vdata_regressors!$A$2:$A$2000,0)+1,MATCH(C$2,vdata_regressors!$A$1:$R$1,0)),"")</f>
        <v/>
      </c>
      <c r="D518" s="23" t="str">
        <f>IFERROR(INDEX(vdata_regressors!$A$1:$L$2000,MATCH($A518,vdata_regressors!$A$2:$A$2000,0)+1,MATCH(D$2,vdata_regressors!$A$1:$R$1,0)),"")</f>
        <v/>
      </c>
      <c r="E518" s="23" t="str">
        <f>IFERROR(INDEX(vdata_regressors!$A$1:$L$2000,MATCH($A518,vdata_regressors!$A$2:$A$2000,0)+1,MATCH(E$2,vdata_regressors!$A$1:$R$1,0)),"")</f>
        <v/>
      </c>
      <c r="F518" s="23" t="str">
        <f>IFERROR(INDEX(vdata_regressors!$A$1:$L$2000,MATCH($A518,vdata_regressors!$A$2:$A$2000,0)+1,MATCH(F$2,vdata_regressors!$A$1:$R$1,0)),"")</f>
        <v/>
      </c>
      <c r="G518" s="23" t="str">
        <f>IFERROR(INDEX(vdata_regressors!$A$1:$L$2000,MATCH($A518,vdata_regressors!$A$2:$A$2000,0)+1,MATCH(G$2,vdata_regressors!$A$1:$R$1,0)),"")</f>
        <v/>
      </c>
      <c r="H518" s="23" t="str">
        <f>IFERROR(INDEX(vdata_regressors!$A$1:$L$2000,MATCH($A518,vdata_regressors!$A$2:$A$2000,0)+1,MATCH(H$2,vdata_regressors!$A$1:$R$1,0)),"")</f>
        <v/>
      </c>
      <c r="I518" s="23" t="str">
        <f>IFERROR(INDEX(vdata_regressors!$A$1:$L$2000,MATCH($A518,vdata_regressors!$A$2:$A$2000,0)+1,MATCH(I$2,vdata_regressors!$A$1:$R$1,0)),"")</f>
        <v/>
      </c>
      <c r="J518" s="23" t="str">
        <f>IFERROR(INDEX(vdata_regressors!$A$1:$L$2000,MATCH($A518,vdata_regressors!$A$2:$A$2000,0)+1,MATCH(J$2,vdata_regressors!$A$1:$R$1,0)),"")</f>
        <v/>
      </c>
      <c r="K518" s="23" t="str">
        <f>IFERROR(INDEX(vdata_regressors!$A$1:$L$2000,MATCH($A518,vdata_regressors!$A$2:$A$2000,0)+1,MATCH(K$2,vdata_regressors!$A$1:$R$1,0)),"")</f>
        <v/>
      </c>
      <c r="L518" s="23" t="str">
        <f>IFERROR(INDEX(vdata_regressors!$A$1:$L$2000,MATCH($A518,vdata_regressors!$A$2:$A$2000,0)+1,MATCH(L$2,vdata_regressors!$A$1:$R$1,0)),"")</f>
        <v/>
      </c>
      <c r="M518" s="23" t="str">
        <f>IFERROR(VLOOKUP(A518,vdata_hours!$A$2:$B$1000,2,FALSE),"")</f>
        <v/>
      </c>
    </row>
    <row r="519" spans="1:13" x14ac:dyDescent="0.25">
      <c r="A519" s="23" t="str">
        <f>IF(vdata_hours!A518=0,"",vdata_hours!A518)</f>
        <v/>
      </c>
      <c r="B519" s="23" t="str">
        <f>IFERROR(INDEX(vdata_regressors!$A$1:$L$2000,MATCH($A519,vdata_regressors!$A$2:$A$2000,0)+1,MATCH(B$2,vdata_regressors!$A$1:$R$1,0)),"")</f>
        <v/>
      </c>
      <c r="C519" s="23" t="str">
        <f>IFERROR(INDEX(vdata_regressors!$A$1:$L$2000,MATCH($A519,vdata_regressors!$A$2:$A$2000,0)+1,MATCH(C$2,vdata_regressors!$A$1:$R$1,0)),"")</f>
        <v/>
      </c>
      <c r="D519" s="23" t="str">
        <f>IFERROR(INDEX(vdata_regressors!$A$1:$L$2000,MATCH($A519,vdata_regressors!$A$2:$A$2000,0)+1,MATCH(D$2,vdata_regressors!$A$1:$R$1,0)),"")</f>
        <v/>
      </c>
      <c r="E519" s="23" t="str">
        <f>IFERROR(INDEX(vdata_regressors!$A$1:$L$2000,MATCH($A519,vdata_regressors!$A$2:$A$2000,0)+1,MATCH(E$2,vdata_regressors!$A$1:$R$1,0)),"")</f>
        <v/>
      </c>
      <c r="F519" s="23" t="str">
        <f>IFERROR(INDEX(vdata_regressors!$A$1:$L$2000,MATCH($A519,vdata_regressors!$A$2:$A$2000,0)+1,MATCH(F$2,vdata_regressors!$A$1:$R$1,0)),"")</f>
        <v/>
      </c>
      <c r="G519" s="23" t="str">
        <f>IFERROR(INDEX(vdata_regressors!$A$1:$L$2000,MATCH($A519,vdata_regressors!$A$2:$A$2000,0)+1,MATCH(G$2,vdata_regressors!$A$1:$R$1,0)),"")</f>
        <v/>
      </c>
      <c r="H519" s="23" t="str">
        <f>IFERROR(INDEX(vdata_regressors!$A$1:$L$2000,MATCH($A519,vdata_regressors!$A$2:$A$2000,0)+1,MATCH(H$2,vdata_regressors!$A$1:$R$1,0)),"")</f>
        <v/>
      </c>
      <c r="I519" s="23" t="str">
        <f>IFERROR(INDEX(vdata_regressors!$A$1:$L$2000,MATCH($A519,vdata_regressors!$A$2:$A$2000,0)+1,MATCH(I$2,vdata_regressors!$A$1:$R$1,0)),"")</f>
        <v/>
      </c>
      <c r="J519" s="23" t="str">
        <f>IFERROR(INDEX(vdata_regressors!$A$1:$L$2000,MATCH($A519,vdata_regressors!$A$2:$A$2000,0)+1,MATCH(J$2,vdata_regressors!$A$1:$R$1,0)),"")</f>
        <v/>
      </c>
      <c r="K519" s="23" t="str">
        <f>IFERROR(INDEX(vdata_regressors!$A$1:$L$2000,MATCH($A519,vdata_regressors!$A$2:$A$2000,0)+1,MATCH(K$2,vdata_regressors!$A$1:$R$1,0)),"")</f>
        <v/>
      </c>
      <c r="L519" s="23" t="str">
        <f>IFERROR(INDEX(vdata_regressors!$A$1:$L$2000,MATCH($A519,vdata_regressors!$A$2:$A$2000,0)+1,MATCH(L$2,vdata_regressors!$A$1:$R$1,0)),"")</f>
        <v/>
      </c>
      <c r="M519" s="23" t="str">
        <f>IFERROR(VLOOKUP(A519,vdata_hours!$A$2:$B$1000,2,FALSE),"")</f>
        <v/>
      </c>
    </row>
    <row r="520" spans="1:13" x14ac:dyDescent="0.25">
      <c r="A520" s="23" t="str">
        <f>IF(vdata_hours!A519=0,"",vdata_hours!A519)</f>
        <v/>
      </c>
      <c r="B520" s="23" t="str">
        <f>IFERROR(INDEX(vdata_regressors!$A$1:$L$2000,MATCH($A520,vdata_regressors!$A$2:$A$2000,0)+1,MATCH(B$2,vdata_regressors!$A$1:$R$1,0)),"")</f>
        <v/>
      </c>
      <c r="C520" s="23" t="str">
        <f>IFERROR(INDEX(vdata_regressors!$A$1:$L$2000,MATCH($A520,vdata_regressors!$A$2:$A$2000,0)+1,MATCH(C$2,vdata_regressors!$A$1:$R$1,0)),"")</f>
        <v/>
      </c>
      <c r="D520" s="23" t="str">
        <f>IFERROR(INDEX(vdata_regressors!$A$1:$L$2000,MATCH($A520,vdata_regressors!$A$2:$A$2000,0)+1,MATCH(D$2,vdata_regressors!$A$1:$R$1,0)),"")</f>
        <v/>
      </c>
      <c r="E520" s="23" t="str">
        <f>IFERROR(INDEX(vdata_regressors!$A$1:$L$2000,MATCH($A520,vdata_regressors!$A$2:$A$2000,0)+1,MATCH(E$2,vdata_regressors!$A$1:$R$1,0)),"")</f>
        <v/>
      </c>
      <c r="F520" s="23" t="str">
        <f>IFERROR(INDEX(vdata_regressors!$A$1:$L$2000,MATCH($A520,vdata_regressors!$A$2:$A$2000,0)+1,MATCH(F$2,vdata_regressors!$A$1:$R$1,0)),"")</f>
        <v/>
      </c>
      <c r="G520" s="23" t="str">
        <f>IFERROR(INDEX(vdata_regressors!$A$1:$L$2000,MATCH($A520,vdata_regressors!$A$2:$A$2000,0)+1,MATCH(G$2,vdata_regressors!$A$1:$R$1,0)),"")</f>
        <v/>
      </c>
      <c r="H520" s="23" t="str">
        <f>IFERROR(INDEX(vdata_regressors!$A$1:$L$2000,MATCH($A520,vdata_regressors!$A$2:$A$2000,0)+1,MATCH(H$2,vdata_regressors!$A$1:$R$1,0)),"")</f>
        <v/>
      </c>
      <c r="I520" s="23" t="str">
        <f>IFERROR(INDEX(vdata_regressors!$A$1:$L$2000,MATCH($A520,vdata_regressors!$A$2:$A$2000,0)+1,MATCH(I$2,vdata_regressors!$A$1:$R$1,0)),"")</f>
        <v/>
      </c>
      <c r="J520" s="23" t="str">
        <f>IFERROR(INDEX(vdata_regressors!$A$1:$L$2000,MATCH($A520,vdata_regressors!$A$2:$A$2000,0)+1,MATCH(J$2,vdata_regressors!$A$1:$R$1,0)),"")</f>
        <v/>
      </c>
      <c r="K520" s="23" t="str">
        <f>IFERROR(INDEX(vdata_regressors!$A$1:$L$2000,MATCH($A520,vdata_regressors!$A$2:$A$2000,0)+1,MATCH(K$2,vdata_regressors!$A$1:$R$1,0)),"")</f>
        <v/>
      </c>
      <c r="L520" s="23" t="str">
        <f>IFERROR(INDEX(vdata_regressors!$A$1:$L$2000,MATCH($A520,vdata_regressors!$A$2:$A$2000,0)+1,MATCH(L$2,vdata_regressors!$A$1:$R$1,0)),"")</f>
        <v/>
      </c>
      <c r="M520" s="23" t="str">
        <f>IFERROR(VLOOKUP(A520,vdata_hours!$A$2:$B$1000,2,FALSE),"")</f>
        <v/>
      </c>
    </row>
    <row r="521" spans="1:13" x14ac:dyDescent="0.25">
      <c r="A521" s="23" t="str">
        <f>IF(vdata_hours!A520=0,"",vdata_hours!A520)</f>
        <v/>
      </c>
      <c r="B521" s="23" t="str">
        <f>IFERROR(INDEX(vdata_regressors!$A$1:$L$2000,MATCH($A521,vdata_regressors!$A$2:$A$2000,0)+1,MATCH(B$2,vdata_regressors!$A$1:$R$1,0)),"")</f>
        <v/>
      </c>
      <c r="C521" s="23" t="str">
        <f>IFERROR(INDEX(vdata_regressors!$A$1:$L$2000,MATCH($A521,vdata_regressors!$A$2:$A$2000,0)+1,MATCH(C$2,vdata_regressors!$A$1:$R$1,0)),"")</f>
        <v/>
      </c>
      <c r="D521" s="23" t="str">
        <f>IFERROR(INDEX(vdata_regressors!$A$1:$L$2000,MATCH($A521,vdata_regressors!$A$2:$A$2000,0)+1,MATCH(D$2,vdata_regressors!$A$1:$R$1,0)),"")</f>
        <v/>
      </c>
      <c r="E521" s="23" t="str">
        <f>IFERROR(INDEX(vdata_regressors!$A$1:$L$2000,MATCH($A521,vdata_regressors!$A$2:$A$2000,0)+1,MATCH(E$2,vdata_regressors!$A$1:$R$1,0)),"")</f>
        <v/>
      </c>
      <c r="F521" s="23" t="str">
        <f>IFERROR(INDEX(vdata_regressors!$A$1:$L$2000,MATCH($A521,vdata_regressors!$A$2:$A$2000,0)+1,MATCH(F$2,vdata_regressors!$A$1:$R$1,0)),"")</f>
        <v/>
      </c>
      <c r="G521" s="23" t="str">
        <f>IFERROR(INDEX(vdata_regressors!$A$1:$L$2000,MATCH($A521,vdata_regressors!$A$2:$A$2000,0)+1,MATCH(G$2,vdata_regressors!$A$1:$R$1,0)),"")</f>
        <v/>
      </c>
      <c r="H521" s="23" t="str">
        <f>IFERROR(INDEX(vdata_regressors!$A$1:$L$2000,MATCH($A521,vdata_regressors!$A$2:$A$2000,0)+1,MATCH(H$2,vdata_regressors!$A$1:$R$1,0)),"")</f>
        <v/>
      </c>
      <c r="I521" s="23" t="str">
        <f>IFERROR(INDEX(vdata_regressors!$A$1:$L$2000,MATCH($A521,vdata_regressors!$A$2:$A$2000,0)+1,MATCH(I$2,vdata_regressors!$A$1:$R$1,0)),"")</f>
        <v/>
      </c>
      <c r="J521" s="23" t="str">
        <f>IFERROR(INDEX(vdata_regressors!$A$1:$L$2000,MATCH($A521,vdata_regressors!$A$2:$A$2000,0)+1,MATCH(J$2,vdata_regressors!$A$1:$R$1,0)),"")</f>
        <v/>
      </c>
      <c r="K521" s="23" t="str">
        <f>IFERROR(INDEX(vdata_regressors!$A$1:$L$2000,MATCH($A521,vdata_regressors!$A$2:$A$2000,0)+1,MATCH(K$2,vdata_regressors!$A$1:$R$1,0)),"")</f>
        <v/>
      </c>
      <c r="L521" s="23" t="str">
        <f>IFERROR(INDEX(vdata_regressors!$A$1:$L$2000,MATCH($A521,vdata_regressors!$A$2:$A$2000,0)+1,MATCH(L$2,vdata_regressors!$A$1:$R$1,0)),"")</f>
        <v/>
      </c>
      <c r="M521" s="23" t="str">
        <f>IFERROR(VLOOKUP(A521,vdata_hours!$A$2:$B$1000,2,FALSE),"")</f>
        <v/>
      </c>
    </row>
    <row r="522" spans="1:13" x14ac:dyDescent="0.25">
      <c r="A522" s="23" t="str">
        <f>IF(vdata_hours!A521=0,"",vdata_hours!A521)</f>
        <v/>
      </c>
      <c r="B522" s="23" t="str">
        <f>IFERROR(INDEX(vdata_regressors!$A$1:$L$2000,MATCH($A522,vdata_regressors!$A$2:$A$2000,0)+1,MATCH(B$2,vdata_regressors!$A$1:$R$1,0)),"")</f>
        <v/>
      </c>
      <c r="C522" s="23" t="str">
        <f>IFERROR(INDEX(vdata_regressors!$A$1:$L$2000,MATCH($A522,vdata_regressors!$A$2:$A$2000,0)+1,MATCH(C$2,vdata_regressors!$A$1:$R$1,0)),"")</f>
        <v/>
      </c>
      <c r="D522" s="23" t="str">
        <f>IFERROR(INDEX(vdata_regressors!$A$1:$L$2000,MATCH($A522,vdata_regressors!$A$2:$A$2000,0)+1,MATCH(D$2,vdata_regressors!$A$1:$R$1,0)),"")</f>
        <v/>
      </c>
      <c r="E522" s="23" t="str">
        <f>IFERROR(INDEX(vdata_regressors!$A$1:$L$2000,MATCH($A522,vdata_regressors!$A$2:$A$2000,0)+1,MATCH(E$2,vdata_regressors!$A$1:$R$1,0)),"")</f>
        <v/>
      </c>
      <c r="F522" s="23" t="str">
        <f>IFERROR(INDEX(vdata_regressors!$A$1:$L$2000,MATCH($A522,vdata_regressors!$A$2:$A$2000,0)+1,MATCH(F$2,vdata_regressors!$A$1:$R$1,0)),"")</f>
        <v/>
      </c>
      <c r="G522" s="23" t="str">
        <f>IFERROR(INDEX(vdata_regressors!$A$1:$L$2000,MATCH($A522,vdata_regressors!$A$2:$A$2000,0)+1,MATCH(G$2,vdata_regressors!$A$1:$R$1,0)),"")</f>
        <v/>
      </c>
      <c r="H522" s="23" t="str">
        <f>IFERROR(INDEX(vdata_regressors!$A$1:$L$2000,MATCH($A522,vdata_regressors!$A$2:$A$2000,0)+1,MATCH(H$2,vdata_regressors!$A$1:$R$1,0)),"")</f>
        <v/>
      </c>
      <c r="I522" s="23" t="str">
        <f>IFERROR(INDEX(vdata_regressors!$A$1:$L$2000,MATCH($A522,vdata_regressors!$A$2:$A$2000,0)+1,MATCH(I$2,vdata_regressors!$A$1:$R$1,0)),"")</f>
        <v/>
      </c>
      <c r="J522" s="23" t="str">
        <f>IFERROR(INDEX(vdata_regressors!$A$1:$L$2000,MATCH($A522,vdata_regressors!$A$2:$A$2000,0)+1,MATCH(J$2,vdata_regressors!$A$1:$R$1,0)),"")</f>
        <v/>
      </c>
      <c r="K522" s="23" t="str">
        <f>IFERROR(INDEX(vdata_regressors!$A$1:$L$2000,MATCH($A522,vdata_regressors!$A$2:$A$2000,0)+1,MATCH(K$2,vdata_regressors!$A$1:$R$1,0)),"")</f>
        <v/>
      </c>
      <c r="L522" s="23" t="str">
        <f>IFERROR(INDEX(vdata_regressors!$A$1:$L$2000,MATCH($A522,vdata_regressors!$A$2:$A$2000,0)+1,MATCH(L$2,vdata_regressors!$A$1:$R$1,0)),"")</f>
        <v/>
      </c>
      <c r="M522" s="23" t="str">
        <f>IFERROR(VLOOKUP(A522,vdata_hours!$A$2:$B$1000,2,FALSE),"")</f>
        <v/>
      </c>
    </row>
    <row r="523" spans="1:13" x14ac:dyDescent="0.25">
      <c r="A523" s="23" t="str">
        <f>IF(vdata_hours!A522=0,"",vdata_hours!A522)</f>
        <v/>
      </c>
      <c r="B523" s="23" t="str">
        <f>IFERROR(INDEX(vdata_regressors!$A$1:$L$2000,MATCH($A523,vdata_regressors!$A$2:$A$2000,0)+1,MATCH(B$2,vdata_regressors!$A$1:$R$1,0)),"")</f>
        <v/>
      </c>
      <c r="C523" s="23" t="str">
        <f>IFERROR(INDEX(vdata_regressors!$A$1:$L$2000,MATCH($A523,vdata_regressors!$A$2:$A$2000,0)+1,MATCH(C$2,vdata_regressors!$A$1:$R$1,0)),"")</f>
        <v/>
      </c>
      <c r="D523" s="23" t="str">
        <f>IFERROR(INDEX(vdata_regressors!$A$1:$L$2000,MATCH($A523,vdata_regressors!$A$2:$A$2000,0)+1,MATCH(D$2,vdata_regressors!$A$1:$R$1,0)),"")</f>
        <v/>
      </c>
      <c r="E523" s="23" t="str">
        <f>IFERROR(INDEX(vdata_regressors!$A$1:$L$2000,MATCH($A523,vdata_regressors!$A$2:$A$2000,0)+1,MATCH(E$2,vdata_regressors!$A$1:$R$1,0)),"")</f>
        <v/>
      </c>
      <c r="F523" s="23" t="str">
        <f>IFERROR(INDEX(vdata_regressors!$A$1:$L$2000,MATCH($A523,vdata_regressors!$A$2:$A$2000,0)+1,MATCH(F$2,vdata_regressors!$A$1:$R$1,0)),"")</f>
        <v/>
      </c>
      <c r="G523" s="23" t="str">
        <f>IFERROR(INDEX(vdata_regressors!$A$1:$L$2000,MATCH($A523,vdata_regressors!$A$2:$A$2000,0)+1,MATCH(G$2,vdata_regressors!$A$1:$R$1,0)),"")</f>
        <v/>
      </c>
      <c r="H523" s="23" t="str">
        <f>IFERROR(INDEX(vdata_regressors!$A$1:$L$2000,MATCH($A523,vdata_regressors!$A$2:$A$2000,0)+1,MATCH(H$2,vdata_regressors!$A$1:$R$1,0)),"")</f>
        <v/>
      </c>
      <c r="I523" s="23" t="str">
        <f>IFERROR(INDEX(vdata_regressors!$A$1:$L$2000,MATCH($A523,vdata_regressors!$A$2:$A$2000,0)+1,MATCH(I$2,vdata_regressors!$A$1:$R$1,0)),"")</f>
        <v/>
      </c>
      <c r="J523" s="23" t="str">
        <f>IFERROR(INDEX(vdata_regressors!$A$1:$L$2000,MATCH($A523,vdata_regressors!$A$2:$A$2000,0)+1,MATCH(J$2,vdata_regressors!$A$1:$R$1,0)),"")</f>
        <v/>
      </c>
      <c r="K523" s="23" t="str">
        <f>IFERROR(INDEX(vdata_regressors!$A$1:$L$2000,MATCH($A523,vdata_regressors!$A$2:$A$2000,0)+1,MATCH(K$2,vdata_regressors!$A$1:$R$1,0)),"")</f>
        <v/>
      </c>
      <c r="L523" s="23" t="str">
        <f>IFERROR(INDEX(vdata_regressors!$A$1:$L$2000,MATCH($A523,vdata_regressors!$A$2:$A$2000,0)+1,MATCH(L$2,vdata_regressors!$A$1:$R$1,0)),"")</f>
        <v/>
      </c>
      <c r="M523" s="23" t="str">
        <f>IFERROR(VLOOKUP(A523,vdata_hours!$A$2:$B$1000,2,FALSE),"")</f>
        <v/>
      </c>
    </row>
    <row r="524" spans="1:13" x14ac:dyDescent="0.25">
      <c r="A524" s="23" t="str">
        <f>IF(vdata_hours!A523=0,"",vdata_hours!A523)</f>
        <v/>
      </c>
      <c r="B524" s="23" t="str">
        <f>IFERROR(INDEX(vdata_regressors!$A$1:$L$2000,MATCH($A524,vdata_regressors!$A$2:$A$2000,0)+1,MATCH(B$2,vdata_regressors!$A$1:$R$1,0)),"")</f>
        <v/>
      </c>
      <c r="C524" s="23" t="str">
        <f>IFERROR(INDEX(vdata_regressors!$A$1:$L$2000,MATCH($A524,vdata_regressors!$A$2:$A$2000,0)+1,MATCH(C$2,vdata_regressors!$A$1:$R$1,0)),"")</f>
        <v/>
      </c>
      <c r="D524" s="23" t="str">
        <f>IFERROR(INDEX(vdata_regressors!$A$1:$L$2000,MATCH($A524,vdata_regressors!$A$2:$A$2000,0)+1,MATCH(D$2,vdata_regressors!$A$1:$R$1,0)),"")</f>
        <v/>
      </c>
      <c r="E524" s="23" t="str">
        <f>IFERROR(INDEX(vdata_regressors!$A$1:$L$2000,MATCH($A524,vdata_regressors!$A$2:$A$2000,0)+1,MATCH(E$2,vdata_regressors!$A$1:$R$1,0)),"")</f>
        <v/>
      </c>
      <c r="F524" s="23" t="str">
        <f>IFERROR(INDEX(vdata_regressors!$A$1:$L$2000,MATCH($A524,vdata_regressors!$A$2:$A$2000,0)+1,MATCH(F$2,vdata_regressors!$A$1:$R$1,0)),"")</f>
        <v/>
      </c>
      <c r="G524" s="23" t="str">
        <f>IFERROR(INDEX(vdata_regressors!$A$1:$L$2000,MATCH($A524,vdata_regressors!$A$2:$A$2000,0)+1,MATCH(G$2,vdata_regressors!$A$1:$R$1,0)),"")</f>
        <v/>
      </c>
      <c r="H524" s="23" t="str">
        <f>IFERROR(INDEX(vdata_regressors!$A$1:$L$2000,MATCH($A524,vdata_regressors!$A$2:$A$2000,0)+1,MATCH(H$2,vdata_regressors!$A$1:$R$1,0)),"")</f>
        <v/>
      </c>
      <c r="I524" s="23" t="str">
        <f>IFERROR(INDEX(vdata_regressors!$A$1:$L$2000,MATCH($A524,vdata_regressors!$A$2:$A$2000,0)+1,MATCH(I$2,vdata_regressors!$A$1:$R$1,0)),"")</f>
        <v/>
      </c>
      <c r="J524" s="23" t="str">
        <f>IFERROR(INDEX(vdata_regressors!$A$1:$L$2000,MATCH($A524,vdata_regressors!$A$2:$A$2000,0)+1,MATCH(J$2,vdata_regressors!$A$1:$R$1,0)),"")</f>
        <v/>
      </c>
      <c r="K524" s="23" t="str">
        <f>IFERROR(INDEX(vdata_regressors!$A$1:$L$2000,MATCH($A524,vdata_regressors!$A$2:$A$2000,0)+1,MATCH(K$2,vdata_regressors!$A$1:$R$1,0)),"")</f>
        <v/>
      </c>
      <c r="L524" s="23" t="str">
        <f>IFERROR(INDEX(vdata_regressors!$A$1:$L$2000,MATCH($A524,vdata_regressors!$A$2:$A$2000,0)+1,MATCH(L$2,vdata_regressors!$A$1:$R$1,0)),"")</f>
        <v/>
      </c>
      <c r="M524" s="23" t="str">
        <f>IFERROR(VLOOKUP(A524,vdata_hours!$A$2:$B$1000,2,FALSE),"")</f>
        <v/>
      </c>
    </row>
    <row r="525" spans="1:13" x14ac:dyDescent="0.25">
      <c r="A525" s="23" t="str">
        <f>IF(vdata_hours!A524=0,"",vdata_hours!A524)</f>
        <v/>
      </c>
      <c r="B525" s="23" t="str">
        <f>IFERROR(INDEX(vdata_regressors!$A$1:$L$2000,MATCH($A525,vdata_regressors!$A$2:$A$2000,0)+1,MATCH(B$2,vdata_regressors!$A$1:$R$1,0)),"")</f>
        <v/>
      </c>
      <c r="C525" s="23" t="str">
        <f>IFERROR(INDEX(vdata_regressors!$A$1:$L$2000,MATCH($A525,vdata_regressors!$A$2:$A$2000,0)+1,MATCH(C$2,vdata_regressors!$A$1:$R$1,0)),"")</f>
        <v/>
      </c>
      <c r="D525" s="23" t="str">
        <f>IFERROR(INDEX(vdata_regressors!$A$1:$L$2000,MATCH($A525,vdata_regressors!$A$2:$A$2000,0)+1,MATCH(D$2,vdata_regressors!$A$1:$R$1,0)),"")</f>
        <v/>
      </c>
      <c r="E525" s="23" t="str">
        <f>IFERROR(INDEX(vdata_regressors!$A$1:$L$2000,MATCH($A525,vdata_regressors!$A$2:$A$2000,0)+1,MATCH(E$2,vdata_regressors!$A$1:$R$1,0)),"")</f>
        <v/>
      </c>
      <c r="F525" s="23" t="str">
        <f>IFERROR(INDEX(vdata_regressors!$A$1:$L$2000,MATCH($A525,vdata_regressors!$A$2:$A$2000,0)+1,MATCH(F$2,vdata_regressors!$A$1:$R$1,0)),"")</f>
        <v/>
      </c>
      <c r="G525" s="23" t="str">
        <f>IFERROR(INDEX(vdata_regressors!$A$1:$L$2000,MATCH($A525,vdata_regressors!$A$2:$A$2000,0)+1,MATCH(G$2,vdata_regressors!$A$1:$R$1,0)),"")</f>
        <v/>
      </c>
      <c r="H525" s="23" t="str">
        <f>IFERROR(INDEX(vdata_regressors!$A$1:$L$2000,MATCH($A525,vdata_regressors!$A$2:$A$2000,0)+1,MATCH(H$2,vdata_regressors!$A$1:$R$1,0)),"")</f>
        <v/>
      </c>
      <c r="I525" s="23" t="str">
        <f>IFERROR(INDEX(vdata_regressors!$A$1:$L$2000,MATCH($A525,vdata_regressors!$A$2:$A$2000,0)+1,MATCH(I$2,vdata_regressors!$A$1:$R$1,0)),"")</f>
        <v/>
      </c>
      <c r="J525" s="23" t="str">
        <f>IFERROR(INDEX(vdata_regressors!$A$1:$L$2000,MATCH($A525,vdata_regressors!$A$2:$A$2000,0)+1,MATCH(J$2,vdata_regressors!$A$1:$R$1,0)),"")</f>
        <v/>
      </c>
      <c r="K525" s="23" t="str">
        <f>IFERROR(INDEX(vdata_regressors!$A$1:$L$2000,MATCH($A525,vdata_regressors!$A$2:$A$2000,0)+1,MATCH(K$2,vdata_regressors!$A$1:$R$1,0)),"")</f>
        <v/>
      </c>
      <c r="L525" s="23" t="str">
        <f>IFERROR(INDEX(vdata_regressors!$A$1:$L$2000,MATCH($A525,vdata_regressors!$A$2:$A$2000,0)+1,MATCH(L$2,vdata_regressors!$A$1:$R$1,0)),"")</f>
        <v/>
      </c>
      <c r="M525" s="23" t="str">
        <f>IFERROR(VLOOKUP(A525,vdata_hours!$A$2:$B$1000,2,FALSE),"")</f>
        <v/>
      </c>
    </row>
    <row r="526" spans="1:13" x14ac:dyDescent="0.25">
      <c r="A526" s="23" t="str">
        <f>IF(vdata_hours!A525=0,"",vdata_hours!A525)</f>
        <v/>
      </c>
      <c r="B526" s="23" t="str">
        <f>IFERROR(INDEX(vdata_regressors!$A$1:$L$2000,MATCH($A526,vdata_regressors!$A$2:$A$2000,0)+1,MATCH(B$2,vdata_regressors!$A$1:$R$1,0)),"")</f>
        <v/>
      </c>
      <c r="C526" s="23" t="str">
        <f>IFERROR(INDEX(vdata_regressors!$A$1:$L$2000,MATCH($A526,vdata_regressors!$A$2:$A$2000,0)+1,MATCH(C$2,vdata_regressors!$A$1:$R$1,0)),"")</f>
        <v/>
      </c>
      <c r="D526" s="23" t="str">
        <f>IFERROR(INDEX(vdata_regressors!$A$1:$L$2000,MATCH($A526,vdata_regressors!$A$2:$A$2000,0)+1,MATCH(D$2,vdata_regressors!$A$1:$R$1,0)),"")</f>
        <v/>
      </c>
      <c r="E526" s="23" t="str">
        <f>IFERROR(INDEX(vdata_regressors!$A$1:$L$2000,MATCH($A526,vdata_regressors!$A$2:$A$2000,0)+1,MATCH(E$2,vdata_regressors!$A$1:$R$1,0)),"")</f>
        <v/>
      </c>
      <c r="F526" s="23" t="str">
        <f>IFERROR(INDEX(vdata_regressors!$A$1:$L$2000,MATCH($A526,vdata_regressors!$A$2:$A$2000,0)+1,MATCH(F$2,vdata_regressors!$A$1:$R$1,0)),"")</f>
        <v/>
      </c>
      <c r="G526" s="23" t="str">
        <f>IFERROR(INDEX(vdata_regressors!$A$1:$L$2000,MATCH($A526,vdata_regressors!$A$2:$A$2000,0)+1,MATCH(G$2,vdata_regressors!$A$1:$R$1,0)),"")</f>
        <v/>
      </c>
      <c r="H526" s="23" t="str">
        <f>IFERROR(INDEX(vdata_regressors!$A$1:$L$2000,MATCH($A526,vdata_regressors!$A$2:$A$2000,0)+1,MATCH(H$2,vdata_regressors!$A$1:$R$1,0)),"")</f>
        <v/>
      </c>
      <c r="I526" s="23" t="str">
        <f>IFERROR(INDEX(vdata_regressors!$A$1:$L$2000,MATCH($A526,vdata_regressors!$A$2:$A$2000,0)+1,MATCH(I$2,vdata_regressors!$A$1:$R$1,0)),"")</f>
        <v/>
      </c>
      <c r="J526" s="23" t="str">
        <f>IFERROR(INDEX(vdata_regressors!$A$1:$L$2000,MATCH($A526,vdata_regressors!$A$2:$A$2000,0)+1,MATCH(J$2,vdata_regressors!$A$1:$R$1,0)),"")</f>
        <v/>
      </c>
      <c r="K526" s="23" t="str">
        <f>IFERROR(INDEX(vdata_regressors!$A$1:$L$2000,MATCH($A526,vdata_regressors!$A$2:$A$2000,0)+1,MATCH(K$2,vdata_regressors!$A$1:$R$1,0)),"")</f>
        <v/>
      </c>
      <c r="L526" s="23" t="str">
        <f>IFERROR(INDEX(vdata_regressors!$A$1:$L$2000,MATCH($A526,vdata_regressors!$A$2:$A$2000,0)+1,MATCH(L$2,vdata_regressors!$A$1:$R$1,0)),"")</f>
        <v/>
      </c>
      <c r="M526" s="23" t="str">
        <f>IFERROR(VLOOKUP(A526,vdata_hours!$A$2:$B$1000,2,FALSE),"")</f>
        <v/>
      </c>
    </row>
    <row r="527" spans="1:13" x14ac:dyDescent="0.25">
      <c r="A527" s="23" t="str">
        <f>IF(vdata_hours!A526=0,"",vdata_hours!A526)</f>
        <v/>
      </c>
      <c r="B527" s="23" t="str">
        <f>IFERROR(INDEX(vdata_regressors!$A$1:$L$2000,MATCH($A527,vdata_regressors!$A$2:$A$2000,0)+1,MATCH(B$2,vdata_regressors!$A$1:$R$1,0)),"")</f>
        <v/>
      </c>
      <c r="C527" s="23" t="str">
        <f>IFERROR(INDEX(vdata_regressors!$A$1:$L$2000,MATCH($A527,vdata_regressors!$A$2:$A$2000,0)+1,MATCH(C$2,vdata_regressors!$A$1:$R$1,0)),"")</f>
        <v/>
      </c>
      <c r="D527" s="23" t="str">
        <f>IFERROR(INDEX(vdata_regressors!$A$1:$L$2000,MATCH($A527,vdata_regressors!$A$2:$A$2000,0)+1,MATCH(D$2,vdata_regressors!$A$1:$R$1,0)),"")</f>
        <v/>
      </c>
      <c r="E527" s="23" t="str">
        <f>IFERROR(INDEX(vdata_regressors!$A$1:$L$2000,MATCH($A527,vdata_regressors!$A$2:$A$2000,0)+1,MATCH(E$2,vdata_regressors!$A$1:$R$1,0)),"")</f>
        <v/>
      </c>
      <c r="F527" s="23" t="str">
        <f>IFERROR(INDEX(vdata_regressors!$A$1:$L$2000,MATCH($A527,vdata_regressors!$A$2:$A$2000,0)+1,MATCH(F$2,vdata_regressors!$A$1:$R$1,0)),"")</f>
        <v/>
      </c>
      <c r="G527" s="23" t="str">
        <f>IFERROR(INDEX(vdata_regressors!$A$1:$L$2000,MATCH($A527,vdata_regressors!$A$2:$A$2000,0)+1,MATCH(G$2,vdata_regressors!$A$1:$R$1,0)),"")</f>
        <v/>
      </c>
      <c r="H527" s="23" t="str">
        <f>IFERROR(INDEX(vdata_regressors!$A$1:$L$2000,MATCH($A527,vdata_regressors!$A$2:$A$2000,0)+1,MATCH(H$2,vdata_regressors!$A$1:$R$1,0)),"")</f>
        <v/>
      </c>
      <c r="I527" s="23" t="str">
        <f>IFERROR(INDEX(vdata_regressors!$A$1:$L$2000,MATCH($A527,vdata_regressors!$A$2:$A$2000,0)+1,MATCH(I$2,vdata_regressors!$A$1:$R$1,0)),"")</f>
        <v/>
      </c>
      <c r="J527" s="23" t="str">
        <f>IFERROR(INDEX(vdata_regressors!$A$1:$L$2000,MATCH($A527,vdata_regressors!$A$2:$A$2000,0)+1,MATCH(J$2,vdata_regressors!$A$1:$R$1,0)),"")</f>
        <v/>
      </c>
      <c r="K527" s="23" t="str">
        <f>IFERROR(INDEX(vdata_regressors!$A$1:$L$2000,MATCH($A527,vdata_regressors!$A$2:$A$2000,0)+1,MATCH(K$2,vdata_regressors!$A$1:$R$1,0)),"")</f>
        <v/>
      </c>
      <c r="L527" s="23" t="str">
        <f>IFERROR(INDEX(vdata_regressors!$A$1:$L$2000,MATCH($A527,vdata_regressors!$A$2:$A$2000,0)+1,MATCH(L$2,vdata_regressors!$A$1:$R$1,0)),"")</f>
        <v/>
      </c>
      <c r="M527" s="23" t="str">
        <f>IFERROR(VLOOKUP(A527,vdata_hours!$A$2:$B$1000,2,FALSE),"")</f>
        <v/>
      </c>
    </row>
    <row r="528" spans="1:13" x14ac:dyDescent="0.25">
      <c r="A528" s="23" t="str">
        <f>IF(vdata_hours!A527=0,"",vdata_hours!A527)</f>
        <v/>
      </c>
      <c r="B528" s="23" t="str">
        <f>IFERROR(INDEX(vdata_regressors!$A$1:$L$2000,MATCH($A528,vdata_regressors!$A$2:$A$2000,0)+1,MATCH(B$2,vdata_regressors!$A$1:$R$1,0)),"")</f>
        <v/>
      </c>
      <c r="C528" s="23" t="str">
        <f>IFERROR(INDEX(vdata_regressors!$A$1:$L$2000,MATCH($A528,vdata_regressors!$A$2:$A$2000,0)+1,MATCH(C$2,vdata_regressors!$A$1:$R$1,0)),"")</f>
        <v/>
      </c>
      <c r="D528" s="23" t="str">
        <f>IFERROR(INDEX(vdata_regressors!$A$1:$L$2000,MATCH($A528,vdata_regressors!$A$2:$A$2000,0)+1,MATCH(D$2,vdata_regressors!$A$1:$R$1,0)),"")</f>
        <v/>
      </c>
      <c r="E528" s="23" t="str">
        <f>IFERROR(INDEX(vdata_regressors!$A$1:$L$2000,MATCH($A528,vdata_regressors!$A$2:$A$2000,0)+1,MATCH(E$2,vdata_regressors!$A$1:$R$1,0)),"")</f>
        <v/>
      </c>
      <c r="F528" s="23" t="str">
        <f>IFERROR(INDEX(vdata_regressors!$A$1:$L$2000,MATCH($A528,vdata_regressors!$A$2:$A$2000,0)+1,MATCH(F$2,vdata_regressors!$A$1:$R$1,0)),"")</f>
        <v/>
      </c>
      <c r="G528" s="23" t="str">
        <f>IFERROR(INDEX(vdata_regressors!$A$1:$L$2000,MATCH($A528,vdata_regressors!$A$2:$A$2000,0)+1,MATCH(G$2,vdata_regressors!$A$1:$R$1,0)),"")</f>
        <v/>
      </c>
      <c r="H528" s="23" t="str">
        <f>IFERROR(INDEX(vdata_regressors!$A$1:$L$2000,MATCH($A528,vdata_regressors!$A$2:$A$2000,0)+1,MATCH(H$2,vdata_regressors!$A$1:$R$1,0)),"")</f>
        <v/>
      </c>
      <c r="I528" s="23" t="str">
        <f>IFERROR(INDEX(vdata_regressors!$A$1:$L$2000,MATCH($A528,vdata_regressors!$A$2:$A$2000,0)+1,MATCH(I$2,vdata_regressors!$A$1:$R$1,0)),"")</f>
        <v/>
      </c>
      <c r="J528" s="23" t="str">
        <f>IFERROR(INDEX(vdata_regressors!$A$1:$L$2000,MATCH($A528,vdata_regressors!$A$2:$A$2000,0)+1,MATCH(J$2,vdata_regressors!$A$1:$R$1,0)),"")</f>
        <v/>
      </c>
      <c r="K528" s="23" t="str">
        <f>IFERROR(INDEX(vdata_regressors!$A$1:$L$2000,MATCH($A528,vdata_regressors!$A$2:$A$2000,0)+1,MATCH(K$2,vdata_regressors!$A$1:$R$1,0)),"")</f>
        <v/>
      </c>
      <c r="L528" s="23" t="str">
        <f>IFERROR(INDEX(vdata_regressors!$A$1:$L$2000,MATCH($A528,vdata_regressors!$A$2:$A$2000,0)+1,MATCH(L$2,vdata_regressors!$A$1:$R$1,0)),"")</f>
        <v/>
      </c>
      <c r="M528" s="23" t="str">
        <f>IFERROR(VLOOKUP(A528,vdata_hours!$A$2:$B$1000,2,FALSE),"")</f>
        <v/>
      </c>
    </row>
    <row r="529" spans="1:13" x14ac:dyDescent="0.25">
      <c r="A529" s="23" t="str">
        <f>IF(vdata_hours!A528=0,"",vdata_hours!A528)</f>
        <v/>
      </c>
      <c r="B529" s="23" t="str">
        <f>IFERROR(INDEX(vdata_regressors!$A$1:$L$2000,MATCH($A529,vdata_regressors!$A$2:$A$2000,0)+1,MATCH(B$2,vdata_regressors!$A$1:$R$1,0)),"")</f>
        <v/>
      </c>
      <c r="C529" s="23" t="str">
        <f>IFERROR(INDEX(vdata_regressors!$A$1:$L$2000,MATCH($A529,vdata_regressors!$A$2:$A$2000,0)+1,MATCH(C$2,vdata_regressors!$A$1:$R$1,0)),"")</f>
        <v/>
      </c>
      <c r="D529" s="23" t="str">
        <f>IFERROR(INDEX(vdata_regressors!$A$1:$L$2000,MATCH($A529,vdata_regressors!$A$2:$A$2000,0)+1,MATCH(D$2,vdata_regressors!$A$1:$R$1,0)),"")</f>
        <v/>
      </c>
      <c r="E529" s="23" t="str">
        <f>IFERROR(INDEX(vdata_regressors!$A$1:$L$2000,MATCH($A529,vdata_regressors!$A$2:$A$2000,0)+1,MATCH(E$2,vdata_regressors!$A$1:$R$1,0)),"")</f>
        <v/>
      </c>
      <c r="F529" s="23" t="str">
        <f>IFERROR(INDEX(vdata_regressors!$A$1:$L$2000,MATCH($A529,vdata_regressors!$A$2:$A$2000,0)+1,MATCH(F$2,vdata_regressors!$A$1:$R$1,0)),"")</f>
        <v/>
      </c>
      <c r="G529" s="23" t="str">
        <f>IFERROR(INDEX(vdata_regressors!$A$1:$L$2000,MATCH($A529,vdata_regressors!$A$2:$A$2000,0)+1,MATCH(G$2,vdata_regressors!$A$1:$R$1,0)),"")</f>
        <v/>
      </c>
      <c r="H529" s="23" t="str">
        <f>IFERROR(INDEX(vdata_regressors!$A$1:$L$2000,MATCH($A529,vdata_regressors!$A$2:$A$2000,0)+1,MATCH(H$2,vdata_regressors!$A$1:$R$1,0)),"")</f>
        <v/>
      </c>
      <c r="I529" s="23" t="str">
        <f>IFERROR(INDEX(vdata_regressors!$A$1:$L$2000,MATCH($A529,vdata_regressors!$A$2:$A$2000,0)+1,MATCH(I$2,vdata_regressors!$A$1:$R$1,0)),"")</f>
        <v/>
      </c>
      <c r="J529" s="23" t="str">
        <f>IFERROR(INDEX(vdata_regressors!$A$1:$L$2000,MATCH($A529,vdata_regressors!$A$2:$A$2000,0)+1,MATCH(J$2,vdata_regressors!$A$1:$R$1,0)),"")</f>
        <v/>
      </c>
      <c r="K529" s="23" t="str">
        <f>IFERROR(INDEX(vdata_regressors!$A$1:$L$2000,MATCH($A529,vdata_regressors!$A$2:$A$2000,0)+1,MATCH(K$2,vdata_regressors!$A$1:$R$1,0)),"")</f>
        <v/>
      </c>
      <c r="L529" s="23" t="str">
        <f>IFERROR(INDEX(vdata_regressors!$A$1:$L$2000,MATCH($A529,vdata_regressors!$A$2:$A$2000,0)+1,MATCH(L$2,vdata_regressors!$A$1:$R$1,0)),"")</f>
        <v/>
      </c>
      <c r="M529" s="23" t="str">
        <f>IFERROR(VLOOKUP(A529,vdata_hours!$A$2:$B$1000,2,FALSE),"")</f>
        <v/>
      </c>
    </row>
    <row r="530" spans="1:13" x14ac:dyDescent="0.25">
      <c r="A530" s="23" t="str">
        <f>IF(vdata_hours!A529=0,"",vdata_hours!A529)</f>
        <v/>
      </c>
      <c r="B530" s="23" t="str">
        <f>IFERROR(INDEX(vdata_regressors!$A$1:$L$2000,MATCH($A530,vdata_regressors!$A$2:$A$2000,0)+1,MATCH(B$2,vdata_regressors!$A$1:$R$1,0)),"")</f>
        <v/>
      </c>
      <c r="C530" s="23" t="str">
        <f>IFERROR(INDEX(vdata_regressors!$A$1:$L$2000,MATCH($A530,vdata_regressors!$A$2:$A$2000,0)+1,MATCH(C$2,vdata_regressors!$A$1:$R$1,0)),"")</f>
        <v/>
      </c>
      <c r="D530" s="23" t="str">
        <f>IFERROR(INDEX(vdata_regressors!$A$1:$L$2000,MATCH($A530,vdata_regressors!$A$2:$A$2000,0)+1,MATCH(D$2,vdata_regressors!$A$1:$R$1,0)),"")</f>
        <v/>
      </c>
      <c r="E530" s="23" t="str">
        <f>IFERROR(INDEX(vdata_regressors!$A$1:$L$2000,MATCH($A530,vdata_regressors!$A$2:$A$2000,0)+1,MATCH(E$2,vdata_regressors!$A$1:$R$1,0)),"")</f>
        <v/>
      </c>
      <c r="F530" s="23" t="str">
        <f>IFERROR(INDEX(vdata_regressors!$A$1:$L$2000,MATCH($A530,vdata_regressors!$A$2:$A$2000,0)+1,MATCH(F$2,vdata_regressors!$A$1:$R$1,0)),"")</f>
        <v/>
      </c>
      <c r="G530" s="23" t="str">
        <f>IFERROR(INDEX(vdata_regressors!$A$1:$L$2000,MATCH($A530,vdata_regressors!$A$2:$A$2000,0)+1,MATCH(G$2,vdata_regressors!$A$1:$R$1,0)),"")</f>
        <v/>
      </c>
      <c r="H530" s="23" t="str">
        <f>IFERROR(INDEX(vdata_regressors!$A$1:$L$2000,MATCH($A530,vdata_regressors!$A$2:$A$2000,0)+1,MATCH(H$2,vdata_regressors!$A$1:$R$1,0)),"")</f>
        <v/>
      </c>
      <c r="I530" s="23" t="str">
        <f>IFERROR(INDEX(vdata_regressors!$A$1:$L$2000,MATCH($A530,vdata_regressors!$A$2:$A$2000,0)+1,MATCH(I$2,vdata_regressors!$A$1:$R$1,0)),"")</f>
        <v/>
      </c>
      <c r="J530" s="23" t="str">
        <f>IFERROR(INDEX(vdata_regressors!$A$1:$L$2000,MATCH($A530,vdata_regressors!$A$2:$A$2000,0)+1,MATCH(J$2,vdata_regressors!$A$1:$R$1,0)),"")</f>
        <v/>
      </c>
      <c r="K530" s="23" t="str">
        <f>IFERROR(INDEX(vdata_regressors!$A$1:$L$2000,MATCH($A530,vdata_regressors!$A$2:$A$2000,0)+1,MATCH(K$2,vdata_regressors!$A$1:$R$1,0)),"")</f>
        <v/>
      </c>
      <c r="L530" s="23" t="str">
        <f>IFERROR(INDEX(vdata_regressors!$A$1:$L$2000,MATCH($A530,vdata_regressors!$A$2:$A$2000,0)+1,MATCH(L$2,vdata_regressors!$A$1:$R$1,0)),"")</f>
        <v/>
      </c>
      <c r="M530" s="23" t="str">
        <f>IFERROR(VLOOKUP(A530,vdata_hours!$A$2:$B$1000,2,FALSE),"")</f>
        <v/>
      </c>
    </row>
    <row r="531" spans="1:13" x14ac:dyDescent="0.25">
      <c r="A531" s="23" t="str">
        <f>IF(vdata_hours!A530=0,"",vdata_hours!A530)</f>
        <v/>
      </c>
      <c r="B531" s="23" t="str">
        <f>IFERROR(INDEX(vdata_regressors!$A$1:$L$2000,MATCH($A531,vdata_regressors!$A$2:$A$2000,0)+1,MATCH(B$2,vdata_regressors!$A$1:$R$1,0)),"")</f>
        <v/>
      </c>
      <c r="C531" s="23" t="str">
        <f>IFERROR(INDEX(vdata_regressors!$A$1:$L$2000,MATCH($A531,vdata_regressors!$A$2:$A$2000,0)+1,MATCH(C$2,vdata_regressors!$A$1:$R$1,0)),"")</f>
        <v/>
      </c>
      <c r="D531" s="23" t="str">
        <f>IFERROR(INDEX(vdata_regressors!$A$1:$L$2000,MATCH($A531,vdata_regressors!$A$2:$A$2000,0)+1,MATCH(D$2,vdata_regressors!$A$1:$R$1,0)),"")</f>
        <v/>
      </c>
      <c r="E531" s="23" t="str">
        <f>IFERROR(INDEX(vdata_regressors!$A$1:$L$2000,MATCH($A531,vdata_regressors!$A$2:$A$2000,0)+1,MATCH(E$2,vdata_regressors!$A$1:$R$1,0)),"")</f>
        <v/>
      </c>
      <c r="F531" s="23" t="str">
        <f>IFERROR(INDEX(vdata_regressors!$A$1:$L$2000,MATCH($A531,vdata_regressors!$A$2:$A$2000,0)+1,MATCH(F$2,vdata_regressors!$A$1:$R$1,0)),"")</f>
        <v/>
      </c>
      <c r="G531" s="23" t="str">
        <f>IFERROR(INDEX(vdata_regressors!$A$1:$L$2000,MATCH($A531,vdata_regressors!$A$2:$A$2000,0)+1,MATCH(G$2,vdata_regressors!$A$1:$R$1,0)),"")</f>
        <v/>
      </c>
      <c r="H531" s="23" t="str">
        <f>IFERROR(INDEX(vdata_regressors!$A$1:$L$2000,MATCH($A531,vdata_regressors!$A$2:$A$2000,0)+1,MATCH(H$2,vdata_regressors!$A$1:$R$1,0)),"")</f>
        <v/>
      </c>
      <c r="I531" s="23" t="str">
        <f>IFERROR(INDEX(vdata_regressors!$A$1:$L$2000,MATCH($A531,vdata_regressors!$A$2:$A$2000,0)+1,MATCH(I$2,vdata_regressors!$A$1:$R$1,0)),"")</f>
        <v/>
      </c>
      <c r="J531" s="23" t="str">
        <f>IFERROR(INDEX(vdata_regressors!$A$1:$L$2000,MATCH($A531,vdata_regressors!$A$2:$A$2000,0)+1,MATCH(J$2,vdata_regressors!$A$1:$R$1,0)),"")</f>
        <v/>
      </c>
      <c r="K531" s="23" t="str">
        <f>IFERROR(INDEX(vdata_regressors!$A$1:$L$2000,MATCH($A531,vdata_regressors!$A$2:$A$2000,0)+1,MATCH(K$2,vdata_regressors!$A$1:$R$1,0)),"")</f>
        <v/>
      </c>
      <c r="L531" s="23" t="str">
        <f>IFERROR(INDEX(vdata_regressors!$A$1:$L$2000,MATCH($A531,vdata_regressors!$A$2:$A$2000,0)+1,MATCH(L$2,vdata_regressors!$A$1:$R$1,0)),"")</f>
        <v/>
      </c>
      <c r="M531" s="23" t="str">
        <f>IFERROR(VLOOKUP(A531,vdata_hours!$A$2:$B$1000,2,FALSE),"")</f>
        <v/>
      </c>
    </row>
    <row r="532" spans="1:13" x14ac:dyDescent="0.25">
      <c r="A532" s="23" t="str">
        <f>IF(vdata_hours!A531=0,"",vdata_hours!A531)</f>
        <v/>
      </c>
      <c r="B532" s="23" t="str">
        <f>IFERROR(INDEX(vdata_regressors!$A$1:$L$2000,MATCH($A532,vdata_regressors!$A$2:$A$2000,0)+1,MATCH(B$2,vdata_regressors!$A$1:$R$1,0)),"")</f>
        <v/>
      </c>
      <c r="C532" s="23" t="str">
        <f>IFERROR(INDEX(vdata_regressors!$A$1:$L$2000,MATCH($A532,vdata_regressors!$A$2:$A$2000,0)+1,MATCH(C$2,vdata_regressors!$A$1:$R$1,0)),"")</f>
        <v/>
      </c>
      <c r="D532" s="23" t="str">
        <f>IFERROR(INDEX(vdata_regressors!$A$1:$L$2000,MATCH($A532,vdata_regressors!$A$2:$A$2000,0)+1,MATCH(D$2,vdata_regressors!$A$1:$R$1,0)),"")</f>
        <v/>
      </c>
      <c r="E532" s="23" t="str">
        <f>IFERROR(INDEX(vdata_regressors!$A$1:$L$2000,MATCH($A532,vdata_regressors!$A$2:$A$2000,0)+1,MATCH(E$2,vdata_regressors!$A$1:$R$1,0)),"")</f>
        <v/>
      </c>
      <c r="F532" s="23" t="str">
        <f>IFERROR(INDEX(vdata_regressors!$A$1:$L$2000,MATCH($A532,vdata_regressors!$A$2:$A$2000,0)+1,MATCH(F$2,vdata_regressors!$A$1:$R$1,0)),"")</f>
        <v/>
      </c>
      <c r="G532" s="23" t="str">
        <f>IFERROR(INDEX(vdata_regressors!$A$1:$L$2000,MATCH($A532,vdata_regressors!$A$2:$A$2000,0)+1,MATCH(G$2,vdata_regressors!$A$1:$R$1,0)),"")</f>
        <v/>
      </c>
      <c r="H532" s="23" t="str">
        <f>IFERROR(INDEX(vdata_regressors!$A$1:$L$2000,MATCH($A532,vdata_regressors!$A$2:$A$2000,0)+1,MATCH(H$2,vdata_regressors!$A$1:$R$1,0)),"")</f>
        <v/>
      </c>
      <c r="I532" s="23" t="str">
        <f>IFERROR(INDEX(vdata_regressors!$A$1:$L$2000,MATCH($A532,vdata_regressors!$A$2:$A$2000,0)+1,MATCH(I$2,vdata_regressors!$A$1:$R$1,0)),"")</f>
        <v/>
      </c>
      <c r="J532" s="23" t="str">
        <f>IFERROR(INDEX(vdata_regressors!$A$1:$L$2000,MATCH($A532,vdata_regressors!$A$2:$A$2000,0)+1,MATCH(J$2,vdata_regressors!$A$1:$R$1,0)),"")</f>
        <v/>
      </c>
      <c r="K532" s="23" t="str">
        <f>IFERROR(INDEX(vdata_regressors!$A$1:$L$2000,MATCH($A532,vdata_regressors!$A$2:$A$2000,0)+1,MATCH(K$2,vdata_regressors!$A$1:$R$1,0)),"")</f>
        <v/>
      </c>
      <c r="L532" s="23" t="str">
        <f>IFERROR(INDEX(vdata_regressors!$A$1:$L$2000,MATCH($A532,vdata_regressors!$A$2:$A$2000,0)+1,MATCH(L$2,vdata_regressors!$A$1:$R$1,0)),"")</f>
        <v/>
      </c>
      <c r="M532" s="23" t="str">
        <f>IFERROR(VLOOKUP(A532,vdata_hours!$A$2:$B$1000,2,FALSE),"")</f>
        <v/>
      </c>
    </row>
    <row r="533" spans="1:13" x14ac:dyDescent="0.25">
      <c r="A533" s="23" t="str">
        <f>IF(vdata_hours!A532=0,"",vdata_hours!A532)</f>
        <v/>
      </c>
      <c r="B533" s="23" t="str">
        <f>IFERROR(INDEX(vdata_regressors!$A$1:$L$2000,MATCH($A533,vdata_regressors!$A$2:$A$2000,0)+1,MATCH(B$2,vdata_regressors!$A$1:$R$1,0)),"")</f>
        <v/>
      </c>
      <c r="C533" s="23" t="str">
        <f>IFERROR(INDEX(vdata_regressors!$A$1:$L$2000,MATCH($A533,vdata_regressors!$A$2:$A$2000,0)+1,MATCH(C$2,vdata_regressors!$A$1:$R$1,0)),"")</f>
        <v/>
      </c>
      <c r="D533" s="23" t="str">
        <f>IFERROR(INDEX(vdata_regressors!$A$1:$L$2000,MATCH($A533,vdata_regressors!$A$2:$A$2000,0)+1,MATCH(D$2,vdata_regressors!$A$1:$R$1,0)),"")</f>
        <v/>
      </c>
      <c r="E533" s="23" t="str">
        <f>IFERROR(INDEX(vdata_regressors!$A$1:$L$2000,MATCH($A533,vdata_regressors!$A$2:$A$2000,0)+1,MATCH(E$2,vdata_regressors!$A$1:$R$1,0)),"")</f>
        <v/>
      </c>
      <c r="F533" s="23" t="str">
        <f>IFERROR(INDEX(vdata_regressors!$A$1:$L$2000,MATCH($A533,vdata_regressors!$A$2:$A$2000,0)+1,MATCH(F$2,vdata_regressors!$A$1:$R$1,0)),"")</f>
        <v/>
      </c>
      <c r="G533" s="23" t="str">
        <f>IFERROR(INDEX(vdata_regressors!$A$1:$L$2000,MATCH($A533,vdata_regressors!$A$2:$A$2000,0)+1,MATCH(G$2,vdata_regressors!$A$1:$R$1,0)),"")</f>
        <v/>
      </c>
      <c r="H533" s="23" t="str">
        <f>IFERROR(INDEX(vdata_regressors!$A$1:$L$2000,MATCH($A533,vdata_regressors!$A$2:$A$2000,0)+1,MATCH(H$2,vdata_regressors!$A$1:$R$1,0)),"")</f>
        <v/>
      </c>
      <c r="I533" s="23" t="str">
        <f>IFERROR(INDEX(vdata_regressors!$A$1:$L$2000,MATCH($A533,vdata_regressors!$A$2:$A$2000,0)+1,MATCH(I$2,vdata_regressors!$A$1:$R$1,0)),"")</f>
        <v/>
      </c>
      <c r="J533" s="23" t="str">
        <f>IFERROR(INDEX(vdata_regressors!$A$1:$L$2000,MATCH($A533,vdata_regressors!$A$2:$A$2000,0)+1,MATCH(J$2,vdata_regressors!$A$1:$R$1,0)),"")</f>
        <v/>
      </c>
      <c r="K533" s="23" t="str">
        <f>IFERROR(INDEX(vdata_regressors!$A$1:$L$2000,MATCH($A533,vdata_regressors!$A$2:$A$2000,0)+1,MATCH(K$2,vdata_regressors!$A$1:$R$1,0)),"")</f>
        <v/>
      </c>
      <c r="L533" s="23" t="str">
        <f>IFERROR(INDEX(vdata_regressors!$A$1:$L$2000,MATCH($A533,vdata_regressors!$A$2:$A$2000,0)+1,MATCH(L$2,vdata_regressors!$A$1:$R$1,0)),"")</f>
        <v/>
      </c>
      <c r="M533" s="23" t="str">
        <f>IFERROR(VLOOKUP(A533,vdata_hours!$A$2:$B$1000,2,FALSE),"")</f>
        <v/>
      </c>
    </row>
    <row r="534" spans="1:13" x14ac:dyDescent="0.25">
      <c r="A534" s="23" t="str">
        <f>IF(vdata_hours!A533=0,"",vdata_hours!A533)</f>
        <v/>
      </c>
      <c r="B534" s="23" t="str">
        <f>IFERROR(INDEX(vdata_regressors!$A$1:$L$2000,MATCH($A534,vdata_regressors!$A$2:$A$2000,0)+1,MATCH(B$2,vdata_regressors!$A$1:$R$1,0)),"")</f>
        <v/>
      </c>
      <c r="C534" s="23" t="str">
        <f>IFERROR(INDEX(vdata_regressors!$A$1:$L$2000,MATCH($A534,vdata_regressors!$A$2:$A$2000,0)+1,MATCH(C$2,vdata_regressors!$A$1:$R$1,0)),"")</f>
        <v/>
      </c>
      <c r="D534" s="23" t="str">
        <f>IFERROR(INDEX(vdata_regressors!$A$1:$L$2000,MATCH($A534,vdata_regressors!$A$2:$A$2000,0)+1,MATCH(D$2,vdata_regressors!$A$1:$R$1,0)),"")</f>
        <v/>
      </c>
      <c r="E534" s="23" t="str">
        <f>IFERROR(INDEX(vdata_regressors!$A$1:$L$2000,MATCH($A534,vdata_regressors!$A$2:$A$2000,0)+1,MATCH(E$2,vdata_regressors!$A$1:$R$1,0)),"")</f>
        <v/>
      </c>
      <c r="F534" s="23" t="str">
        <f>IFERROR(INDEX(vdata_regressors!$A$1:$L$2000,MATCH($A534,vdata_regressors!$A$2:$A$2000,0)+1,MATCH(F$2,vdata_regressors!$A$1:$R$1,0)),"")</f>
        <v/>
      </c>
      <c r="G534" s="23" t="str">
        <f>IFERROR(INDEX(vdata_regressors!$A$1:$L$2000,MATCH($A534,vdata_regressors!$A$2:$A$2000,0)+1,MATCH(G$2,vdata_regressors!$A$1:$R$1,0)),"")</f>
        <v/>
      </c>
      <c r="H534" s="23" t="str">
        <f>IFERROR(INDEX(vdata_regressors!$A$1:$L$2000,MATCH($A534,vdata_regressors!$A$2:$A$2000,0)+1,MATCH(H$2,vdata_regressors!$A$1:$R$1,0)),"")</f>
        <v/>
      </c>
      <c r="I534" s="23" t="str">
        <f>IFERROR(INDEX(vdata_regressors!$A$1:$L$2000,MATCH($A534,vdata_regressors!$A$2:$A$2000,0)+1,MATCH(I$2,vdata_regressors!$A$1:$R$1,0)),"")</f>
        <v/>
      </c>
      <c r="J534" s="23" t="str">
        <f>IFERROR(INDEX(vdata_regressors!$A$1:$L$2000,MATCH($A534,vdata_regressors!$A$2:$A$2000,0)+1,MATCH(J$2,vdata_regressors!$A$1:$R$1,0)),"")</f>
        <v/>
      </c>
      <c r="K534" s="23" t="str">
        <f>IFERROR(INDEX(vdata_regressors!$A$1:$L$2000,MATCH($A534,vdata_regressors!$A$2:$A$2000,0)+1,MATCH(K$2,vdata_regressors!$A$1:$R$1,0)),"")</f>
        <v/>
      </c>
      <c r="L534" s="23" t="str">
        <f>IFERROR(INDEX(vdata_regressors!$A$1:$L$2000,MATCH($A534,vdata_regressors!$A$2:$A$2000,0)+1,MATCH(L$2,vdata_regressors!$A$1:$R$1,0)),"")</f>
        <v/>
      </c>
      <c r="M534" s="23" t="str">
        <f>IFERROR(VLOOKUP(A534,vdata_hours!$A$2:$B$1000,2,FALSE),"")</f>
        <v/>
      </c>
    </row>
    <row r="535" spans="1:13" x14ac:dyDescent="0.25">
      <c r="A535" s="23" t="str">
        <f>IF(vdata_hours!A534=0,"",vdata_hours!A534)</f>
        <v/>
      </c>
      <c r="B535" s="23" t="str">
        <f>IFERROR(INDEX(vdata_regressors!$A$1:$L$2000,MATCH($A535,vdata_regressors!$A$2:$A$2000,0)+1,MATCH(B$2,vdata_regressors!$A$1:$R$1,0)),"")</f>
        <v/>
      </c>
      <c r="C535" s="23" t="str">
        <f>IFERROR(INDEX(vdata_regressors!$A$1:$L$2000,MATCH($A535,vdata_regressors!$A$2:$A$2000,0)+1,MATCH(C$2,vdata_regressors!$A$1:$R$1,0)),"")</f>
        <v/>
      </c>
      <c r="D535" s="23" t="str">
        <f>IFERROR(INDEX(vdata_regressors!$A$1:$L$2000,MATCH($A535,vdata_regressors!$A$2:$A$2000,0)+1,MATCH(D$2,vdata_regressors!$A$1:$R$1,0)),"")</f>
        <v/>
      </c>
      <c r="E535" s="23" t="str">
        <f>IFERROR(INDEX(vdata_regressors!$A$1:$L$2000,MATCH($A535,vdata_regressors!$A$2:$A$2000,0)+1,MATCH(E$2,vdata_regressors!$A$1:$R$1,0)),"")</f>
        <v/>
      </c>
      <c r="F535" s="23" t="str">
        <f>IFERROR(INDEX(vdata_regressors!$A$1:$L$2000,MATCH($A535,vdata_regressors!$A$2:$A$2000,0)+1,MATCH(F$2,vdata_regressors!$A$1:$R$1,0)),"")</f>
        <v/>
      </c>
      <c r="G535" s="23" t="str">
        <f>IFERROR(INDEX(vdata_regressors!$A$1:$L$2000,MATCH($A535,vdata_regressors!$A$2:$A$2000,0)+1,MATCH(G$2,vdata_regressors!$A$1:$R$1,0)),"")</f>
        <v/>
      </c>
      <c r="H535" s="23" t="str">
        <f>IFERROR(INDEX(vdata_regressors!$A$1:$L$2000,MATCH($A535,vdata_regressors!$A$2:$A$2000,0)+1,MATCH(H$2,vdata_regressors!$A$1:$R$1,0)),"")</f>
        <v/>
      </c>
      <c r="I535" s="23" t="str">
        <f>IFERROR(INDEX(vdata_regressors!$A$1:$L$2000,MATCH($A535,vdata_regressors!$A$2:$A$2000,0)+1,MATCH(I$2,vdata_regressors!$A$1:$R$1,0)),"")</f>
        <v/>
      </c>
      <c r="J535" s="23" t="str">
        <f>IFERROR(INDEX(vdata_regressors!$A$1:$L$2000,MATCH($A535,vdata_regressors!$A$2:$A$2000,0)+1,MATCH(J$2,vdata_regressors!$A$1:$R$1,0)),"")</f>
        <v/>
      </c>
      <c r="K535" s="23" t="str">
        <f>IFERROR(INDEX(vdata_regressors!$A$1:$L$2000,MATCH($A535,vdata_regressors!$A$2:$A$2000,0)+1,MATCH(K$2,vdata_regressors!$A$1:$R$1,0)),"")</f>
        <v/>
      </c>
      <c r="L535" s="23" t="str">
        <f>IFERROR(INDEX(vdata_regressors!$A$1:$L$2000,MATCH($A535,vdata_regressors!$A$2:$A$2000,0)+1,MATCH(L$2,vdata_regressors!$A$1:$R$1,0)),"")</f>
        <v/>
      </c>
      <c r="M535" s="23" t="str">
        <f>IFERROR(VLOOKUP(A535,vdata_hours!$A$2:$B$1000,2,FALSE),"")</f>
        <v/>
      </c>
    </row>
    <row r="536" spans="1:13" x14ac:dyDescent="0.25">
      <c r="A536" s="23" t="str">
        <f>IF(vdata_hours!A535=0,"",vdata_hours!A535)</f>
        <v/>
      </c>
      <c r="B536" s="23" t="str">
        <f>IFERROR(INDEX(vdata_regressors!$A$1:$L$2000,MATCH($A536,vdata_regressors!$A$2:$A$2000,0)+1,MATCH(B$2,vdata_regressors!$A$1:$R$1,0)),"")</f>
        <v/>
      </c>
      <c r="C536" s="23" t="str">
        <f>IFERROR(INDEX(vdata_regressors!$A$1:$L$2000,MATCH($A536,vdata_regressors!$A$2:$A$2000,0)+1,MATCH(C$2,vdata_regressors!$A$1:$R$1,0)),"")</f>
        <v/>
      </c>
      <c r="D536" s="23" t="str">
        <f>IFERROR(INDEX(vdata_regressors!$A$1:$L$2000,MATCH($A536,vdata_regressors!$A$2:$A$2000,0)+1,MATCH(D$2,vdata_regressors!$A$1:$R$1,0)),"")</f>
        <v/>
      </c>
      <c r="E536" s="23" t="str">
        <f>IFERROR(INDEX(vdata_regressors!$A$1:$L$2000,MATCH($A536,vdata_regressors!$A$2:$A$2000,0)+1,MATCH(E$2,vdata_regressors!$A$1:$R$1,0)),"")</f>
        <v/>
      </c>
      <c r="F536" s="23" t="str">
        <f>IFERROR(INDEX(vdata_regressors!$A$1:$L$2000,MATCH($A536,vdata_regressors!$A$2:$A$2000,0)+1,MATCH(F$2,vdata_regressors!$A$1:$R$1,0)),"")</f>
        <v/>
      </c>
      <c r="G536" s="23" t="str">
        <f>IFERROR(INDEX(vdata_regressors!$A$1:$L$2000,MATCH($A536,vdata_regressors!$A$2:$A$2000,0)+1,MATCH(G$2,vdata_regressors!$A$1:$R$1,0)),"")</f>
        <v/>
      </c>
      <c r="H536" s="23" t="str">
        <f>IFERROR(INDEX(vdata_regressors!$A$1:$L$2000,MATCH($A536,vdata_regressors!$A$2:$A$2000,0)+1,MATCH(H$2,vdata_regressors!$A$1:$R$1,0)),"")</f>
        <v/>
      </c>
      <c r="I536" s="23" t="str">
        <f>IFERROR(INDEX(vdata_regressors!$A$1:$L$2000,MATCH($A536,vdata_regressors!$A$2:$A$2000,0)+1,MATCH(I$2,vdata_regressors!$A$1:$R$1,0)),"")</f>
        <v/>
      </c>
      <c r="J536" s="23" t="str">
        <f>IFERROR(INDEX(vdata_regressors!$A$1:$L$2000,MATCH($A536,vdata_regressors!$A$2:$A$2000,0)+1,MATCH(J$2,vdata_regressors!$A$1:$R$1,0)),"")</f>
        <v/>
      </c>
      <c r="K536" s="23" t="str">
        <f>IFERROR(INDEX(vdata_regressors!$A$1:$L$2000,MATCH($A536,vdata_regressors!$A$2:$A$2000,0)+1,MATCH(K$2,vdata_regressors!$A$1:$R$1,0)),"")</f>
        <v/>
      </c>
      <c r="L536" s="23" t="str">
        <f>IFERROR(INDEX(vdata_regressors!$A$1:$L$2000,MATCH($A536,vdata_regressors!$A$2:$A$2000,0)+1,MATCH(L$2,vdata_regressors!$A$1:$R$1,0)),"")</f>
        <v/>
      </c>
      <c r="M536" s="23" t="str">
        <f>IFERROR(VLOOKUP(A536,vdata_hours!$A$2:$B$1000,2,FALSE),"")</f>
        <v/>
      </c>
    </row>
    <row r="537" spans="1:13" x14ac:dyDescent="0.25">
      <c r="A537" s="23" t="str">
        <f>IF(vdata_hours!A536=0,"",vdata_hours!A536)</f>
        <v/>
      </c>
      <c r="B537" s="23" t="str">
        <f>IFERROR(INDEX(vdata_regressors!$A$1:$L$2000,MATCH($A537,vdata_regressors!$A$2:$A$2000,0)+1,MATCH(B$2,vdata_regressors!$A$1:$R$1,0)),"")</f>
        <v/>
      </c>
      <c r="C537" s="23" t="str">
        <f>IFERROR(INDEX(vdata_regressors!$A$1:$L$2000,MATCH($A537,vdata_regressors!$A$2:$A$2000,0)+1,MATCH(C$2,vdata_regressors!$A$1:$R$1,0)),"")</f>
        <v/>
      </c>
      <c r="D537" s="23" t="str">
        <f>IFERROR(INDEX(vdata_regressors!$A$1:$L$2000,MATCH($A537,vdata_regressors!$A$2:$A$2000,0)+1,MATCH(D$2,vdata_regressors!$A$1:$R$1,0)),"")</f>
        <v/>
      </c>
      <c r="E537" s="23" t="str">
        <f>IFERROR(INDEX(vdata_regressors!$A$1:$L$2000,MATCH($A537,vdata_regressors!$A$2:$A$2000,0)+1,MATCH(E$2,vdata_regressors!$A$1:$R$1,0)),"")</f>
        <v/>
      </c>
      <c r="F537" s="23" t="str">
        <f>IFERROR(INDEX(vdata_regressors!$A$1:$L$2000,MATCH($A537,vdata_regressors!$A$2:$A$2000,0)+1,MATCH(F$2,vdata_regressors!$A$1:$R$1,0)),"")</f>
        <v/>
      </c>
      <c r="G537" s="23" t="str">
        <f>IFERROR(INDEX(vdata_regressors!$A$1:$L$2000,MATCH($A537,vdata_regressors!$A$2:$A$2000,0)+1,MATCH(G$2,vdata_regressors!$A$1:$R$1,0)),"")</f>
        <v/>
      </c>
      <c r="H537" s="23" t="str">
        <f>IFERROR(INDEX(vdata_regressors!$A$1:$L$2000,MATCH($A537,vdata_regressors!$A$2:$A$2000,0)+1,MATCH(H$2,vdata_regressors!$A$1:$R$1,0)),"")</f>
        <v/>
      </c>
      <c r="I537" s="23" t="str">
        <f>IFERROR(INDEX(vdata_regressors!$A$1:$L$2000,MATCH($A537,vdata_regressors!$A$2:$A$2000,0)+1,MATCH(I$2,vdata_regressors!$A$1:$R$1,0)),"")</f>
        <v/>
      </c>
      <c r="J537" s="23" t="str">
        <f>IFERROR(INDEX(vdata_regressors!$A$1:$L$2000,MATCH($A537,vdata_regressors!$A$2:$A$2000,0)+1,MATCH(J$2,vdata_regressors!$A$1:$R$1,0)),"")</f>
        <v/>
      </c>
      <c r="K537" s="23" t="str">
        <f>IFERROR(INDEX(vdata_regressors!$A$1:$L$2000,MATCH($A537,vdata_regressors!$A$2:$A$2000,0)+1,MATCH(K$2,vdata_regressors!$A$1:$R$1,0)),"")</f>
        <v/>
      </c>
      <c r="L537" s="23" t="str">
        <f>IFERROR(INDEX(vdata_regressors!$A$1:$L$2000,MATCH($A537,vdata_regressors!$A$2:$A$2000,0)+1,MATCH(L$2,vdata_regressors!$A$1:$R$1,0)),"")</f>
        <v/>
      </c>
      <c r="M537" s="23" t="str">
        <f>IFERROR(VLOOKUP(A537,vdata_hours!$A$2:$B$1000,2,FALSE),"")</f>
        <v/>
      </c>
    </row>
    <row r="538" spans="1:13" x14ac:dyDescent="0.25">
      <c r="A538" s="23" t="str">
        <f>IF(vdata_hours!A537=0,"",vdata_hours!A537)</f>
        <v/>
      </c>
      <c r="B538" s="23" t="str">
        <f>IFERROR(INDEX(vdata_regressors!$A$1:$L$2000,MATCH($A538,vdata_regressors!$A$2:$A$2000,0)+1,MATCH(B$2,vdata_regressors!$A$1:$R$1,0)),"")</f>
        <v/>
      </c>
      <c r="C538" s="23" t="str">
        <f>IFERROR(INDEX(vdata_regressors!$A$1:$L$2000,MATCH($A538,vdata_regressors!$A$2:$A$2000,0)+1,MATCH(C$2,vdata_regressors!$A$1:$R$1,0)),"")</f>
        <v/>
      </c>
      <c r="D538" s="23" t="str">
        <f>IFERROR(INDEX(vdata_regressors!$A$1:$L$2000,MATCH($A538,vdata_regressors!$A$2:$A$2000,0)+1,MATCH(D$2,vdata_regressors!$A$1:$R$1,0)),"")</f>
        <v/>
      </c>
      <c r="E538" s="23" t="str">
        <f>IFERROR(INDEX(vdata_regressors!$A$1:$L$2000,MATCH($A538,vdata_regressors!$A$2:$A$2000,0)+1,MATCH(E$2,vdata_regressors!$A$1:$R$1,0)),"")</f>
        <v/>
      </c>
      <c r="F538" s="23" t="str">
        <f>IFERROR(INDEX(vdata_regressors!$A$1:$L$2000,MATCH($A538,vdata_regressors!$A$2:$A$2000,0)+1,MATCH(F$2,vdata_regressors!$A$1:$R$1,0)),"")</f>
        <v/>
      </c>
      <c r="G538" s="23" t="str">
        <f>IFERROR(INDEX(vdata_regressors!$A$1:$L$2000,MATCH($A538,vdata_regressors!$A$2:$A$2000,0)+1,MATCH(G$2,vdata_regressors!$A$1:$R$1,0)),"")</f>
        <v/>
      </c>
      <c r="H538" s="23" t="str">
        <f>IFERROR(INDEX(vdata_regressors!$A$1:$L$2000,MATCH($A538,vdata_regressors!$A$2:$A$2000,0)+1,MATCH(H$2,vdata_regressors!$A$1:$R$1,0)),"")</f>
        <v/>
      </c>
      <c r="I538" s="23" t="str">
        <f>IFERROR(INDEX(vdata_regressors!$A$1:$L$2000,MATCH($A538,vdata_regressors!$A$2:$A$2000,0)+1,MATCH(I$2,vdata_regressors!$A$1:$R$1,0)),"")</f>
        <v/>
      </c>
      <c r="J538" s="23" t="str">
        <f>IFERROR(INDEX(vdata_regressors!$A$1:$L$2000,MATCH($A538,vdata_regressors!$A$2:$A$2000,0)+1,MATCH(J$2,vdata_regressors!$A$1:$R$1,0)),"")</f>
        <v/>
      </c>
      <c r="K538" s="23" t="str">
        <f>IFERROR(INDEX(vdata_regressors!$A$1:$L$2000,MATCH($A538,vdata_regressors!$A$2:$A$2000,0)+1,MATCH(K$2,vdata_regressors!$A$1:$R$1,0)),"")</f>
        <v/>
      </c>
      <c r="L538" s="23" t="str">
        <f>IFERROR(INDEX(vdata_regressors!$A$1:$L$2000,MATCH($A538,vdata_regressors!$A$2:$A$2000,0)+1,MATCH(L$2,vdata_regressors!$A$1:$R$1,0)),"")</f>
        <v/>
      </c>
      <c r="M538" s="23" t="str">
        <f>IFERROR(VLOOKUP(A538,vdata_hours!$A$2:$B$1000,2,FALSE),"")</f>
        <v/>
      </c>
    </row>
    <row r="539" spans="1:13" x14ac:dyDescent="0.25">
      <c r="A539" s="23" t="str">
        <f>IF(vdata_hours!A538=0,"",vdata_hours!A538)</f>
        <v/>
      </c>
      <c r="B539" s="23" t="str">
        <f>IFERROR(INDEX(vdata_regressors!$A$1:$L$2000,MATCH($A539,vdata_regressors!$A$2:$A$2000,0)+1,MATCH(B$2,vdata_regressors!$A$1:$R$1,0)),"")</f>
        <v/>
      </c>
      <c r="C539" s="23" t="str">
        <f>IFERROR(INDEX(vdata_regressors!$A$1:$L$2000,MATCH($A539,vdata_regressors!$A$2:$A$2000,0)+1,MATCH(C$2,vdata_regressors!$A$1:$R$1,0)),"")</f>
        <v/>
      </c>
      <c r="D539" s="23" t="str">
        <f>IFERROR(INDEX(vdata_regressors!$A$1:$L$2000,MATCH($A539,vdata_regressors!$A$2:$A$2000,0)+1,MATCH(D$2,vdata_regressors!$A$1:$R$1,0)),"")</f>
        <v/>
      </c>
      <c r="E539" s="23" t="str">
        <f>IFERROR(INDEX(vdata_regressors!$A$1:$L$2000,MATCH($A539,vdata_regressors!$A$2:$A$2000,0)+1,MATCH(E$2,vdata_regressors!$A$1:$R$1,0)),"")</f>
        <v/>
      </c>
      <c r="F539" s="23" t="str">
        <f>IFERROR(INDEX(vdata_regressors!$A$1:$L$2000,MATCH($A539,vdata_regressors!$A$2:$A$2000,0)+1,MATCH(F$2,vdata_regressors!$A$1:$R$1,0)),"")</f>
        <v/>
      </c>
      <c r="G539" s="23" t="str">
        <f>IFERROR(INDEX(vdata_regressors!$A$1:$L$2000,MATCH($A539,vdata_regressors!$A$2:$A$2000,0)+1,MATCH(G$2,vdata_regressors!$A$1:$R$1,0)),"")</f>
        <v/>
      </c>
      <c r="H539" s="23" t="str">
        <f>IFERROR(INDEX(vdata_regressors!$A$1:$L$2000,MATCH($A539,vdata_regressors!$A$2:$A$2000,0)+1,MATCH(H$2,vdata_regressors!$A$1:$R$1,0)),"")</f>
        <v/>
      </c>
      <c r="I539" s="23" t="str">
        <f>IFERROR(INDEX(vdata_regressors!$A$1:$L$2000,MATCH($A539,vdata_regressors!$A$2:$A$2000,0)+1,MATCH(I$2,vdata_regressors!$A$1:$R$1,0)),"")</f>
        <v/>
      </c>
      <c r="J539" s="23" t="str">
        <f>IFERROR(INDEX(vdata_regressors!$A$1:$L$2000,MATCH($A539,vdata_regressors!$A$2:$A$2000,0)+1,MATCH(J$2,vdata_regressors!$A$1:$R$1,0)),"")</f>
        <v/>
      </c>
      <c r="K539" s="23" t="str">
        <f>IFERROR(INDEX(vdata_regressors!$A$1:$L$2000,MATCH($A539,vdata_regressors!$A$2:$A$2000,0)+1,MATCH(K$2,vdata_regressors!$A$1:$R$1,0)),"")</f>
        <v/>
      </c>
      <c r="L539" s="23" t="str">
        <f>IFERROR(INDEX(vdata_regressors!$A$1:$L$2000,MATCH($A539,vdata_regressors!$A$2:$A$2000,0)+1,MATCH(L$2,vdata_regressors!$A$1:$R$1,0)),"")</f>
        <v/>
      </c>
      <c r="M539" s="23" t="str">
        <f>IFERROR(VLOOKUP(A539,vdata_hours!$A$2:$B$1000,2,FALSE),"")</f>
        <v/>
      </c>
    </row>
    <row r="540" spans="1:13" x14ac:dyDescent="0.25">
      <c r="A540" s="23" t="str">
        <f>IF(vdata_hours!A539=0,"",vdata_hours!A539)</f>
        <v/>
      </c>
      <c r="B540" s="23" t="str">
        <f>IFERROR(INDEX(vdata_regressors!$A$1:$L$2000,MATCH($A540,vdata_regressors!$A$2:$A$2000,0)+1,MATCH(B$2,vdata_regressors!$A$1:$R$1,0)),"")</f>
        <v/>
      </c>
      <c r="C540" s="23" t="str">
        <f>IFERROR(INDEX(vdata_regressors!$A$1:$L$2000,MATCH($A540,vdata_regressors!$A$2:$A$2000,0)+1,MATCH(C$2,vdata_regressors!$A$1:$R$1,0)),"")</f>
        <v/>
      </c>
      <c r="D540" s="23" t="str">
        <f>IFERROR(INDEX(vdata_regressors!$A$1:$L$2000,MATCH($A540,vdata_regressors!$A$2:$A$2000,0)+1,MATCH(D$2,vdata_regressors!$A$1:$R$1,0)),"")</f>
        <v/>
      </c>
      <c r="E540" s="23" t="str">
        <f>IFERROR(INDEX(vdata_regressors!$A$1:$L$2000,MATCH($A540,vdata_regressors!$A$2:$A$2000,0)+1,MATCH(E$2,vdata_regressors!$A$1:$R$1,0)),"")</f>
        <v/>
      </c>
      <c r="F540" s="23" t="str">
        <f>IFERROR(INDEX(vdata_regressors!$A$1:$L$2000,MATCH($A540,vdata_regressors!$A$2:$A$2000,0)+1,MATCH(F$2,vdata_regressors!$A$1:$R$1,0)),"")</f>
        <v/>
      </c>
      <c r="G540" s="23" t="str">
        <f>IFERROR(INDEX(vdata_regressors!$A$1:$L$2000,MATCH($A540,vdata_regressors!$A$2:$A$2000,0)+1,MATCH(G$2,vdata_regressors!$A$1:$R$1,0)),"")</f>
        <v/>
      </c>
      <c r="H540" s="23" t="str">
        <f>IFERROR(INDEX(vdata_regressors!$A$1:$L$2000,MATCH($A540,vdata_regressors!$A$2:$A$2000,0)+1,MATCH(H$2,vdata_regressors!$A$1:$R$1,0)),"")</f>
        <v/>
      </c>
      <c r="I540" s="23" t="str">
        <f>IFERROR(INDEX(vdata_regressors!$A$1:$L$2000,MATCH($A540,vdata_regressors!$A$2:$A$2000,0)+1,MATCH(I$2,vdata_regressors!$A$1:$R$1,0)),"")</f>
        <v/>
      </c>
      <c r="J540" s="23" t="str">
        <f>IFERROR(INDEX(vdata_regressors!$A$1:$L$2000,MATCH($A540,vdata_regressors!$A$2:$A$2000,0)+1,MATCH(J$2,vdata_regressors!$A$1:$R$1,0)),"")</f>
        <v/>
      </c>
      <c r="K540" s="23" t="str">
        <f>IFERROR(INDEX(vdata_regressors!$A$1:$L$2000,MATCH($A540,vdata_regressors!$A$2:$A$2000,0)+1,MATCH(K$2,vdata_regressors!$A$1:$R$1,0)),"")</f>
        <v/>
      </c>
      <c r="L540" s="23" t="str">
        <f>IFERROR(INDEX(vdata_regressors!$A$1:$L$2000,MATCH($A540,vdata_regressors!$A$2:$A$2000,0)+1,MATCH(L$2,vdata_regressors!$A$1:$R$1,0)),"")</f>
        <v/>
      </c>
      <c r="M540" s="23" t="str">
        <f>IFERROR(VLOOKUP(A540,vdata_hours!$A$2:$B$1000,2,FALSE),"")</f>
        <v/>
      </c>
    </row>
    <row r="541" spans="1:13" x14ac:dyDescent="0.25">
      <c r="A541" s="23" t="str">
        <f>IF(vdata_hours!A540=0,"",vdata_hours!A540)</f>
        <v/>
      </c>
      <c r="B541" s="23" t="str">
        <f>IFERROR(INDEX(vdata_regressors!$A$1:$L$2000,MATCH($A541,vdata_regressors!$A$2:$A$2000,0)+1,MATCH(B$2,vdata_regressors!$A$1:$R$1,0)),"")</f>
        <v/>
      </c>
      <c r="C541" s="23" t="str">
        <f>IFERROR(INDEX(vdata_regressors!$A$1:$L$2000,MATCH($A541,vdata_regressors!$A$2:$A$2000,0)+1,MATCH(C$2,vdata_regressors!$A$1:$R$1,0)),"")</f>
        <v/>
      </c>
      <c r="D541" s="23" t="str">
        <f>IFERROR(INDEX(vdata_regressors!$A$1:$L$2000,MATCH($A541,vdata_regressors!$A$2:$A$2000,0)+1,MATCH(D$2,vdata_regressors!$A$1:$R$1,0)),"")</f>
        <v/>
      </c>
      <c r="E541" s="23" t="str">
        <f>IFERROR(INDEX(vdata_regressors!$A$1:$L$2000,MATCH($A541,vdata_regressors!$A$2:$A$2000,0)+1,MATCH(E$2,vdata_regressors!$A$1:$R$1,0)),"")</f>
        <v/>
      </c>
      <c r="F541" s="23" t="str">
        <f>IFERROR(INDEX(vdata_regressors!$A$1:$L$2000,MATCH($A541,vdata_regressors!$A$2:$A$2000,0)+1,MATCH(F$2,vdata_regressors!$A$1:$R$1,0)),"")</f>
        <v/>
      </c>
      <c r="G541" s="23" t="str">
        <f>IFERROR(INDEX(vdata_regressors!$A$1:$L$2000,MATCH($A541,vdata_regressors!$A$2:$A$2000,0)+1,MATCH(G$2,vdata_regressors!$A$1:$R$1,0)),"")</f>
        <v/>
      </c>
      <c r="H541" s="23" t="str">
        <f>IFERROR(INDEX(vdata_regressors!$A$1:$L$2000,MATCH($A541,vdata_regressors!$A$2:$A$2000,0)+1,MATCH(H$2,vdata_regressors!$A$1:$R$1,0)),"")</f>
        <v/>
      </c>
      <c r="I541" s="23" t="str">
        <f>IFERROR(INDEX(vdata_regressors!$A$1:$L$2000,MATCH($A541,vdata_regressors!$A$2:$A$2000,0)+1,MATCH(I$2,vdata_regressors!$A$1:$R$1,0)),"")</f>
        <v/>
      </c>
      <c r="J541" s="23" t="str">
        <f>IFERROR(INDEX(vdata_regressors!$A$1:$L$2000,MATCH($A541,vdata_regressors!$A$2:$A$2000,0)+1,MATCH(J$2,vdata_regressors!$A$1:$R$1,0)),"")</f>
        <v/>
      </c>
      <c r="K541" s="23" t="str">
        <f>IFERROR(INDEX(vdata_regressors!$A$1:$L$2000,MATCH($A541,vdata_regressors!$A$2:$A$2000,0)+1,MATCH(K$2,vdata_regressors!$A$1:$R$1,0)),"")</f>
        <v/>
      </c>
      <c r="L541" s="23" t="str">
        <f>IFERROR(INDEX(vdata_regressors!$A$1:$L$2000,MATCH($A541,vdata_regressors!$A$2:$A$2000,0)+1,MATCH(L$2,vdata_regressors!$A$1:$R$1,0)),"")</f>
        <v/>
      </c>
      <c r="M541" s="23" t="str">
        <f>IFERROR(VLOOKUP(A541,vdata_hours!$A$2:$B$1000,2,FALSE),"")</f>
        <v/>
      </c>
    </row>
    <row r="542" spans="1:13" x14ac:dyDescent="0.25">
      <c r="A542" s="23" t="str">
        <f>IF(vdata_hours!A541=0,"",vdata_hours!A541)</f>
        <v/>
      </c>
      <c r="B542" s="23" t="str">
        <f>IFERROR(INDEX(vdata_regressors!$A$1:$L$2000,MATCH($A542,vdata_regressors!$A$2:$A$2000,0)+1,MATCH(B$2,vdata_regressors!$A$1:$R$1,0)),"")</f>
        <v/>
      </c>
      <c r="C542" s="23" t="str">
        <f>IFERROR(INDEX(vdata_regressors!$A$1:$L$2000,MATCH($A542,vdata_regressors!$A$2:$A$2000,0)+1,MATCH(C$2,vdata_regressors!$A$1:$R$1,0)),"")</f>
        <v/>
      </c>
      <c r="D542" s="23" t="str">
        <f>IFERROR(INDEX(vdata_regressors!$A$1:$L$2000,MATCH($A542,vdata_regressors!$A$2:$A$2000,0)+1,MATCH(D$2,vdata_regressors!$A$1:$R$1,0)),"")</f>
        <v/>
      </c>
      <c r="E542" s="23" t="str">
        <f>IFERROR(INDEX(vdata_regressors!$A$1:$L$2000,MATCH($A542,vdata_regressors!$A$2:$A$2000,0)+1,MATCH(E$2,vdata_regressors!$A$1:$R$1,0)),"")</f>
        <v/>
      </c>
      <c r="F542" s="23" t="str">
        <f>IFERROR(INDEX(vdata_regressors!$A$1:$L$2000,MATCH($A542,vdata_regressors!$A$2:$A$2000,0)+1,MATCH(F$2,vdata_regressors!$A$1:$R$1,0)),"")</f>
        <v/>
      </c>
      <c r="G542" s="23" t="str">
        <f>IFERROR(INDEX(vdata_regressors!$A$1:$L$2000,MATCH($A542,vdata_regressors!$A$2:$A$2000,0)+1,MATCH(G$2,vdata_regressors!$A$1:$R$1,0)),"")</f>
        <v/>
      </c>
      <c r="H542" s="23" t="str">
        <f>IFERROR(INDEX(vdata_regressors!$A$1:$L$2000,MATCH($A542,vdata_regressors!$A$2:$A$2000,0)+1,MATCH(H$2,vdata_regressors!$A$1:$R$1,0)),"")</f>
        <v/>
      </c>
      <c r="I542" s="23" t="str">
        <f>IFERROR(INDEX(vdata_regressors!$A$1:$L$2000,MATCH($A542,vdata_regressors!$A$2:$A$2000,0)+1,MATCH(I$2,vdata_regressors!$A$1:$R$1,0)),"")</f>
        <v/>
      </c>
      <c r="J542" s="23" t="str">
        <f>IFERROR(INDEX(vdata_regressors!$A$1:$L$2000,MATCH($A542,vdata_regressors!$A$2:$A$2000,0)+1,MATCH(J$2,vdata_regressors!$A$1:$R$1,0)),"")</f>
        <v/>
      </c>
      <c r="K542" s="23" t="str">
        <f>IFERROR(INDEX(vdata_regressors!$A$1:$L$2000,MATCH($A542,vdata_regressors!$A$2:$A$2000,0)+1,MATCH(K$2,vdata_regressors!$A$1:$R$1,0)),"")</f>
        <v/>
      </c>
      <c r="L542" s="23" t="str">
        <f>IFERROR(INDEX(vdata_regressors!$A$1:$L$2000,MATCH($A542,vdata_regressors!$A$2:$A$2000,0)+1,MATCH(L$2,vdata_regressors!$A$1:$R$1,0)),"")</f>
        <v/>
      </c>
      <c r="M542" s="23" t="str">
        <f>IFERROR(VLOOKUP(A542,vdata_hours!$A$2:$B$1000,2,FALSE),"")</f>
        <v/>
      </c>
    </row>
    <row r="543" spans="1:13" x14ac:dyDescent="0.25">
      <c r="A543" s="23" t="str">
        <f>IF(vdata_hours!A542=0,"",vdata_hours!A542)</f>
        <v/>
      </c>
      <c r="B543" s="23" t="str">
        <f>IFERROR(INDEX(vdata_regressors!$A$1:$L$2000,MATCH($A543,vdata_regressors!$A$2:$A$2000,0)+1,MATCH(B$2,vdata_regressors!$A$1:$R$1,0)),"")</f>
        <v/>
      </c>
      <c r="C543" s="23" t="str">
        <f>IFERROR(INDEX(vdata_regressors!$A$1:$L$2000,MATCH($A543,vdata_regressors!$A$2:$A$2000,0)+1,MATCH(C$2,vdata_regressors!$A$1:$R$1,0)),"")</f>
        <v/>
      </c>
      <c r="D543" s="23" t="str">
        <f>IFERROR(INDEX(vdata_regressors!$A$1:$L$2000,MATCH($A543,vdata_regressors!$A$2:$A$2000,0)+1,MATCH(D$2,vdata_regressors!$A$1:$R$1,0)),"")</f>
        <v/>
      </c>
      <c r="E543" s="23" t="str">
        <f>IFERROR(INDEX(vdata_regressors!$A$1:$L$2000,MATCH($A543,vdata_regressors!$A$2:$A$2000,0)+1,MATCH(E$2,vdata_regressors!$A$1:$R$1,0)),"")</f>
        <v/>
      </c>
      <c r="F543" s="23" t="str">
        <f>IFERROR(INDEX(vdata_regressors!$A$1:$L$2000,MATCH($A543,vdata_regressors!$A$2:$A$2000,0)+1,MATCH(F$2,vdata_regressors!$A$1:$R$1,0)),"")</f>
        <v/>
      </c>
      <c r="G543" s="23" t="str">
        <f>IFERROR(INDEX(vdata_regressors!$A$1:$L$2000,MATCH($A543,vdata_regressors!$A$2:$A$2000,0)+1,MATCH(G$2,vdata_regressors!$A$1:$R$1,0)),"")</f>
        <v/>
      </c>
      <c r="H543" s="23" t="str">
        <f>IFERROR(INDEX(vdata_regressors!$A$1:$L$2000,MATCH($A543,vdata_regressors!$A$2:$A$2000,0)+1,MATCH(H$2,vdata_regressors!$A$1:$R$1,0)),"")</f>
        <v/>
      </c>
      <c r="I543" s="23" t="str">
        <f>IFERROR(INDEX(vdata_regressors!$A$1:$L$2000,MATCH($A543,vdata_regressors!$A$2:$A$2000,0)+1,MATCH(I$2,vdata_regressors!$A$1:$R$1,0)),"")</f>
        <v/>
      </c>
      <c r="J543" s="23" t="str">
        <f>IFERROR(INDEX(vdata_regressors!$A$1:$L$2000,MATCH($A543,vdata_regressors!$A$2:$A$2000,0)+1,MATCH(J$2,vdata_regressors!$A$1:$R$1,0)),"")</f>
        <v/>
      </c>
      <c r="K543" s="23" t="str">
        <f>IFERROR(INDEX(vdata_regressors!$A$1:$L$2000,MATCH($A543,vdata_regressors!$A$2:$A$2000,0)+1,MATCH(K$2,vdata_regressors!$A$1:$R$1,0)),"")</f>
        <v/>
      </c>
      <c r="L543" s="23" t="str">
        <f>IFERROR(INDEX(vdata_regressors!$A$1:$L$2000,MATCH($A543,vdata_regressors!$A$2:$A$2000,0)+1,MATCH(L$2,vdata_regressors!$A$1:$R$1,0)),"")</f>
        <v/>
      </c>
      <c r="M543" s="23" t="str">
        <f>IFERROR(VLOOKUP(A543,vdata_hours!$A$2:$B$1000,2,FALSE),"")</f>
        <v/>
      </c>
    </row>
    <row r="544" spans="1:13" x14ac:dyDescent="0.25">
      <c r="A544" s="23" t="str">
        <f>IF(vdata_hours!A543=0,"",vdata_hours!A543)</f>
        <v/>
      </c>
      <c r="B544" s="23" t="str">
        <f>IFERROR(INDEX(vdata_regressors!$A$1:$L$2000,MATCH($A544,vdata_regressors!$A$2:$A$2000,0)+1,MATCH(B$2,vdata_regressors!$A$1:$R$1,0)),"")</f>
        <v/>
      </c>
      <c r="C544" s="23" t="str">
        <f>IFERROR(INDEX(vdata_regressors!$A$1:$L$2000,MATCH($A544,vdata_regressors!$A$2:$A$2000,0)+1,MATCH(C$2,vdata_regressors!$A$1:$R$1,0)),"")</f>
        <v/>
      </c>
      <c r="D544" s="23" t="str">
        <f>IFERROR(INDEX(vdata_regressors!$A$1:$L$2000,MATCH($A544,vdata_regressors!$A$2:$A$2000,0)+1,MATCH(D$2,vdata_regressors!$A$1:$R$1,0)),"")</f>
        <v/>
      </c>
      <c r="E544" s="23" t="str">
        <f>IFERROR(INDEX(vdata_regressors!$A$1:$L$2000,MATCH($A544,vdata_regressors!$A$2:$A$2000,0)+1,MATCH(E$2,vdata_regressors!$A$1:$R$1,0)),"")</f>
        <v/>
      </c>
      <c r="F544" s="23" t="str">
        <f>IFERROR(INDEX(vdata_regressors!$A$1:$L$2000,MATCH($A544,vdata_regressors!$A$2:$A$2000,0)+1,MATCH(F$2,vdata_regressors!$A$1:$R$1,0)),"")</f>
        <v/>
      </c>
      <c r="G544" s="23" t="str">
        <f>IFERROR(INDEX(vdata_regressors!$A$1:$L$2000,MATCH($A544,vdata_regressors!$A$2:$A$2000,0)+1,MATCH(G$2,vdata_regressors!$A$1:$R$1,0)),"")</f>
        <v/>
      </c>
      <c r="H544" s="23" t="str">
        <f>IFERROR(INDEX(vdata_regressors!$A$1:$L$2000,MATCH($A544,vdata_regressors!$A$2:$A$2000,0)+1,MATCH(H$2,vdata_regressors!$A$1:$R$1,0)),"")</f>
        <v/>
      </c>
      <c r="I544" s="23" t="str">
        <f>IFERROR(INDEX(vdata_regressors!$A$1:$L$2000,MATCH($A544,vdata_regressors!$A$2:$A$2000,0)+1,MATCH(I$2,vdata_regressors!$A$1:$R$1,0)),"")</f>
        <v/>
      </c>
      <c r="J544" s="23" t="str">
        <f>IFERROR(INDEX(vdata_regressors!$A$1:$L$2000,MATCH($A544,vdata_regressors!$A$2:$A$2000,0)+1,MATCH(J$2,vdata_regressors!$A$1:$R$1,0)),"")</f>
        <v/>
      </c>
      <c r="K544" s="23" t="str">
        <f>IFERROR(INDEX(vdata_regressors!$A$1:$L$2000,MATCH($A544,vdata_regressors!$A$2:$A$2000,0)+1,MATCH(K$2,vdata_regressors!$A$1:$R$1,0)),"")</f>
        <v/>
      </c>
      <c r="L544" s="23" t="str">
        <f>IFERROR(INDEX(vdata_regressors!$A$1:$L$2000,MATCH($A544,vdata_regressors!$A$2:$A$2000,0)+1,MATCH(L$2,vdata_regressors!$A$1:$R$1,0)),"")</f>
        <v/>
      </c>
      <c r="M544" s="23" t="str">
        <f>IFERROR(VLOOKUP(A544,vdata_hours!$A$2:$B$1000,2,FALSE),"")</f>
        <v/>
      </c>
    </row>
    <row r="545" spans="1:13" x14ac:dyDescent="0.25">
      <c r="A545" s="23" t="str">
        <f>IF(vdata_hours!A544=0,"",vdata_hours!A544)</f>
        <v/>
      </c>
      <c r="B545" s="23" t="str">
        <f>IFERROR(INDEX(vdata_regressors!$A$1:$L$2000,MATCH($A545,vdata_regressors!$A$2:$A$2000,0)+1,MATCH(B$2,vdata_regressors!$A$1:$R$1,0)),"")</f>
        <v/>
      </c>
      <c r="C545" s="23" t="str">
        <f>IFERROR(INDEX(vdata_regressors!$A$1:$L$2000,MATCH($A545,vdata_regressors!$A$2:$A$2000,0)+1,MATCH(C$2,vdata_regressors!$A$1:$R$1,0)),"")</f>
        <v/>
      </c>
      <c r="D545" s="23" t="str">
        <f>IFERROR(INDEX(vdata_regressors!$A$1:$L$2000,MATCH($A545,vdata_regressors!$A$2:$A$2000,0)+1,MATCH(D$2,vdata_regressors!$A$1:$R$1,0)),"")</f>
        <v/>
      </c>
      <c r="E545" s="23" t="str">
        <f>IFERROR(INDEX(vdata_regressors!$A$1:$L$2000,MATCH($A545,vdata_regressors!$A$2:$A$2000,0)+1,MATCH(E$2,vdata_regressors!$A$1:$R$1,0)),"")</f>
        <v/>
      </c>
      <c r="F545" s="23" t="str">
        <f>IFERROR(INDEX(vdata_regressors!$A$1:$L$2000,MATCH($A545,vdata_regressors!$A$2:$A$2000,0)+1,MATCH(F$2,vdata_regressors!$A$1:$R$1,0)),"")</f>
        <v/>
      </c>
      <c r="G545" s="23" t="str">
        <f>IFERROR(INDEX(vdata_regressors!$A$1:$L$2000,MATCH($A545,vdata_regressors!$A$2:$A$2000,0)+1,MATCH(G$2,vdata_regressors!$A$1:$R$1,0)),"")</f>
        <v/>
      </c>
      <c r="H545" s="23" t="str">
        <f>IFERROR(INDEX(vdata_regressors!$A$1:$L$2000,MATCH($A545,vdata_regressors!$A$2:$A$2000,0)+1,MATCH(H$2,vdata_regressors!$A$1:$R$1,0)),"")</f>
        <v/>
      </c>
      <c r="I545" s="23" t="str">
        <f>IFERROR(INDEX(vdata_regressors!$A$1:$L$2000,MATCH($A545,vdata_regressors!$A$2:$A$2000,0)+1,MATCH(I$2,vdata_regressors!$A$1:$R$1,0)),"")</f>
        <v/>
      </c>
      <c r="J545" s="23" t="str">
        <f>IFERROR(INDEX(vdata_regressors!$A$1:$L$2000,MATCH($A545,vdata_regressors!$A$2:$A$2000,0)+1,MATCH(J$2,vdata_regressors!$A$1:$R$1,0)),"")</f>
        <v/>
      </c>
      <c r="K545" s="23" t="str">
        <f>IFERROR(INDEX(vdata_regressors!$A$1:$L$2000,MATCH($A545,vdata_regressors!$A$2:$A$2000,0)+1,MATCH(K$2,vdata_regressors!$A$1:$R$1,0)),"")</f>
        <v/>
      </c>
      <c r="L545" s="23" t="str">
        <f>IFERROR(INDEX(vdata_regressors!$A$1:$L$2000,MATCH($A545,vdata_regressors!$A$2:$A$2000,0)+1,MATCH(L$2,vdata_regressors!$A$1:$R$1,0)),"")</f>
        <v/>
      </c>
      <c r="M545" s="23" t="str">
        <f>IFERROR(VLOOKUP(A545,vdata_hours!$A$2:$B$1000,2,FALSE),"")</f>
        <v/>
      </c>
    </row>
    <row r="546" spans="1:13" x14ac:dyDescent="0.25">
      <c r="A546" s="23" t="str">
        <f>IF(vdata_hours!A545=0,"",vdata_hours!A545)</f>
        <v/>
      </c>
      <c r="B546" s="23" t="str">
        <f>IFERROR(INDEX(vdata_regressors!$A$1:$L$2000,MATCH($A546,vdata_regressors!$A$2:$A$2000,0)+1,MATCH(B$2,vdata_regressors!$A$1:$R$1,0)),"")</f>
        <v/>
      </c>
      <c r="C546" s="23" t="str">
        <f>IFERROR(INDEX(vdata_regressors!$A$1:$L$2000,MATCH($A546,vdata_regressors!$A$2:$A$2000,0)+1,MATCH(C$2,vdata_regressors!$A$1:$R$1,0)),"")</f>
        <v/>
      </c>
      <c r="D546" s="23" t="str">
        <f>IFERROR(INDEX(vdata_regressors!$A$1:$L$2000,MATCH($A546,vdata_regressors!$A$2:$A$2000,0)+1,MATCH(D$2,vdata_regressors!$A$1:$R$1,0)),"")</f>
        <v/>
      </c>
      <c r="E546" s="23" t="str">
        <f>IFERROR(INDEX(vdata_regressors!$A$1:$L$2000,MATCH($A546,vdata_regressors!$A$2:$A$2000,0)+1,MATCH(E$2,vdata_regressors!$A$1:$R$1,0)),"")</f>
        <v/>
      </c>
      <c r="F546" s="23" t="str">
        <f>IFERROR(INDEX(vdata_regressors!$A$1:$L$2000,MATCH($A546,vdata_regressors!$A$2:$A$2000,0)+1,MATCH(F$2,vdata_regressors!$A$1:$R$1,0)),"")</f>
        <v/>
      </c>
      <c r="G546" s="23" t="str">
        <f>IFERROR(INDEX(vdata_regressors!$A$1:$L$2000,MATCH($A546,vdata_regressors!$A$2:$A$2000,0)+1,MATCH(G$2,vdata_regressors!$A$1:$R$1,0)),"")</f>
        <v/>
      </c>
      <c r="H546" s="23" t="str">
        <f>IFERROR(INDEX(vdata_regressors!$A$1:$L$2000,MATCH($A546,vdata_regressors!$A$2:$A$2000,0)+1,MATCH(H$2,vdata_regressors!$A$1:$R$1,0)),"")</f>
        <v/>
      </c>
      <c r="I546" s="23" t="str">
        <f>IFERROR(INDEX(vdata_regressors!$A$1:$L$2000,MATCH($A546,vdata_regressors!$A$2:$A$2000,0)+1,MATCH(I$2,vdata_regressors!$A$1:$R$1,0)),"")</f>
        <v/>
      </c>
      <c r="J546" s="23" t="str">
        <f>IFERROR(INDEX(vdata_regressors!$A$1:$L$2000,MATCH($A546,vdata_regressors!$A$2:$A$2000,0)+1,MATCH(J$2,vdata_regressors!$A$1:$R$1,0)),"")</f>
        <v/>
      </c>
      <c r="K546" s="23" t="str">
        <f>IFERROR(INDEX(vdata_regressors!$A$1:$L$2000,MATCH($A546,vdata_regressors!$A$2:$A$2000,0)+1,MATCH(K$2,vdata_regressors!$A$1:$R$1,0)),"")</f>
        <v/>
      </c>
      <c r="L546" s="23" t="str">
        <f>IFERROR(INDEX(vdata_regressors!$A$1:$L$2000,MATCH($A546,vdata_regressors!$A$2:$A$2000,0)+1,MATCH(L$2,vdata_regressors!$A$1:$R$1,0)),"")</f>
        <v/>
      </c>
      <c r="M546" s="23" t="str">
        <f>IFERROR(VLOOKUP(A546,vdata_hours!$A$2:$B$1000,2,FALSE),"")</f>
        <v/>
      </c>
    </row>
    <row r="547" spans="1:13" x14ac:dyDescent="0.25">
      <c r="A547" s="23" t="str">
        <f>IF(vdata_hours!A546=0,"",vdata_hours!A546)</f>
        <v/>
      </c>
      <c r="B547" s="23" t="str">
        <f>IFERROR(INDEX(vdata_regressors!$A$1:$L$2000,MATCH($A547,vdata_regressors!$A$2:$A$2000,0)+1,MATCH(B$2,vdata_regressors!$A$1:$R$1,0)),"")</f>
        <v/>
      </c>
      <c r="C547" s="23" t="str">
        <f>IFERROR(INDEX(vdata_regressors!$A$1:$L$2000,MATCH($A547,vdata_regressors!$A$2:$A$2000,0)+1,MATCH(C$2,vdata_regressors!$A$1:$R$1,0)),"")</f>
        <v/>
      </c>
      <c r="D547" s="23" t="str">
        <f>IFERROR(INDEX(vdata_regressors!$A$1:$L$2000,MATCH($A547,vdata_regressors!$A$2:$A$2000,0)+1,MATCH(D$2,vdata_regressors!$A$1:$R$1,0)),"")</f>
        <v/>
      </c>
      <c r="E547" s="23" t="str">
        <f>IFERROR(INDEX(vdata_regressors!$A$1:$L$2000,MATCH($A547,vdata_regressors!$A$2:$A$2000,0)+1,MATCH(E$2,vdata_regressors!$A$1:$R$1,0)),"")</f>
        <v/>
      </c>
      <c r="F547" s="23" t="str">
        <f>IFERROR(INDEX(vdata_regressors!$A$1:$L$2000,MATCH($A547,vdata_regressors!$A$2:$A$2000,0)+1,MATCH(F$2,vdata_regressors!$A$1:$R$1,0)),"")</f>
        <v/>
      </c>
      <c r="G547" s="23" t="str">
        <f>IFERROR(INDEX(vdata_regressors!$A$1:$L$2000,MATCH($A547,vdata_regressors!$A$2:$A$2000,0)+1,MATCH(G$2,vdata_regressors!$A$1:$R$1,0)),"")</f>
        <v/>
      </c>
      <c r="H547" s="23" t="str">
        <f>IFERROR(INDEX(vdata_regressors!$A$1:$L$2000,MATCH($A547,vdata_regressors!$A$2:$A$2000,0)+1,MATCH(H$2,vdata_regressors!$A$1:$R$1,0)),"")</f>
        <v/>
      </c>
      <c r="I547" s="23" t="str">
        <f>IFERROR(INDEX(vdata_regressors!$A$1:$L$2000,MATCH($A547,vdata_regressors!$A$2:$A$2000,0)+1,MATCH(I$2,vdata_regressors!$A$1:$R$1,0)),"")</f>
        <v/>
      </c>
      <c r="J547" s="23" t="str">
        <f>IFERROR(INDEX(vdata_regressors!$A$1:$L$2000,MATCH($A547,vdata_regressors!$A$2:$A$2000,0)+1,MATCH(J$2,vdata_regressors!$A$1:$R$1,0)),"")</f>
        <v/>
      </c>
      <c r="K547" s="23" t="str">
        <f>IFERROR(INDEX(vdata_regressors!$A$1:$L$2000,MATCH($A547,vdata_regressors!$A$2:$A$2000,0)+1,MATCH(K$2,vdata_regressors!$A$1:$R$1,0)),"")</f>
        <v/>
      </c>
      <c r="L547" s="23" t="str">
        <f>IFERROR(INDEX(vdata_regressors!$A$1:$L$2000,MATCH($A547,vdata_regressors!$A$2:$A$2000,0)+1,MATCH(L$2,vdata_regressors!$A$1:$R$1,0)),"")</f>
        <v/>
      </c>
      <c r="M547" s="23" t="str">
        <f>IFERROR(VLOOKUP(A547,vdata_hours!$A$2:$B$1000,2,FALSE),"")</f>
        <v/>
      </c>
    </row>
    <row r="548" spans="1:13" x14ac:dyDescent="0.25">
      <c r="A548" s="23" t="str">
        <f>IF(vdata_hours!A547=0,"",vdata_hours!A547)</f>
        <v/>
      </c>
      <c r="B548" s="23" t="str">
        <f>IFERROR(INDEX(vdata_regressors!$A$1:$L$2000,MATCH($A548,vdata_regressors!$A$2:$A$2000,0)+1,MATCH(B$2,vdata_regressors!$A$1:$R$1,0)),"")</f>
        <v/>
      </c>
      <c r="C548" s="23" t="str">
        <f>IFERROR(INDEX(vdata_regressors!$A$1:$L$2000,MATCH($A548,vdata_regressors!$A$2:$A$2000,0)+1,MATCH(C$2,vdata_regressors!$A$1:$R$1,0)),"")</f>
        <v/>
      </c>
      <c r="D548" s="23" t="str">
        <f>IFERROR(INDEX(vdata_regressors!$A$1:$L$2000,MATCH($A548,vdata_regressors!$A$2:$A$2000,0)+1,MATCH(D$2,vdata_regressors!$A$1:$R$1,0)),"")</f>
        <v/>
      </c>
      <c r="E548" s="23" t="str">
        <f>IFERROR(INDEX(vdata_regressors!$A$1:$L$2000,MATCH($A548,vdata_regressors!$A$2:$A$2000,0)+1,MATCH(E$2,vdata_regressors!$A$1:$R$1,0)),"")</f>
        <v/>
      </c>
      <c r="F548" s="23" t="str">
        <f>IFERROR(INDEX(vdata_regressors!$A$1:$L$2000,MATCH($A548,vdata_regressors!$A$2:$A$2000,0)+1,MATCH(F$2,vdata_regressors!$A$1:$R$1,0)),"")</f>
        <v/>
      </c>
      <c r="G548" s="23" t="str">
        <f>IFERROR(INDEX(vdata_regressors!$A$1:$L$2000,MATCH($A548,vdata_regressors!$A$2:$A$2000,0)+1,MATCH(G$2,vdata_regressors!$A$1:$R$1,0)),"")</f>
        <v/>
      </c>
      <c r="H548" s="23" t="str">
        <f>IFERROR(INDEX(vdata_regressors!$A$1:$L$2000,MATCH($A548,vdata_regressors!$A$2:$A$2000,0)+1,MATCH(H$2,vdata_regressors!$A$1:$R$1,0)),"")</f>
        <v/>
      </c>
      <c r="I548" s="23" t="str">
        <f>IFERROR(INDEX(vdata_regressors!$A$1:$L$2000,MATCH($A548,vdata_regressors!$A$2:$A$2000,0)+1,MATCH(I$2,vdata_regressors!$A$1:$R$1,0)),"")</f>
        <v/>
      </c>
      <c r="J548" s="23" t="str">
        <f>IFERROR(INDEX(vdata_regressors!$A$1:$L$2000,MATCH($A548,vdata_regressors!$A$2:$A$2000,0)+1,MATCH(J$2,vdata_regressors!$A$1:$R$1,0)),"")</f>
        <v/>
      </c>
      <c r="K548" s="23" t="str">
        <f>IFERROR(INDEX(vdata_regressors!$A$1:$L$2000,MATCH($A548,vdata_regressors!$A$2:$A$2000,0)+1,MATCH(K$2,vdata_regressors!$A$1:$R$1,0)),"")</f>
        <v/>
      </c>
      <c r="L548" s="23" t="str">
        <f>IFERROR(INDEX(vdata_regressors!$A$1:$L$2000,MATCH($A548,vdata_regressors!$A$2:$A$2000,0)+1,MATCH(L$2,vdata_regressors!$A$1:$R$1,0)),"")</f>
        <v/>
      </c>
      <c r="M548" s="23" t="str">
        <f>IFERROR(VLOOKUP(A548,vdata_hours!$A$2:$B$1000,2,FALSE),"")</f>
        <v/>
      </c>
    </row>
    <row r="549" spans="1:13" x14ac:dyDescent="0.25">
      <c r="A549" s="23" t="str">
        <f>IF(vdata_hours!A548=0,"",vdata_hours!A548)</f>
        <v/>
      </c>
      <c r="B549" s="23" t="str">
        <f>IFERROR(INDEX(vdata_regressors!$A$1:$L$2000,MATCH($A549,vdata_regressors!$A$2:$A$2000,0)+1,MATCH(B$2,vdata_regressors!$A$1:$R$1,0)),"")</f>
        <v/>
      </c>
      <c r="C549" s="23" t="str">
        <f>IFERROR(INDEX(vdata_regressors!$A$1:$L$2000,MATCH($A549,vdata_regressors!$A$2:$A$2000,0)+1,MATCH(C$2,vdata_regressors!$A$1:$R$1,0)),"")</f>
        <v/>
      </c>
      <c r="D549" s="23" t="str">
        <f>IFERROR(INDEX(vdata_regressors!$A$1:$L$2000,MATCH($A549,vdata_regressors!$A$2:$A$2000,0)+1,MATCH(D$2,vdata_regressors!$A$1:$R$1,0)),"")</f>
        <v/>
      </c>
      <c r="E549" s="23" t="str">
        <f>IFERROR(INDEX(vdata_regressors!$A$1:$L$2000,MATCH($A549,vdata_regressors!$A$2:$A$2000,0)+1,MATCH(E$2,vdata_regressors!$A$1:$R$1,0)),"")</f>
        <v/>
      </c>
      <c r="F549" s="23" t="str">
        <f>IFERROR(INDEX(vdata_regressors!$A$1:$L$2000,MATCH($A549,vdata_regressors!$A$2:$A$2000,0)+1,MATCH(F$2,vdata_regressors!$A$1:$R$1,0)),"")</f>
        <v/>
      </c>
      <c r="G549" s="23" t="str">
        <f>IFERROR(INDEX(vdata_regressors!$A$1:$L$2000,MATCH($A549,vdata_regressors!$A$2:$A$2000,0)+1,MATCH(G$2,vdata_regressors!$A$1:$R$1,0)),"")</f>
        <v/>
      </c>
      <c r="H549" s="23" t="str">
        <f>IFERROR(INDEX(vdata_regressors!$A$1:$L$2000,MATCH($A549,vdata_regressors!$A$2:$A$2000,0)+1,MATCH(H$2,vdata_regressors!$A$1:$R$1,0)),"")</f>
        <v/>
      </c>
      <c r="I549" s="23" t="str">
        <f>IFERROR(INDEX(vdata_regressors!$A$1:$L$2000,MATCH($A549,vdata_regressors!$A$2:$A$2000,0)+1,MATCH(I$2,vdata_regressors!$A$1:$R$1,0)),"")</f>
        <v/>
      </c>
      <c r="J549" s="23" t="str">
        <f>IFERROR(INDEX(vdata_regressors!$A$1:$L$2000,MATCH($A549,vdata_regressors!$A$2:$A$2000,0)+1,MATCH(J$2,vdata_regressors!$A$1:$R$1,0)),"")</f>
        <v/>
      </c>
      <c r="K549" s="23" t="str">
        <f>IFERROR(INDEX(vdata_regressors!$A$1:$L$2000,MATCH($A549,vdata_regressors!$A$2:$A$2000,0)+1,MATCH(K$2,vdata_regressors!$A$1:$R$1,0)),"")</f>
        <v/>
      </c>
      <c r="L549" s="23" t="str">
        <f>IFERROR(INDEX(vdata_regressors!$A$1:$L$2000,MATCH($A549,vdata_regressors!$A$2:$A$2000,0)+1,MATCH(L$2,vdata_regressors!$A$1:$R$1,0)),"")</f>
        <v/>
      </c>
      <c r="M549" s="23" t="str">
        <f>IFERROR(VLOOKUP(A549,vdata_hours!$A$2:$B$1000,2,FALSE),"")</f>
        <v/>
      </c>
    </row>
    <row r="550" spans="1:13" x14ac:dyDescent="0.25">
      <c r="A550" s="23" t="str">
        <f>IF(vdata_hours!A549=0,"",vdata_hours!A549)</f>
        <v/>
      </c>
      <c r="B550" s="23" t="str">
        <f>IFERROR(INDEX(vdata_regressors!$A$1:$L$2000,MATCH($A550,vdata_regressors!$A$2:$A$2000,0)+1,MATCH(B$2,vdata_regressors!$A$1:$R$1,0)),"")</f>
        <v/>
      </c>
      <c r="C550" s="23" t="str">
        <f>IFERROR(INDEX(vdata_regressors!$A$1:$L$2000,MATCH($A550,vdata_regressors!$A$2:$A$2000,0)+1,MATCH(C$2,vdata_regressors!$A$1:$R$1,0)),"")</f>
        <v/>
      </c>
      <c r="D550" s="23" t="str">
        <f>IFERROR(INDEX(vdata_regressors!$A$1:$L$2000,MATCH($A550,vdata_regressors!$A$2:$A$2000,0)+1,MATCH(D$2,vdata_regressors!$A$1:$R$1,0)),"")</f>
        <v/>
      </c>
      <c r="E550" s="23" t="str">
        <f>IFERROR(INDEX(vdata_regressors!$A$1:$L$2000,MATCH($A550,vdata_regressors!$A$2:$A$2000,0)+1,MATCH(E$2,vdata_regressors!$A$1:$R$1,0)),"")</f>
        <v/>
      </c>
      <c r="F550" s="23" t="str">
        <f>IFERROR(INDEX(vdata_regressors!$A$1:$L$2000,MATCH($A550,vdata_regressors!$A$2:$A$2000,0)+1,MATCH(F$2,vdata_regressors!$A$1:$R$1,0)),"")</f>
        <v/>
      </c>
      <c r="G550" s="23" t="str">
        <f>IFERROR(INDEX(vdata_regressors!$A$1:$L$2000,MATCH($A550,vdata_regressors!$A$2:$A$2000,0)+1,MATCH(G$2,vdata_regressors!$A$1:$R$1,0)),"")</f>
        <v/>
      </c>
      <c r="H550" s="23" t="str">
        <f>IFERROR(INDEX(vdata_regressors!$A$1:$L$2000,MATCH($A550,vdata_regressors!$A$2:$A$2000,0)+1,MATCH(H$2,vdata_regressors!$A$1:$R$1,0)),"")</f>
        <v/>
      </c>
      <c r="I550" s="23" t="str">
        <f>IFERROR(INDEX(vdata_regressors!$A$1:$L$2000,MATCH($A550,vdata_regressors!$A$2:$A$2000,0)+1,MATCH(I$2,vdata_regressors!$A$1:$R$1,0)),"")</f>
        <v/>
      </c>
      <c r="J550" s="23" t="str">
        <f>IFERROR(INDEX(vdata_regressors!$A$1:$L$2000,MATCH($A550,vdata_regressors!$A$2:$A$2000,0)+1,MATCH(J$2,vdata_regressors!$A$1:$R$1,0)),"")</f>
        <v/>
      </c>
      <c r="K550" s="23" t="str">
        <f>IFERROR(INDEX(vdata_regressors!$A$1:$L$2000,MATCH($A550,vdata_regressors!$A$2:$A$2000,0)+1,MATCH(K$2,vdata_regressors!$A$1:$R$1,0)),"")</f>
        <v/>
      </c>
      <c r="L550" s="23" t="str">
        <f>IFERROR(INDEX(vdata_regressors!$A$1:$L$2000,MATCH($A550,vdata_regressors!$A$2:$A$2000,0)+1,MATCH(L$2,vdata_regressors!$A$1:$R$1,0)),"")</f>
        <v/>
      </c>
      <c r="M550" s="23" t="str">
        <f>IFERROR(VLOOKUP(A550,vdata_hours!$A$2:$B$1000,2,FALSE),"")</f>
        <v/>
      </c>
    </row>
    <row r="551" spans="1:13" x14ac:dyDescent="0.25">
      <c r="A551" s="23" t="str">
        <f>IF(vdata_hours!A550=0,"",vdata_hours!A550)</f>
        <v/>
      </c>
      <c r="B551" s="23" t="str">
        <f>IFERROR(INDEX(vdata_regressors!$A$1:$L$2000,MATCH($A551,vdata_regressors!$A$2:$A$2000,0)+1,MATCH(B$2,vdata_regressors!$A$1:$R$1,0)),"")</f>
        <v/>
      </c>
      <c r="C551" s="23" t="str">
        <f>IFERROR(INDEX(vdata_regressors!$A$1:$L$2000,MATCH($A551,vdata_regressors!$A$2:$A$2000,0)+1,MATCH(C$2,vdata_regressors!$A$1:$R$1,0)),"")</f>
        <v/>
      </c>
      <c r="D551" s="23" t="str">
        <f>IFERROR(INDEX(vdata_regressors!$A$1:$L$2000,MATCH($A551,vdata_regressors!$A$2:$A$2000,0)+1,MATCH(D$2,vdata_regressors!$A$1:$R$1,0)),"")</f>
        <v/>
      </c>
      <c r="E551" s="23" t="str">
        <f>IFERROR(INDEX(vdata_regressors!$A$1:$L$2000,MATCH($A551,vdata_regressors!$A$2:$A$2000,0)+1,MATCH(E$2,vdata_regressors!$A$1:$R$1,0)),"")</f>
        <v/>
      </c>
      <c r="F551" s="23" t="str">
        <f>IFERROR(INDEX(vdata_regressors!$A$1:$L$2000,MATCH($A551,vdata_regressors!$A$2:$A$2000,0)+1,MATCH(F$2,vdata_regressors!$A$1:$R$1,0)),"")</f>
        <v/>
      </c>
      <c r="G551" s="23" t="str">
        <f>IFERROR(INDEX(vdata_regressors!$A$1:$L$2000,MATCH($A551,vdata_regressors!$A$2:$A$2000,0)+1,MATCH(G$2,vdata_regressors!$A$1:$R$1,0)),"")</f>
        <v/>
      </c>
      <c r="H551" s="23" t="str">
        <f>IFERROR(INDEX(vdata_regressors!$A$1:$L$2000,MATCH($A551,vdata_regressors!$A$2:$A$2000,0)+1,MATCH(H$2,vdata_regressors!$A$1:$R$1,0)),"")</f>
        <v/>
      </c>
      <c r="I551" s="23" t="str">
        <f>IFERROR(INDEX(vdata_regressors!$A$1:$L$2000,MATCH($A551,vdata_regressors!$A$2:$A$2000,0)+1,MATCH(I$2,vdata_regressors!$A$1:$R$1,0)),"")</f>
        <v/>
      </c>
      <c r="J551" s="23" t="str">
        <f>IFERROR(INDEX(vdata_regressors!$A$1:$L$2000,MATCH($A551,vdata_regressors!$A$2:$A$2000,0)+1,MATCH(J$2,vdata_regressors!$A$1:$R$1,0)),"")</f>
        <v/>
      </c>
      <c r="K551" s="23" t="str">
        <f>IFERROR(INDEX(vdata_regressors!$A$1:$L$2000,MATCH($A551,vdata_regressors!$A$2:$A$2000,0)+1,MATCH(K$2,vdata_regressors!$A$1:$R$1,0)),"")</f>
        <v/>
      </c>
      <c r="L551" s="23" t="str">
        <f>IFERROR(INDEX(vdata_regressors!$A$1:$L$2000,MATCH($A551,vdata_regressors!$A$2:$A$2000,0)+1,MATCH(L$2,vdata_regressors!$A$1:$R$1,0)),"")</f>
        <v/>
      </c>
      <c r="M551" s="23" t="str">
        <f>IFERROR(VLOOKUP(A551,vdata_hours!$A$2:$B$1000,2,FALSE),"")</f>
        <v/>
      </c>
    </row>
    <row r="552" spans="1:13" x14ac:dyDescent="0.25">
      <c r="A552" s="23" t="str">
        <f>IF(vdata_hours!A551=0,"",vdata_hours!A551)</f>
        <v/>
      </c>
      <c r="B552" s="23" t="str">
        <f>IFERROR(INDEX(vdata_regressors!$A$1:$L$2000,MATCH($A552,vdata_regressors!$A$2:$A$2000,0)+1,MATCH(B$2,vdata_regressors!$A$1:$R$1,0)),"")</f>
        <v/>
      </c>
      <c r="C552" s="23" t="str">
        <f>IFERROR(INDEX(vdata_regressors!$A$1:$L$2000,MATCH($A552,vdata_regressors!$A$2:$A$2000,0)+1,MATCH(C$2,vdata_regressors!$A$1:$R$1,0)),"")</f>
        <v/>
      </c>
      <c r="D552" s="23" t="str">
        <f>IFERROR(INDEX(vdata_regressors!$A$1:$L$2000,MATCH($A552,vdata_regressors!$A$2:$A$2000,0)+1,MATCH(D$2,vdata_regressors!$A$1:$R$1,0)),"")</f>
        <v/>
      </c>
      <c r="E552" s="23" t="str">
        <f>IFERROR(INDEX(vdata_regressors!$A$1:$L$2000,MATCH($A552,vdata_regressors!$A$2:$A$2000,0)+1,MATCH(E$2,vdata_regressors!$A$1:$R$1,0)),"")</f>
        <v/>
      </c>
      <c r="F552" s="23" t="str">
        <f>IFERROR(INDEX(vdata_regressors!$A$1:$L$2000,MATCH($A552,vdata_regressors!$A$2:$A$2000,0)+1,MATCH(F$2,vdata_regressors!$A$1:$R$1,0)),"")</f>
        <v/>
      </c>
      <c r="G552" s="23" t="str">
        <f>IFERROR(INDEX(vdata_regressors!$A$1:$L$2000,MATCH($A552,vdata_regressors!$A$2:$A$2000,0)+1,MATCH(G$2,vdata_regressors!$A$1:$R$1,0)),"")</f>
        <v/>
      </c>
      <c r="H552" s="23" t="str">
        <f>IFERROR(INDEX(vdata_regressors!$A$1:$L$2000,MATCH($A552,vdata_regressors!$A$2:$A$2000,0)+1,MATCH(H$2,vdata_regressors!$A$1:$R$1,0)),"")</f>
        <v/>
      </c>
      <c r="I552" s="23" t="str">
        <f>IFERROR(INDEX(vdata_regressors!$A$1:$L$2000,MATCH($A552,vdata_regressors!$A$2:$A$2000,0)+1,MATCH(I$2,vdata_regressors!$A$1:$R$1,0)),"")</f>
        <v/>
      </c>
      <c r="J552" s="23" t="str">
        <f>IFERROR(INDEX(vdata_regressors!$A$1:$L$2000,MATCH($A552,vdata_regressors!$A$2:$A$2000,0)+1,MATCH(J$2,vdata_regressors!$A$1:$R$1,0)),"")</f>
        <v/>
      </c>
      <c r="K552" s="23" t="str">
        <f>IFERROR(INDEX(vdata_regressors!$A$1:$L$2000,MATCH($A552,vdata_regressors!$A$2:$A$2000,0)+1,MATCH(K$2,vdata_regressors!$A$1:$R$1,0)),"")</f>
        <v/>
      </c>
      <c r="L552" s="23" t="str">
        <f>IFERROR(INDEX(vdata_regressors!$A$1:$L$2000,MATCH($A552,vdata_regressors!$A$2:$A$2000,0)+1,MATCH(L$2,vdata_regressors!$A$1:$R$1,0)),"")</f>
        <v/>
      </c>
      <c r="M552" s="23" t="str">
        <f>IFERROR(VLOOKUP(A552,vdata_hours!$A$2:$B$1000,2,FALSE),"")</f>
        <v/>
      </c>
    </row>
    <row r="553" spans="1:13" x14ac:dyDescent="0.25">
      <c r="A553" s="23" t="str">
        <f>IF(vdata_hours!A552=0,"",vdata_hours!A552)</f>
        <v/>
      </c>
      <c r="B553" s="23" t="str">
        <f>IFERROR(INDEX(vdata_regressors!$A$1:$L$2000,MATCH($A553,vdata_regressors!$A$2:$A$2000,0)+1,MATCH(B$2,vdata_regressors!$A$1:$R$1,0)),"")</f>
        <v/>
      </c>
      <c r="C553" s="23" t="str">
        <f>IFERROR(INDEX(vdata_regressors!$A$1:$L$2000,MATCH($A553,vdata_regressors!$A$2:$A$2000,0)+1,MATCH(C$2,vdata_regressors!$A$1:$R$1,0)),"")</f>
        <v/>
      </c>
      <c r="D553" s="23" t="str">
        <f>IFERROR(INDEX(vdata_regressors!$A$1:$L$2000,MATCH($A553,vdata_regressors!$A$2:$A$2000,0)+1,MATCH(D$2,vdata_regressors!$A$1:$R$1,0)),"")</f>
        <v/>
      </c>
      <c r="E553" s="23" t="str">
        <f>IFERROR(INDEX(vdata_regressors!$A$1:$L$2000,MATCH($A553,vdata_regressors!$A$2:$A$2000,0)+1,MATCH(E$2,vdata_regressors!$A$1:$R$1,0)),"")</f>
        <v/>
      </c>
      <c r="F553" s="23" t="str">
        <f>IFERROR(INDEX(vdata_regressors!$A$1:$L$2000,MATCH($A553,vdata_regressors!$A$2:$A$2000,0)+1,MATCH(F$2,vdata_regressors!$A$1:$R$1,0)),"")</f>
        <v/>
      </c>
      <c r="G553" s="23" t="str">
        <f>IFERROR(INDEX(vdata_regressors!$A$1:$L$2000,MATCH($A553,vdata_regressors!$A$2:$A$2000,0)+1,MATCH(G$2,vdata_regressors!$A$1:$R$1,0)),"")</f>
        <v/>
      </c>
      <c r="H553" s="23" t="str">
        <f>IFERROR(INDEX(vdata_regressors!$A$1:$L$2000,MATCH($A553,vdata_regressors!$A$2:$A$2000,0)+1,MATCH(H$2,vdata_regressors!$A$1:$R$1,0)),"")</f>
        <v/>
      </c>
      <c r="I553" s="23" t="str">
        <f>IFERROR(INDEX(vdata_regressors!$A$1:$L$2000,MATCH($A553,vdata_regressors!$A$2:$A$2000,0)+1,MATCH(I$2,vdata_regressors!$A$1:$R$1,0)),"")</f>
        <v/>
      </c>
      <c r="J553" s="23" t="str">
        <f>IFERROR(INDEX(vdata_regressors!$A$1:$L$2000,MATCH($A553,vdata_regressors!$A$2:$A$2000,0)+1,MATCH(J$2,vdata_regressors!$A$1:$R$1,0)),"")</f>
        <v/>
      </c>
      <c r="K553" s="23" t="str">
        <f>IFERROR(INDEX(vdata_regressors!$A$1:$L$2000,MATCH($A553,vdata_regressors!$A$2:$A$2000,0)+1,MATCH(K$2,vdata_regressors!$A$1:$R$1,0)),"")</f>
        <v/>
      </c>
      <c r="L553" s="23" t="str">
        <f>IFERROR(INDEX(vdata_regressors!$A$1:$L$2000,MATCH($A553,vdata_regressors!$A$2:$A$2000,0)+1,MATCH(L$2,vdata_regressors!$A$1:$R$1,0)),"")</f>
        <v/>
      </c>
      <c r="M553" s="23" t="str">
        <f>IFERROR(VLOOKUP(A553,vdata_hours!$A$2:$B$1000,2,FALSE),"")</f>
        <v/>
      </c>
    </row>
    <row r="554" spans="1:13" x14ac:dyDescent="0.25">
      <c r="A554" s="23" t="str">
        <f>IF(vdata_hours!A553=0,"",vdata_hours!A553)</f>
        <v/>
      </c>
      <c r="B554" s="23" t="str">
        <f>IFERROR(INDEX(vdata_regressors!$A$1:$L$2000,MATCH($A554,vdata_regressors!$A$2:$A$2000,0)+1,MATCH(B$2,vdata_regressors!$A$1:$R$1,0)),"")</f>
        <v/>
      </c>
      <c r="C554" s="23" t="str">
        <f>IFERROR(INDEX(vdata_regressors!$A$1:$L$2000,MATCH($A554,vdata_regressors!$A$2:$A$2000,0)+1,MATCH(C$2,vdata_regressors!$A$1:$R$1,0)),"")</f>
        <v/>
      </c>
      <c r="D554" s="23" t="str">
        <f>IFERROR(INDEX(vdata_regressors!$A$1:$L$2000,MATCH($A554,vdata_regressors!$A$2:$A$2000,0)+1,MATCH(D$2,vdata_regressors!$A$1:$R$1,0)),"")</f>
        <v/>
      </c>
      <c r="E554" s="23" t="str">
        <f>IFERROR(INDEX(vdata_regressors!$A$1:$L$2000,MATCH($A554,vdata_regressors!$A$2:$A$2000,0)+1,MATCH(E$2,vdata_regressors!$A$1:$R$1,0)),"")</f>
        <v/>
      </c>
      <c r="F554" s="23" t="str">
        <f>IFERROR(INDEX(vdata_regressors!$A$1:$L$2000,MATCH($A554,vdata_regressors!$A$2:$A$2000,0)+1,MATCH(F$2,vdata_regressors!$A$1:$R$1,0)),"")</f>
        <v/>
      </c>
      <c r="G554" s="23" t="str">
        <f>IFERROR(INDEX(vdata_regressors!$A$1:$L$2000,MATCH($A554,vdata_regressors!$A$2:$A$2000,0)+1,MATCH(G$2,vdata_regressors!$A$1:$R$1,0)),"")</f>
        <v/>
      </c>
      <c r="H554" s="23" t="str">
        <f>IFERROR(INDEX(vdata_regressors!$A$1:$L$2000,MATCH($A554,vdata_regressors!$A$2:$A$2000,0)+1,MATCH(H$2,vdata_regressors!$A$1:$R$1,0)),"")</f>
        <v/>
      </c>
      <c r="I554" s="23" t="str">
        <f>IFERROR(INDEX(vdata_regressors!$A$1:$L$2000,MATCH($A554,vdata_regressors!$A$2:$A$2000,0)+1,MATCH(I$2,vdata_regressors!$A$1:$R$1,0)),"")</f>
        <v/>
      </c>
      <c r="J554" s="23" t="str">
        <f>IFERROR(INDEX(vdata_regressors!$A$1:$L$2000,MATCH($A554,vdata_regressors!$A$2:$A$2000,0)+1,MATCH(J$2,vdata_regressors!$A$1:$R$1,0)),"")</f>
        <v/>
      </c>
      <c r="K554" s="23" t="str">
        <f>IFERROR(INDEX(vdata_regressors!$A$1:$L$2000,MATCH($A554,vdata_regressors!$A$2:$A$2000,0)+1,MATCH(K$2,vdata_regressors!$A$1:$R$1,0)),"")</f>
        <v/>
      </c>
      <c r="L554" s="23" t="str">
        <f>IFERROR(INDEX(vdata_regressors!$A$1:$L$2000,MATCH($A554,vdata_regressors!$A$2:$A$2000,0)+1,MATCH(L$2,vdata_regressors!$A$1:$R$1,0)),"")</f>
        <v/>
      </c>
      <c r="M554" s="23" t="str">
        <f>IFERROR(VLOOKUP(A554,vdata_hours!$A$2:$B$1000,2,FALSE),"")</f>
        <v/>
      </c>
    </row>
    <row r="555" spans="1:13" x14ac:dyDescent="0.25">
      <c r="A555" s="23" t="str">
        <f>IF(vdata_hours!A554=0,"",vdata_hours!A554)</f>
        <v/>
      </c>
      <c r="B555" s="23" t="str">
        <f>IFERROR(INDEX(vdata_regressors!$A$1:$L$2000,MATCH($A555,vdata_regressors!$A$2:$A$2000,0)+1,MATCH(B$2,vdata_regressors!$A$1:$R$1,0)),"")</f>
        <v/>
      </c>
      <c r="C555" s="23" t="str">
        <f>IFERROR(INDEX(vdata_regressors!$A$1:$L$2000,MATCH($A555,vdata_regressors!$A$2:$A$2000,0)+1,MATCH(C$2,vdata_regressors!$A$1:$R$1,0)),"")</f>
        <v/>
      </c>
      <c r="D555" s="23" t="str">
        <f>IFERROR(INDEX(vdata_regressors!$A$1:$L$2000,MATCH($A555,vdata_regressors!$A$2:$A$2000,0)+1,MATCH(D$2,vdata_regressors!$A$1:$R$1,0)),"")</f>
        <v/>
      </c>
      <c r="E555" s="23" t="str">
        <f>IFERROR(INDEX(vdata_regressors!$A$1:$L$2000,MATCH($A555,vdata_regressors!$A$2:$A$2000,0)+1,MATCH(E$2,vdata_regressors!$A$1:$R$1,0)),"")</f>
        <v/>
      </c>
      <c r="F555" s="23" t="str">
        <f>IFERROR(INDEX(vdata_regressors!$A$1:$L$2000,MATCH($A555,vdata_regressors!$A$2:$A$2000,0)+1,MATCH(F$2,vdata_regressors!$A$1:$R$1,0)),"")</f>
        <v/>
      </c>
      <c r="G555" s="23" t="str">
        <f>IFERROR(INDEX(vdata_regressors!$A$1:$L$2000,MATCH($A555,vdata_regressors!$A$2:$A$2000,0)+1,MATCH(G$2,vdata_regressors!$A$1:$R$1,0)),"")</f>
        <v/>
      </c>
      <c r="H555" s="23" t="str">
        <f>IFERROR(INDEX(vdata_regressors!$A$1:$L$2000,MATCH($A555,vdata_regressors!$A$2:$A$2000,0)+1,MATCH(H$2,vdata_regressors!$A$1:$R$1,0)),"")</f>
        <v/>
      </c>
      <c r="I555" s="23" t="str">
        <f>IFERROR(INDEX(vdata_regressors!$A$1:$L$2000,MATCH($A555,vdata_regressors!$A$2:$A$2000,0)+1,MATCH(I$2,vdata_regressors!$A$1:$R$1,0)),"")</f>
        <v/>
      </c>
      <c r="J555" s="23" t="str">
        <f>IFERROR(INDEX(vdata_regressors!$A$1:$L$2000,MATCH($A555,vdata_regressors!$A$2:$A$2000,0)+1,MATCH(J$2,vdata_regressors!$A$1:$R$1,0)),"")</f>
        <v/>
      </c>
      <c r="K555" s="23" t="str">
        <f>IFERROR(INDEX(vdata_regressors!$A$1:$L$2000,MATCH($A555,vdata_regressors!$A$2:$A$2000,0)+1,MATCH(K$2,vdata_regressors!$A$1:$R$1,0)),"")</f>
        <v/>
      </c>
      <c r="L555" s="23" t="str">
        <f>IFERROR(INDEX(vdata_regressors!$A$1:$L$2000,MATCH($A555,vdata_regressors!$A$2:$A$2000,0)+1,MATCH(L$2,vdata_regressors!$A$1:$R$1,0)),"")</f>
        <v/>
      </c>
      <c r="M555" s="23" t="str">
        <f>IFERROR(VLOOKUP(A555,vdata_hours!$A$2:$B$1000,2,FALSE),"")</f>
        <v/>
      </c>
    </row>
    <row r="556" spans="1:13" x14ac:dyDescent="0.25">
      <c r="A556" s="23" t="str">
        <f>IF(vdata_hours!A555=0,"",vdata_hours!A555)</f>
        <v/>
      </c>
      <c r="B556" s="23" t="str">
        <f>IFERROR(INDEX(vdata_regressors!$A$1:$L$2000,MATCH($A556,vdata_regressors!$A$2:$A$2000,0)+1,MATCH(B$2,vdata_regressors!$A$1:$R$1,0)),"")</f>
        <v/>
      </c>
      <c r="C556" s="23" t="str">
        <f>IFERROR(INDEX(vdata_regressors!$A$1:$L$2000,MATCH($A556,vdata_regressors!$A$2:$A$2000,0)+1,MATCH(C$2,vdata_regressors!$A$1:$R$1,0)),"")</f>
        <v/>
      </c>
      <c r="D556" s="23" t="str">
        <f>IFERROR(INDEX(vdata_regressors!$A$1:$L$2000,MATCH($A556,vdata_regressors!$A$2:$A$2000,0)+1,MATCH(D$2,vdata_regressors!$A$1:$R$1,0)),"")</f>
        <v/>
      </c>
      <c r="E556" s="23" t="str">
        <f>IFERROR(INDEX(vdata_regressors!$A$1:$L$2000,MATCH($A556,vdata_regressors!$A$2:$A$2000,0)+1,MATCH(E$2,vdata_regressors!$A$1:$R$1,0)),"")</f>
        <v/>
      </c>
      <c r="F556" s="23" t="str">
        <f>IFERROR(INDEX(vdata_regressors!$A$1:$L$2000,MATCH($A556,vdata_regressors!$A$2:$A$2000,0)+1,MATCH(F$2,vdata_regressors!$A$1:$R$1,0)),"")</f>
        <v/>
      </c>
      <c r="G556" s="23" t="str">
        <f>IFERROR(INDEX(vdata_regressors!$A$1:$L$2000,MATCH($A556,vdata_regressors!$A$2:$A$2000,0)+1,MATCH(G$2,vdata_regressors!$A$1:$R$1,0)),"")</f>
        <v/>
      </c>
      <c r="H556" s="23" t="str">
        <f>IFERROR(INDEX(vdata_regressors!$A$1:$L$2000,MATCH($A556,vdata_regressors!$A$2:$A$2000,0)+1,MATCH(H$2,vdata_regressors!$A$1:$R$1,0)),"")</f>
        <v/>
      </c>
      <c r="I556" s="23" t="str">
        <f>IFERROR(INDEX(vdata_regressors!$A$1:$L$2000,MATCH($A556,vdata_regressors!$A$2:$A$2000,0)+1,MATCH(I$2,vdata_regressors!$A$1:$R$1,0)),"")</f>
        <v/>
      </c>
      <c r="J556" s="23" t="str">
        <f>IFERROR(INDEX(vdata_regressors!$A$1:$L$2000,MATCH($A556,vdata_regressors!$A$2:$A$2000,0)+1,MATCH(J$2,vdata_regressors!$A$1:$R$1,0)),"")</f>
        <v/>
      </c>
      <c r="K556" s="23" t="str">
        <f>IFERROR(INDEX(vdata_regressors!$A$1:$L$2000,MATCH($A556,vdata_regressors!$A$2:$A$2000,0)+1,MATCH(K$2,vdata_regressors!$A$1:$R$1,0)),"")</f>
        <v/>
      </c>
      <c r="L556" s="23" t="str">
        <f>IFERROR(INDEX(vdata_regressors!$A$1:$L$2000,MATCH($A556,vdata_regressors!$A$2:$A$2000,0)+1,MATCH(L$2,vdata_regressors!$A$1:$R$1,0)),"")</f>
        <v/>
      </c>
      <c r="M556" s="23" t="str">
        <f>IFERROR(VLOOKUP(A556,vdata_hours!$A$2:$B$1000,2,FALSE),"")</f>
        <v/>
      </c>
    </row>
    <row r="557" spans="1:13" x14ac:dyDescent="0.25">
      <c r="A557" s="23" t="str">
        <f>IF(vdata_hours!A556=0,"",vdata_hours!A556)</f>
        <v/>
      </c>
      <c r="B557" s="23" t="str">
        <f>IFERROR(INDEX(vdata_regressors!$A$1:$L$2000,MATCH($A557,vdata_regressors!$A$2:$A$2000,0)+1,MATCH(B$2,vdata_regressors!$A$1:$R$1,0)),"")</f>
        <v/>
      </c>
      <c r="C557" s="23" t="str">
        <f>IFERROR(INDEX(vdata_regressors!$A$1:$L$2000,MATCH($A557,vdata_regressors!$A$2:$A$2000,0)+1,MATCH(C$2,vdata_regressors!$A$1:$R$1,0)),"")</f>
        <v/>
      </c>
      <c r="D557" s="23" t="str">
        <f>IFERROR(INDEX(vdata_regressors!$A$1:$L$2000,MATCH($A557,vdata_regressors!$A$2:$A$2000,0)+1,MATCH(D$2,vdata_regressors!$A$1:$R$1,0)),"")</f>
        <v/>
      </c>
      <c r="E557" s="23" t="str">
        <f>IFERROR(INDEX(vdata_regressors!$A$1:$L$2000,MATCH($A557,vdata_regressors!$A$2:$A$2000,0)+1,MATCH(E$2,vdata_regressors!$A$1:$R$1,0)),"")</f>
        <v/>
      </c>
      <c r="F557" s="23" t="str">
        <f>IFERROR(INDEX(vdata_regressors!$A$1:$L$2000,MATCH($A557,vdata_regressors!$A$2:$A$2000,0)+1,MATCH(F$2,vdata_regressors!$A$1:$R$1,0)),"")</f>
        <v/>
      </c>
      <c r="G557" s="23" t="str">
        <f>IFERROR(INDEX(vdata_regressors!$A$1:$L$2000,MATCH($A557,vdata_regressors!$A$2:$A$2000,0)+1,MATCH(G$2,vdata_regressors!$A$1:$R$1,0)),"")</f>
        <v/>
      </c>
      <c r="H557" s="23" t="str">
        <f>IFERROR(INDEX(vdata_regressors!$A$1:$L$2000,MATCH($A557,vdata_regressors!$A$2:$A$2000,0)+1,MATCH(H$2,vdata_regressors!$A$1:$R$1,0)),"")</f>
        <v/>
      </c>
      <c r="I557" s="23" t="str">
        <f>IFERROR(INDEX(vdata_regressors!$A$1:$L$2000,MATCH($A557,vdata_regressors!$A$2:$A$2000,0)+1,MATCH(I$2,vdata_regressors!$A$1:$R$1,0)),"")</f>
        <v/>
      </c>
      <c r="J557" s="23" t="str">
        <f>IFERROR(INDEX(vdata_regressors!$A$1:$L$2000,MATCH($A557,vdata_regressors!$A$2:$A$2000,0)+1,MATCH(J$2,vdata_regressors!$A$1:$R$1,0)),"")</f>
        <v/>
      </c>
      <c r="K557" s="23" t="str">
        <f>IFERROR(INDEX(vdata_regressors!$A$1:$L$2000,MATCH($A557,vdata_regressors!$A$2:$A$2000,0)+1,MATCH(K$2,vdata_regressors!$A$1:$R$1,0)),"")</f>
        <v/>
      </c>
      <c r="L557" s="23" t="str">
        <f>IFERROR(INDEX(vdata_regressors!$A$1:$L$2000,MATCH($A557,vdata_regressors!$A$2:$A$2000,0)+1,MATCH(L$2,vdata_regressors!$A$1:$R$1,0)),"")</f>
        <v/>
      </c>
      <c r="M557" s="23" t="str">
        <f>IFERROR(VLOOKUP(A557,vdata_hours!$A$2:$B$1000,2,FALSE),"")</f>
        <v/>
      </c>
    </row>
    <row r="558" spans="1:13" x14ac:dyDescent="0.25">
      <c r="A558" s="23" t="str">
        <f>IF(vdata_hours!A557=0,"",vdata_hours!A557)</f>
        <v/>
      </c>
      <c r="B558" s="23" t="str">
        <f>IFERROR(INDEX(vdata_regressors!$A$1:$L$2000,MATCH($A558,vdata_regressors!$A$2:$A$2000,0)+1,MATCH(B$2,vdata_regressors!$A$1:$R$1,0)),"")</f>
        <v/>
      </c>
      <c r="C558" s="23" t="str">
        <f>IFERROR(INDEX(vdata_regressors!$A$1:$L$2000,MATCH($A558,vdata_regressors!$A$2:$A$2000,0)+1,MATCH(C$2,vdata_regressors!$A$1:$R$1,0)),"")</f>
        <v/>
      </c>
      <c r="D558" s="23" t="str">
        <f>IFERROR(INDEX(vdata_regressors!$A$1:$L$2000,MATCH($A558,vdata_regressors!$A$2:$A$2000,0)+1,MATCH(D$2,vdata_regressors!$A$1:$R$1,0)),"")</f>
        <v/>
      </c>
      <c r="E558" s="23" t="str">
        <f>IFERROR(INDEX(vdata_regressors!$A$1:$L$2000,MATCH($A558,vdata_regressors!$A$2:$A$2000,0)+1,MATCH(E$2,vdata_regressors!$A$1:$R$1,0)),"")</f>
        <v/>
      </c>
      <c r="F558" s="23" t="str">
        <f>IFERROR(INDEX(vdata_regressors!$A$1:$L$2000,MATCH($A558,vdata_regressors!$A$2:$A$2000,0)+1,MATCH(F$2,vdata_regressors!$A$1:$R$1,0)),"")</f>
        <v/>
      </c>
      <c r="G558" s="23" t="str">
        <f>IFERROR(INDEX(vdata_regressors!$A$1:$L$2000,MATCH($A558,vdata_regressors!$A$2:$A$2000,0)+1,MATCH(G$2,vdata_regressors!$A$1:$R$1,0)),"")</f>
        <v/>
      </c>
      <c r="H558" s="23" t="str">
        <f>IFERROR(INDEX(vdata_regressors!$A$1:$L$2000,MATCH($A558,vdata_regressors!$A$2:$A$2000,0)+1,MATCH(H$2,vdata_regressors!$A$1:$R$1,0)),"")</f>
        <v/>
      </c>
      <c r="I558" s="23" t="str">
        <f>IFERROR(INDEX(vdata_regressors!$A$1:$L$2000,MATCH($A558,vdata_regressors!$A$2:$A$2000,0)+1,MATCH(I$2,vdata_regressors!$A$1:$R$1,0)),"")</f>
        <v/>
      </c>
      <c r="J558" s="23" t="str">
        <f>IFERROR(INDEX(vdata_regressors!$A$1:$L$2000,MATCH($A558,vdata_regressors!$A$2:$A$2000,0)+1,MATCH(J$2,vdata_regressors!$A$1:$R$1,0)),"")</f>
        <v/>
      </c>
      <c r="K558" s="23" t="str">
        <f>IFERROR(INDEX(vdata_regressors!$A$1:$L$2000,MATCH($A558,vdata_regressors!$A$2:$A$2000,0)+1,MATCH(K$2,vdata_regressors!$A$1:$R$1,0)),"")</f>
        <v/>
      </c>
      <c r="L558" s="23" t="str">
        <f>IFERROR(INDEX(vdata_regressors!$A$1:$L$2000,MATCH($A558,vdata_regressors!$A$2:$A$2000,0)+1,MATCH(L$2,vdata_regressors!$A$1:$R$1,0)),"")</f>
        <v/>
      </c>
      <c r="M558" s="23" t="str">
        <f>IFERROR(VLOOKUP(A558,vdata_hours!$A$2:$B$1000,2,FALSE),"")</f>
        <v/>
      </c>
    </row>
    <row r="559" spans="1:13" x14ac:dyDescent="0.25">
      <c r="A559" s="23" t="str">
        <f>IF(vdata_hours!A558=0,"",vdata_hours!A558)</f>
        <v/>
      </c>
      <c r="B559" s="23" t="str">
        <f>IFERROR(INDEX(vdata_regressors!$A$1:$L$2000,MATCH($A559,vdata_regressors!$A$2:$A$2000,0)+1,MATCH(B$2,vdata_regressors!$A$1:$R$1,0)),"")</f>
        <v/>
      </c>
      <c r="C559" s="23" t="str">
        <f>IFERROR(INDEX(vdata_regressors!$A$1:$L$2000,MATCH($A559,vdata_regressors!$A$2:$A$2000,0)+1,MATCH(C$2,vdata_regressors!$A$1:$R$1,0)),"")</f>
        <v/>
      </c>
      <c r="D559" s="23" t="str">
        <f>IFERROR(INDEX(vdata_regressors!$A$1:$L$2000,MATCH($A559,vdata_regressors!$A$2:$A$2000,0)+1,MATCH(D$2,vdata_regressors!$A$1:$R$1,0)),"")</f>
        <v/>
      </c>
      <c r="E559" s="23" t="str">
        <f>IFERROR(INDEX(vdata_regressors!$A$1:$L$2000,MATCH($A559,vdata_regressors!$A$2:$A$2000,0)+1,MATCH(E$2,vdata_regressors!$A$1:$R$1,0)),"")</f>
        <v/>
      </c>
      <c r="F559" s="23" t="str">
        <f>IFERROR(INDEX(vdata_regressors!$A$1:$L$2000,MATCH($A559,vdata_regressors!$A$2:$A$2000,0)+1,MATCH(F$2,vdata_regressors!$A$1:$R$1,0)),"")</f>
        <v/>
      </c>
      <c r="G559" s="23" t="str">
        <f>IFERROR(INDEX(vdata_regressors!$A$1:$L$2000,MATCH($A559,vdata_regressors!$A$2:$A$2000,0)+1,MATCH(G$2,vdata_regressors!$A$1:$R$1,0)),"")</f>
        <v/>
      </c>
      <c r="H559" s="23" t="str">
        <f>IFERROR(INDEX(vdata_regressors!$A$1:$L$2000,MATCH($A559,vdata_regressors!$A$2:$A$2000,0)+1,MATCH(H$2,vdata_regressors!$A$1:$R$1,0)),"")</f>
        <v/>
      </c>
      <c r="I559" s="23" t="str">
        <f>IFERROR(INDEX(vdata_regressors!$A$1:$L$2000,MATCH($A559,vdata_regressors!$A$2:$A$2000,0)+1,MATCH(I$2,vdata_regressors!$A$1:$R$1,0)),"")</f>
        <v/>
      </c>
      <c r="J559" s="23" t="str">
        <f>IFERROR(INDEX(vdata_regressors!$A$1:$L$2000,MATCH($A559,vdata_regressors!$A$2:$A$2000,0)+1,MATCH(J$2,vdata_regressors!$A$1:$R$1,0)),"")</f>
        <v/>
      </c>
      <c r="K559" s="23" t="str">
        <f>IFERROR(INDEX(vdata_regressors!$A$1:$L$2000,MATCH($A559,vdata_regressors!$A$2:$A$2000,0)+1,MATCH(K$2,vdata_regressors!$A$1:$R$1,0)),"")</f>
        <v/>
      </c>
      <c r="L559" s="23" t="str">
        <f>IFERROR(INDEX(vdata_regressors!$A$1:$L$2000,MATCH($A559,vdata_regressors!$A$2:$A$2000,0)+1,MATCH(L$2,vdata_regressors!$A$1:$R$1,0)),"")</f>
        <v/>
      </c>
      <c r="M559" s="23" t="str">
        <f>IFERROR(VLOOKUP(A559,vdata_hours!$A$2:$B$1000,2,FALSE),"")</f>
        <v/>
      </c>
    </row>
    <row r="560" spans="1:13" x14ac:dyDescent="0.25">
      <c r="A560" s="23" t="str">
        <f>IF(vdata_hours!A559=0,"",vdata_hours!A559)</f>
        <v/>
      </c>
      <c r="B560" s="23" t="str">
        <f>IFERROR(INDEX(vdata_regressors!$A$1:$L$2000,MATCH($A560,vdata_regressors!$A$2:$A$2000,0)+1,MATCH(B$2,vdata_regressors!$A$1:$R$1,0)),"")</f>
        <v/>
      </c>
      <c r="C560" s="23" t="str">
        <f>IFERROR(INDEX(vdata_regressors!$A$1:$L$2000,MATCH($A560,vdata_regressors!$A$2:$A$2000,0)+1,MATCH(C$2,vdata_regressors!$A$1:$R$1,0)),"")</f>
        <v/>
      </c>
      <c r="D560" s="23" t="str">
        <f>IFERROR(INDEX(vdata_regressors!$A$1:$L$2000,MATCH($A560,vdata_regressors!$A$2:$A$2000,0)+1,MATCH(D$2,vdata_regressors!$A$1:$R$1,0)),"")</f>
        <v/>
      </c>
      <c r="E560" s="23" t="str">
        <f>IFERROR(INDEX(vdata_regressors!$A$1:$L$2000,MATCH($A560,vdata_regressors!$A$2:$A$2000,0)+1,MATCH(E$2,vdata_regressors!$A$1:$R$1,0)),"")</f>
        <v/>
      </c>
      <c r="F560" s="23" t="str">
        <f>IFERROR(INDEX(vdata_regressors!$A$1:$L$2000,MATCH($A560,vdata_regressors!$A$2:$A$2000,0)+1,MATCH(F$2,vdata_regressors!$A$1:$R$1,0)),"")</f>
        <v/>
      </c>
      <c r="G560" s="23" t="str">
        <f>IFERROR(INDEX(vdata_regressors!$A$1:$L$2000,MATCH($A560,vdata_regressors!$A$2:$A$2000,0)+1,MATCH(G$2,vdata_regressors!$A$1:$R$1,0)),"")</f>
        <v/>
      </c>
      <c r="H560" s="23" t="str">
        <f>IFERROR(INDEX(vdata_regressors!$A$1:$L$2000,MATCH($A560,vdata_regressors!$A$2:$A$2000,0)+1,MATCH(H$2,vdata_regressors!$A$1:$R$1,0)),"")</f>
        <v/>
      </c>
      <c r="I560" s="23" t="str">
        <f>IFERROR(INDEX(vdata_regressors!$A$1:$L$2000,MATCH($A560,vdata_regressors!$A$2:$A$2000,0)+1,MATCH(I$2,vdata_regressors!$A$1:$R$1,0)),"")</f>
        <v/>
      </c>
      <c r="J560" s="23" t="str">
        <f>IFERROR(INDEX(vdata_regressors!$A$1:$L$2000,MATCH($A560,vdata_regressors!$A$2:$A$2000,0)+1,MATCH(J$2,vdata_regressors!$A$1:$R$1,0)),"")</f>
        <v/>
      </c>
      <c r="K560" s="23" t="str">
        <f>IFERROR(INDEX(vdata_regressors!$A$1:$L$2000,MATCH($A560,vdata_regressors!$A$2:$A$2000,0)+1,MATCH(K$2,vdata_regressors!$A$1:$R$1,0)),"")</f>
        <v/>
      </c>
      <c r="L560" s="23" t="str">
        <f>IFERROR(INDEX(vdata_regressors!$A$1:$L$2000,MATCH($A560,vdata_regressors!$A$2:$A$2000,0)+1,MATCH(L$2,vdata_regressors!$A$1:$R$1,0)),"")</f>
        <v/>
      </c>
      <c r="M560" s="23" t="str">
        <f>IFERROR(VLOOKUP(A560,vdata_hours!$A$2:$B$1000,2,FALSE),"")</f>
        <v/>
      </c>
    </row>
    <row r="561" spans="1:13" x14ac:dyDescent="0.25">
      <c r="A561" s="23" t="str">
        <f>IF(vdata_hours!A560=0,"",vdata_hours!A560)</f>
        <v/>
      </c>
      <c r="B561" s="23" t="str">
        <f>IFERROR(INDEX(vdata_regressors!$A$1:$L$2000,MATCH($A561,vdata_regressors!$A$2:$A$2000,0)+1,MATCH(B$2,vdata_regressors!$A$1:$R$1,0)),"")</f>
        <v/>
      </c>
      <c r="C561" s="23" t="str">
        <f>IFERROR(INDEX(vdata_regressors!$A$1:$L$2000,MATCH($A561,vdata_regressors!$A$2:$A$2000,0)+1,MATCH(C$2,vdata_regressors!$A$1:$R$1,0)),"")</f>
        <v/>
      </c>
      <c r="D561" s="23" t="str">
        <f>IFERROR(INDEX(vdata_regressors!$A$1:$L$2000,MATCH($A561,vdata_regressors!$A$2:$A$2000,0)+1,MATCH(D$2,vdata_regressors!$A$1:$R$1,0)),"")</f>
        <v/>
      </c>
      <c r="E561" s="23" t="str">
        <f>IFERROR(INDEX(vdata_regressors!$A$1:$L$2000,MATCH($A561,vdata_regressors!$A$2:$A$2000,0)+1,MATCH(E$2,vdata_regressors!$A$1:$R$1,0)),"")</f>
        <v/>
      </c>
      <c r="F561" s="23" t="str">
        <f>IFERROR(INDEX(vdata_regressors!$A$1:$L$2000,MATCH($A561,vdata_regressors!$A$2:$A$2000,0)+1,MATCH(F$2,vdata_regressors!$A$1:$R$1,0)),"")</f>
        <v/>
      </c>
      <c r="G561" s="23" t="str">
        <f>IFERROR(INDEX(vdata_regressors!$A$1:$L$2000,MATCH($A561,vdata_regressors!$A$2:$A$2000,0)+1,MATCH(G$2,vdata_regressors!$A$1:$R$1,0)),"")</f>
        <v/>
      </c>
      <c r="H561" s="23" t="str">
        <f>IFERROR(INDEX(vdata_regressors!$A$1:$L$2000,MATCH($A561,vdata_regressors!$A$2:$A$2000,0)+1,MATCH(H$2,vdata_regressors!$A$1:$R$1,0)),"")</f>
        <v/>
      </c>
      <c r="I561" s="23" t="str">
        <f>IFERROR(INDEX(vdata_regressors!$A$1:$L$2000,MATCH($A561,vdata_regressors!$A$2:$A$2000,0)+1,MATCH(I$2,vdata_regressors!$A$1:$R$1,0)),"")</f>
        <v/>
      </c>
      <c r="J561" s="23" t="str">
        <f>IFERROR(INDEX(vdata_regressors!$A$1:$L$2000,MATCH($A561,vdata_regressors!$A$2:$A$2000,0)+1,MATCH(J$2,vdata_regressors!$A$1:$R$1,0)),"")</f>
        <v/>
      </c>
      <c r="K561" s="23" t="str">
        <f>IFERROR(INDEX(vdata_regressors!$A$1:$L$2000,MATCH($A561,vdata_regressors!$A$2:$A$2000,0)+1,MATCH(K$2,vdata_regressors!$A$1:$R$1,0)),"")</f>
        <v/>
      </c>
      <c r="L561" s="23" t="str">
        <f>IFERROR(INDEX(vdata_regressors!$A$1:$L$2000,MATCH($A561,vdata_regressors!$A$2:$A$2000,0)+1,MATCH(L$2,vdata_regressors!$A$1:$R$1,0)),"")</f>
        <v/>
      </c>
      <c r="M561" s="23" t="str">
        <f>IFERROR(VLOOKUP(A561,vdata_hours!$A$2:$B$1000,2,FALSE),"")</f>
        <v/>
      </c>
    </row>
    <row r="562" spans="1:13" x14ac:dyDescent="0.25">
      <c r="A562" s="23" t="str">
        <f>IF(vdata_hours!A561=0,"",vdata_hours!A561)</f>
        <v/>
      </c>
      <c r="B562" s="23" t="str">
        <f>IFERROR(INDEX(vdata_regressors!$A$1:$L$2000,MATCH($A562,vdata_regressors!$A$2:$A$2000,0)+1,MATCH(B$2,vdata_regressors!$A$1:$R$1,0)),"")</f>
        <v/>
      </c>
      <c r="C562" s="23" t="str">
        <f>IFERROR(INDEX(vdata_regressors!$A$1:$L$2000,MATCH($A562,vdata_regressors!$A$2:$A$2000,0)+1,MATCH(C$2,vdata_regressors!$A$1:$R$1,0)),"")</f>
        <v/>
      </c>
      <c r="D562" s="23" t="str">
        <f>IFERROR(INDEX(vdata_regressors!$A$1:$L$2000,MATCH($A562,vdata_regressors!$A$2:$A$2000,0)+1,MATCH(D$2,vdata_regressors!$A$1:$R$1,0)),"")</f>
        <v/>
      </c>
      <c r="E562" s="23" t="str">
        <f>IFERROR(INDEX(vdata_regressors!$A$1:$L$2000,MATCH($A562,vdata_regressors!$A$2:$A$2000,0)+1,MATCH(E$2,vdata_regressors!$A$1:$R$1,0)),"")</f>
        <v/>
      </c>
      <c r="F562" s="23" t="str">
        <f>IFERROR(INDEX(vdata_regressors!$A$1:$L$2000,MATCH($A562,vdata_regressors!$A$2:$A$2000,0)+1,MATCH(F$2,vdata_regressors!$A$1:$R$1,0)),"")</f>
        <v/>
      </c>
      <c r="G562" s="23" t="str">
        <f>IFERROR(INDEX(vdata_regressors!$A$1:$L$2000,MATCH($A562,vdata_regressors!$A$2:$A$2000,0)+1,MATCH(G$2,vdata_regressors!$A$1:$R$1,0)),"")</f>
        <v/>
      </c>
      <c r="H562" s="23" t="str">
        <f>IFERROR(INDEX(vdata_regressors!$A$1:$L$2000,MATCH($A562,vdata_regressors!$A$2:$A$2000,0)+1,MATCH(H$2,vdata_regressors!$A$1:$R$1,0)),"")</f>
        <v/>
      </c>
      <c r="I562" s="23" t="str">
        <f>IFERROR(INDEX(vdata_regressors!$A$1:$L$2000,MATCH($A562,vdata_regressors!$A$2:$A$2000,0)+1,MATCH(I$2,vdata_regressors!$A$1:$R$1,0)),"")</f>
        <v/>
      </c>
      <c r="J562" s="23" t="str">
        <f>IFERROR(INDEX(vdata_regressors!$A$1:$L$2000,MATCH($A562,vdata_regressors!$A$2:$A$2000,0)+1,MATCH(J$2,vdata_regressors!$A$1:$R$1,0)),"")</f>
        <v/>
      </c>
      <c r="K562" s="23" t="str">
        <f>IFERROR(INDEX(vdata_regressors!$A$1:$L$2000,MATCH($A562,vdata_regressors!$A$2:$A$2000,0)+1,MATCH(K$2,vdata_regressors!$A$1:$R$1,0)),"")</f>
        <v/>
      </c>
      <c r="L562" s="23" t="str">
        <f>IFERROR(INDEX(vdata_regressors!$A$1:$L$2000,MATCH($A562,vdata_regressors!$A$2:$A$2000,0)+1,MATCH(L$2,vdata_regressors!$A$1:$R$1,0)),"")</f>
        <v/>
      </c>
      <c r="M562" s="23" t="str">
        <f>IFERROR(VLOOKUP(A562,vdata_hours!$A$2:$B$1000,2,FALSE),"")</f>
        <v/>
      </c>
    </row>
    <row r="563" spans="1:13" x14ac:dyDescent="0.25">
      <c r="A563" s="23" t="str">
        <f>IF(vdata_hours!A562=0,"",vdata_hours!A562)</f>
        <v/>
      </c>
      <c r="B563" s="23" t="str">
        <f>IFERROR(INDEX(vdata_regressors!$A$1:$L$2000,MATCH($A563,vdata_regressors!$A$2:$A$2000,0)+1,MATCH(B$2,vdata_regressors!$A$1:$R$1,0)),"")</f>
        <v/>
      </c>
      <c r="C563" s="23" t="str">
        <f>IFERROR(INDEX(vdata_regressors!$A$1:$L$2000,MATCH($A563,vdata_regressors!$A$2:$A$2000,0)+1,MATCH(C$2,vdata_regressors!$A$1:$R$1,0)),"")</f>
        <v/>
      </c>
      <c r="D563" s="23" t="str">
        <f>IFERROR(INDEX(vdata_regressors!$A$1:$L$2000,MATCH($A563,vdata_regressors!$A$2:$A$2000,0)+1,MATCH(D$2,vdata_regressors!$A$1:$R$1,0)),"")</f>
        <v/>
      </c>
      <c r="E563" s="23" t="str">
        <f>IFERROR(INDEX(vdata_regressors!$A$1:$L$2000,MATCH($A563,vdata_regressors!$A$2:$A$2000,0)+1,MATCH(E$2,vdata_regressors!$A$1:$R$1,0)),"")</f>
        <v/>
      </c>
      <c r="F563" s="23" t="str">
        <f>IFERROR(INDEX(vdata_regressors!$A$1:$L$2000,MATCH($A563,vdata_regressors!$A$2:$A$2000,0)+1,MATCH(F$2,vdata_regressors!$A$1:$R$1,0)),"")</f>
        <v/>
      </c>
      <c r="G563" s="23" t="str">
        <f>IFERROR(INDEX(vdata_regressors!$A$1:$L$2000,MATCH($A563,vdata_regressors!$A$2:$A$2000,0)+1,MATCH(G$2,vdata_regressors!$A$1:$R$1,0)),"")</f>
        <v/>
      </c>
      <c r="H563" s="23" t="str">
        <f>IFERROR(INDEX(vdata_regressors!$A$1:$L$2000,MATCH($A563,vdata_regressors!$A$2:$A$2000,0)+1,MATCH(H$2,vdata_regressors!$A$1:$R$1,0)),"")</f>
        <v/>
      </c>
      <c r="I563" s="23" t="str">
        <f>IFERROR(INDEX(vdata_regressors!$A$1:$L$2000,MATCH($A563,vdata_regressors!$A$2:$A$2000,0)+1,MATCH(I$2,vdata_regressors!$A$1:$R$1,0)),"")</f>
        <v/>
      </c>
      <c r="J563" s="23" t="str">
        <f>IFERROR(INDEX(vdata_regressors!$A$1:$L$2000,MATCH($A563,vdata_regressors!$A$2:$A$2000,0)+1,MATCH(J$2,vdata_regressors!$A$1:$R$1,0)),"")</f>
        <v/>
      </c>
      <c r="K563" s="23" t="str">
        <f>IFERROR(INDEX(vdata_regressors!$A$1:$L$2000,MATCH($A563,vdata_regressors!$A$2:$A$2000,0)+1,MATCH(K$2,vdata_regressors!$A$1:$R$1,0)),"")</f>
        <v/>
      </c>
      <c r="L563" s="23" t="str">
        <f>IFERROR(INDEX(vdata_regressors!$A$1:$L$2000,MATCH($A563,vdata_regressors!$A$2:$A$2000,0)+1,MATCH(L$2,vdata_regressors!$A$1:$R$1,0)),"")</f>
        <v/>
      </c>
      <c r="M563" s="23" t="str">
        <f>IFERROR(VLOOKUP(A563,vdata_hours!$A$2:$B$1000,2,FALSE),"")</f>
        <v/>
      </c>
    </row>
    <row r="564" spans="1:13" x14ac:dyDescent="0.25">
      <c r="A564" s="23" t="str">
        <f>IF(vdata_hours!A563=0,"",vdata_hours!A563)</f>
        <v/>
      </c>
      <c r="B564" s="23" t="str">
        <f>IFERROR(INDEX(vdata_regressors!$A$1:$L$2000,MATCH($A564,vdata_regressors!$A$2:$A$2000,0)+1,MATCH(B$2,vdata_regressors!$A$1:$R$1,0)),"")</f>
        <v/>
      </c>
      <c r="C564" s="23" t="str">
        <f>IFERROR(INDEX(vdata_regressors!$A$1:$L$2000,MATCH($A564,vdata_regressors!$A$2:$A$2000,0)+1,MATCH(C$2,vdata_regressors!$A$1:$R$1,0)),"")</f>
        <v/>
      </c>
      <c r="D564" s="23" t="str">
        <f>IFERROR(INDEX(vdata_regressors!$A$1:$L$2000,MATCH($A564,vdata_regressors!$A$2:$A$2000,0)+1,MATCH(D$2,vdata_regressors!$A$1:$R$1,0)),"")</f>
        <v/>
      </c>
      <c r="E564" s="23" t="str">
        <f>IFERROR(INDEX(vdata_regressors!$A$1:$L$2000,MATCH($A564,vdata_regressors!$A$2:$A$2000,0)+1,MATCH(E$2,vdata_regressors!$A$1:$R$1,0)),"")</f>
        <v/>
      </c>
      <c r="F564" s="23" t="str">
        <f>IFERROR(INDEX(vdata_regressors!$A$1:$L$2000,MATCH($A564,vdata_regressors!$A$2:$A$2000,0)+1,MATCH(F$2,vdata_regressors!$A$1:$R$1,0)),"")</f>
        <v/>
      </c>
      <c r="G564" s="23" t="str">
        <f>IFERROR(INDEX(vdata_regressors!$A$1:$L$2000,MATCH($A564,vdata_regressors!$A$2:$A$2000,0)+1,MATCH(G$2,vdata_regressors!$A$1:$R$1,0)),"")</f>
        <v/>
      </c>
      <c r="H564" s="23" t="str">
        <f>IFERROR(INDEX(vdata_regressors!$A$1:$L$2000,MATCH($A564,vdata_regressors!$A$2:$A$2000,0)+1,MATCH(H$2,vdata_regressors!$A$1:$R$1,0)),"")</f>
        <v/>
      </c>
      <c r="I564" s="23" t="str">
        <f>IFERROR(INDEX(vdata_regressors!$A$1:$L$2000,MATCH($A564,vdata_regressors!$A$2:$A$2000,0)+1,MATCH(I$2,vdata_regressors!$A$1:$R$1,0)),"")</f>
        <v/>
      </c>
      <c r="J564" s="23" t="str">
        <f>IFERROR(INDEX(vdata_regressors!$A$1:$L$2000,MATCH($A564,vdata_regressors!$A$2:$A$2000,0)+1,MATCH(J$2,vdata_regressors!$A$1:$R$1,0)),"")</f>
        <v/>
      </c>
      <c r="K564" s="23" t="str">
        <f>IFERROR(INDEX(vdata_regressors!$A$1:$L$2000,MATCH($A564,vdata_regressors!$A$2:$A$2000,0)+1,MATCH(K$2,vdata_regressors!$A$1:$R$1,0)),"")</f>
        <v/>
      </c>
      <c r="L564" s="23" t="str">
        <f>IFERROR(INDEX(vdata_regressors!$A$1:$L$2000,MATCH($A564,vdata_regressors!$A$2:$A$2000,0)+1,MATCH(L$2,vdata_regressors!$A$1:$R$1,0)),"")</f>
        <v/>
      </c>
      <c r="M564" s="23" t="str">
        <f>IFERROR(VLOOKUP(A564,vdata_hours!$A$2:$B$1000,2,FALSE),"")</f>
        <v/>
      </c>
    </row>
    <row r="565" spans="1:13" x14ac:dyDescent="0.25">
      <c r="A565" s="23" t="str">
        <f>IF(vdata_hours!A564=0,"",vdata_hours!A564)</f>
        <v/>
      </c>
      <c r="B565" s="23" t="str">
        <f>IFERROR(INDEX(vdata_regressors!$A$1:$L$2000,MATCH($A565,vdata_regressors!$A$2:$A$2000,0)+1,MATCH(B$2,vdata_regressors!$A$1:$R$1,0)),"")</f>
        <v/>
      </c>
      <c r="C565" s="23" t="str">
        <f>IFERROR(INDEX(vdata_regressors!$A$1:$L$2000,MATCH($A565,vdata_regressors!$A$2:$A$2000,0)+1,MATCH(C$2,vdata_regressors!$A$1:$R$1,0)),"")</f>
        <v/>
      </c>
      <c r="D565" s="23" t="str">
        <f>IFERROR(INDEX(vdata_regressors!$A$1:$L$2000,MATCH($A565,vdata_regressors!$A$2:$A$2000,0)+1,MATCH(D$2,vdata_regressors!$A$1:$R$1,0)),"")</f>
        <v/>
      </c>
      <c r="E565" s="23" t="str">
        <f>IFERROR(INDEX(vdata_regressors!$A$1:$L$2000,MATCH($A565,vdata_regressors!$A$2:$A$2000,0)+1,MATCH(E$2,vdata_regressors!$A$1:$R$1,0)),"")</f>
        <v/>
      </c>
      <c r="F565" s="23" t="str">
        <f>IFERROR(INDEX(vdata_regressors!$A$1:$L$2000,MATCH($A565,vdata_regressors!$A$2:$A$2000,0)+1,MATCH(F$2,vdata_regressors!$A$1:$R$1,0)),"")</f>
        <v/>
      </c>
      <c r="G565" s="23" t="str">
        <f>IFERROR(INDEX(vdata_regressors!$A$1:$L$2000,MATCH($A565,vdata_regressors!$A$2:$A$2000,0)+1,MATCH(G$2,vdata_regressors!$A$1:$R$1,0)),"")</f>
        <v/>
      </c>
      <c r="H565" s="23" t="str">
        <f>IFERROR(INDEX(vdata_regressors!$A$1:$L$2000,MATCH($A565,vdata_regressors!$A$2:$A$2000,0)+1,MATCH(H$2,vdata_regressors!$A$1:$R$1,0)),"")</f>
        <v/>
      </c>
      <c r="I565" s="23" t="str">
        <f>IFERROR(INDEX(vdata_regressors!$A$1:$L$2000,MATCH($A565,vdata_regressors!$A$2:$A$2000,0)+1,MATCH(I$2,vdata_regressors!$A$1:$R$1,0)),"")</f>
        <v/>
      </c>
      <c r="J565" s="23" t="str">
        <f>IFERROR(INDEX(vdata_regressors!$A$1:$L$2000,MATCH($A565,vdata_regressors!$A$2:$A$2000,0)+1,MATCH(J$2,vdata_regressors!$A$1:$R$1,0)),"")</f>
        <v/>
      </c>
      <c r="K565" s="23" t="str">
        <f>IFERROR(INDEX(vdata_regressors!$A$1:$L$2000,MATCH($A565,vdata_regressors!$A$2:$A$2000,0)+1,MATCH(K$2,vdata_regressors!$A$1:$R$1,0)),"")</f>
        <v/>
      </c>
      <c r="L565" s="23" t="str">
        <f>IFERROR(INDEX(vdata_regressors!$A$1:$L$2000,MATCH($A565,vdata_regressors!$A$2:$A$2000,0)+1,MATCH(L$2,vdata_regressors!$A$1:$R$1,0)),"")</f>
        <v/>
      </c>
      <c r="M565" s="23" t="str">
        <f>IFERROR(VLOOKUP(A565,vdata_hours!$A$2:$B$1000,2,FALSE),"")</f>
        <v/>
      </c>
    </row>
    <row r="566" spans="1:13" x14ac:dyDescent="0.25">
      <c r="A566" s="23" t="str">
        <f>IF(vdata_hours!A565=0,"",vdata_hours!A565)</f>
        <v/>
      </c>
      <c r="B566" s="23" t="str">
        <f>IFERROR(INDEX(vdata_regressors!$A$1:$L$2000,MATCH($A566,vdata_regressors!$A$2:$A$2000,0)+1,MATCH(B$2,vdata_regressors!$A$1:$R$1,0)),"")</f>
        <v/>
      </c>
      <c r="C566" s="23" t="str">
        <f>IFERROR(INDEX(vdata_regressors!$A$1:$L$2000,MATCH($A566,vdata_regressors!$A$2:$A$2000,0)+1,MATCH(C$2,vdata_regressors!$A$1:$R$1,0)),"")</f>
        <v/>
      </c>
      <c r="D566" s="23" t="str">
        <f>IFERROR(INDEX(vdata_regressors!$A$1:$L$2000,MATCH($A566,vdata_regressors!$A$2:$A$2000,0)+1,MATCH(D$2,vdata_regressors!$A$1:$R$1,0)),"")</f>
        <v/>
      </c>
      <c r="E566" s="23" t="str">
        <f>IFERROR(INDEX(vdata_regressors!$A$1:$L$2000,MATCH($A566,vdata_regressors!$A$2:$A$2000,0)+1,MATCH(E$2,vdata_regressors!$A$1:$R$1,0)),"")</f>
        <v/>
      </c>
      <c r="F566" s="23" t="str">
        <f>IFERROR(INDEX(vdata_regressors!$A$1:$L$2000,MATCH($A566,vdata_regressors!$A$2:$A$2000,0)+1,MATCH(F$2,vdata_regressors!$A$1:$R$1,0)),"")</f>
        <v/>
      </c>
      <c r="G566" s="23" t="str">
        <f>IFERROR(INDEX(vdata_regressors!$A$1:$L$2000,MATCH($A566,vdata_regressors!$A$2:$A$2000,0)+1,MATCH(G$2,vdata_regressors!$A$1:$R$1,0)),"")</f>
        <v/>
      </c>
      <c r="H566" s="23" t="str">
        <f>IFERROR(INDEX(vdata_regressors!$A$1:$L$2000,MATCH($A566,vdata_regressors!$A$2:$A$2000,0)+1,MATCH(H$2,vdata_regressors!$A$1:$R$1,0)),"")</f>
        <v/>
      </c>
      <c r="I566" s="23" t="str">
        <f>IFERROR(INDEX(vdata_regressors!$A$1:$L$2000,MATCH($A566,vdata_regressors!$A$2:$A$2000,0)+1,MATCH(I$2,vdata_regressors!$A$1:$R$1,0)),"")</f>
        <v/>
      </c>
      <c r="J566" s="23" t="str">
        <f>IFERROR(INDEX(vdata_regressors!$A$1:$L$2000,MATCH($A566,vdata_regressors!$A$2:$A$2000,0)+1,MATCH(J$2,vdata_regressors!$A$1:$R$1,0)),"")</f>
        <v/>
      </c>
      <c r="K566" s="23" t="str">
        <f>IFERROR(INDEX(vdata_regressors!$A$1:$L$2000,MATCH($A566,vdata_regressors!$A$2:$A$2000,0)+1,MATCH(K$2,vdata_regressors!$A$1:$R$1,0)),"")</f>
        <v/>
      </c>
      <c r="L566" s="23" t="str">
        <f>IFERROR(INDEX(vdata_regressors!$A$1:$L$2000,MATCH($A566,vdata_regressors!$A$2:$A$2000,0)+1,MATCH(L$2,vdata_regressors!$A$1:$R$1,0)),"")</f>
        <v/>
      </c>
      <c r="M566" s="23" t="str">
        <f>IFERROR(VLOOKUP(A566,vdata_hours!$A$2:$B$1000,2,FALSE),"")</f>
        <v/>
      </c>
    </row>
    <row r="567" spans="1:13" x14ac:dyDescent="0.25">
      <c r="A567" s="23" t="str">
        <f>IF(vdata_hours!A566=0,"",vdata_hours!A566)</f>
        <v/>
      </c>
      <c r="B567" s="23" t="str">
        <f>IFERROR(INDEX(vdata_regressors!$A$1:$L$2000,MATCH($A567,vdata_regressors!$A$2:$A$2000,0)+1,MATCH(B$2,vdata_regressors!$A$1:$R$1,0)),"")</f>
        <v/>
      </c>
      <c r="C567" s="23" t="str">
        <f>IFERROR(INDEX(vdata_regressors!$A$1:$L$2000,MATCH($A567,vdata_regressors!$A$2:$A$2000,0)+1,MATCH(C$2,vdata_regressors!$A$1:$R$1,0)),"")</f>
        <v/>
      </c>
      <c r="D567" s="23" t="str">
        <f>IFERROR(INDEX(vdata_regressors!$A$1:$L$2000,MATCH($A567,vdata_regressors!$A$2:$A$2000,0)+1,MATCH(D$2,vdata_regressors!$A$1:$R$1,0)),"")</f>
        <v/>
      </c>
      <c r="E567" s="23" t="str">
        <f>IFERROR(INDEX(vdata_regressors!$A$1:$L$2000,MATCH($A567,vdata_regressors!$A$2:$A$2000,0)+1,MATCH(E$2,vdata_regressors!$A$1:$R$1,0)),"")</f>
        <v/>
      </c>
      <c r="F567" s="23" t="str">
        <f>IFERROR(INDEX(vdata_regressors!$A$1:$L$2000,MATCH($A567,vdata_regressors!$A$2:$A$2000,0)+1,MATCH(F$2,vdata_regressors!$A$1:$R$1,0)),"")</f>
        <v/>
      </c>
      <c r="G567" s="23" t="str">
        <f>IFERROR(INDEX(vdata_regressors!$A$1:$L$2000,MATCH($A567,vdata_regressors!$A$2:$A$2000,0)+1,MATCH(G$2,vdata_regressors!$A$1:$R$1,0)),"")</f>
        <v/>
      </c>
      <c r="H567" s="23" t="str">
        <f>IFERROR(INDEX(vdata_regressors!$A$1:$L$2000,MATCH($A567,vdata_regressors!$A$2:$A$2000,0)+1,MATCH(H$2,vdata_regressors!$A$1:$R$1,0)),"")</f>
        <v/>
      </c>
      <c r="I567" s="23" t="str">
        <f>IFERROR(INDEX(vdata_regressors!$A$1:$L$2000,MATCH($A567,vdata_regressors!$A$2:$A$2000,0)+1,MATCH(I$2,vdata_regressors!$A$1:$R$1,0)),"")</f>
        <v/>
      </c>
      <c r="J567" s="23" t="str">
        <f>IFERROR(INDEX(vdata_regressors!$A$1:$L$2000,MATCH($A567,vdata_regressors!$A$2:$A$2000,0)+1,MATCH(J$2,vdata_regressors!$A$1:$R$1,0)),"")</f>
        <v/>
      </c>
      <c r="K567" s="23" t="str">
        <f>IFERROR(INDEX(vdata_regressors!$A$1:$L$2000,MATCH($A567,vdata_regressors!$A$2:$A$2000,0)+1,MATCH(K$2,vdata_regressors!$A$1:$R$1,0)),"")</f>
        <v/>
      </c>
      <c r="L567" s="23" t="str">
        <f>IFERROR(INDEX(vdata_regressors!$A$1:$L$2000,MATCH($A567,vdata_regressors!$A$2:$A$2000,0)+1,MATCH(L$2,vdata_regressors!$A$1:$R$1,0)),"")</f>
        <v/>
      </c>
      <c r="M567" s="23" t="str">
        <f>IFERROR(VLOOKUP(A567,vdata_hours!$A$2:$B$1000,2,FALSE),"")</f>
        <v/>
      </c>
    </row>
    <row r="568" spans="1:13" x14ac:dyDescent="0.25">
      <c r="A568" s="23" t="str">
        <f>IF(vdata_hours!A567=0,"",vdata_hours!A567)</f>
        <v/>
      </c>
      <c r="B568" s="23" t="str">
        <f>IFERROR(INDEX(vdata_regressors!$A$1:$L$2000,MATCH($A568,vdata_regressors!$A$2:$A$2000,0)+1,MATCH(B$2,vdata_regressors!$A$1:$R$1,0)),"")</f>
        <v/>
      </c>
      <c r="C568" s="23" t="str">
        <f>IFERROR(INDEX(vdata_regressors!$A$1:$L$2000,MATCH($A568,vdata_regressors!$A$2:$A$2000,0)+1,MATCH(C$2,vdata_regressors!$A$1:$R$1,0)),"")</f>
        <v/>
      </c>
      <c r="D568" s="23" t="str">
        <f>IFERROR(INDEX(vdata_regressors!$A$1:$L$2000,MATCH($A568,vdata_regressors!$A$2:$A$2000,0)+1,MATCH(D$2,vdata_regressors!$A$1:$R$1,0)),"")</f>
        <v/>
      </c>
      <c r="E568" s="23" t="str">
        <f>IFERROR(INDEX(vdata_regressors!$A$1:$L$2000,MATCH($A568,vdata_regressors!$A$2:$A$2000,0)+1,MATCH(E$2,vdata_regressors!$A$1:$R$1,0)),"")</f>
        <v/>
      </c>
      <c r="F568" s="23" t="str">
        <f>IFERROR(INDEX(vdata_regressors!$A$1:$L$2000,MATCH($A568,vdata_regressors!$A$2:$A$2000,0)+1,MATCH(F$2,vdata_regressors!$A$1:$R$1,0)),"")</f>
        <v/>
      </c>
      <c r="G568" s="23" t="str">
        <f>IFERROR(INDEX(vdata_regressors!$A$1:$L$2000,MATCH($A568,vdata_regressors!$A$2:$A$2000,0)+1,MATCH(G$2,vdata_regressors!$A$1:$R$1,0)),"")</f>
        <v/>
      </c>
      <c r="H568" s="23" t="str">
        <f>IFERROR(INDEX(vdata_regressors!$A$1:$L$2000,MATCH($A568,vdata_regressors!$A$2:$A$2000,0)+1,MATCH(H$2,vdata_regressors!$A$1:$R$1,0)),"")</f>
        <v/>
      </c>
      <c r="I568" s="23" t="str">
        <f>IFERROR(INDEX(vdata_regressors!$A$1:$L$2000,MATCH($A568,vdata_regressors!$A$2:$A$2000,0)+1,MATCH(I$2,vdata_regressors!$A$1:$R$1,0)),"")</f>
        <v/>
      </c>
      <c r="J568" s="23" t="str">
        <f>IFERROR(INDEX(vdata_regressors!$A$1:$L$2000,MATCH($A568,vdata_regressors!$A$2:$A$2000,0)+1,MATCH(J$2,vdata_regressors!$A$1:$R$1,0)),"")</f>
        <v/>
      </c>
      <c r="K568" s="23" t="str">
        <f>IFERROR(INDEX(vdata_regressors!$A$1:$L$2000,MATCH($A568,vdata_regressors!$A$2:$A$2000,0)+1,MATCH(K$2,vdata_regressors!$A$1:$R$1,0)),"")</f>
        <v/>
      </c>
      <c r="L568" s="23" t="str">
        <f>IFERROR(INDEX(vdata_regressors!$A$1:$L$2000,MATCH($A568,vdata_regressors!$A$2:$A$2000,0)+1,MATCH(L$2,vdata_regressors!$A$1:$R$1,0)),"")</f>
        <v/>
      </c>
      <c r="M568" s="23" t="str">
        <f>IFERROR(VLOOKUP(A568,vdata_hours!$A$2:$B$1000,2,FALSE),"")</f>
        <v/>
      </c>
    </row>
    <row r="569" spans="1:13" x14ac:dyDescent="0.25">
      <c r="A569" s="23" t="str">
        <f>IF(vdata_hours!A568=0,"",vdata_hours!A568)</f>
        <v/>
      </c>
      <c r="B569" s="23" t="str">
        <f>IFERROR(INDEX(vdata_regressors!$A$1:$L$2000,MATCH($A569,vdata_regressors!$A$2:$A$2000,0)+1,MATCH(B$2,vdata_regressors!$A$1:$R$1,0)),"")</f>
        <v/>
      </c>
      <c r="C569" s="23" t="str">
        <f>IFERROR(INDEX(vdata_regressors!$A$1:$L$2000,MATCH($A569,vdata_regressors!$A$2:$A$2000,0)+1,MATCH(C$2,vdata_regressors!$A$1:$R$1,0)),"")</f>
        <v/>
      </c>
      <c r="D569" s="23" t="str">
        <f>IFERROR(INDEX(vdata_regressors!$A$1:$L$2000,MATCH($A569,vdata_regressors!$A$2:$A$2000,0)+1,MATCH(D$2,vdata_regressors!$A$1:$R$1,0)),"")</f>
        <v/>
      </c>
      <c r="E569" s="23" t="str">
        <f>IFERROR(INDEX(vdata_regressors!$A$1:$L$2000,MATCH($A569,vdata_regressors!$A$2:$A$2000,0)+1,MATCH(E$2,vdata_regressors!$A$1:$R$1,0)),"")</f>
        <v/>
      </c>
      <c r="F569" s="23" t="str">
        <f>IFERROR(INDEX(vdata_regressors!$A$1:$L$2000,MATCH($A569,vdata_regressors!$A$2:$A$2000,0)+1,MATCH(F$2,vdata_regressors!$A$1:$R$1,0)),"")</f>
        <v/>
      </c>
      <c r="G569" s="23" t="str">
        <f>IFERROR(INDEX(vdata_regressors!$A$1:$L$2000,MATCH($A569,vdata_regressors!$A$2:$A$2000,0)+1,MATCH(G$2,vdata_regressors!$A$1:$R$1,0)),"")</f>
        <v/>
      </c>
      <c r="H569" s="23" t="str">
        <f>IFERROR(INDEX(vdata_regressors!$A$1:$L$2000,MATCH($A569,vdata_regressors!$A$2:$A$2000,0)+1,MATCH(H$2,vdata_regressors!$A$1:$R$1,0)),"")</f>
        <v/>
      </c>
      <c r="I569" s="23" t="str">
        <f>IFERROR(INDEX(vdata_regressors!$A$1:$L$2000,MATCH($A569,vdata_regressors!$A$2:$A$2000,0)+1,MATCH(I$2,vdata_regressors!$A$1:$R$1,0)),"")</f>
        <v/>
      </c>
      <c r="J569" s="23" t="str">
        <f>IFERROR(INDEX(vdata_regressors!$A$1:$L$2000,MATCH($A569,vdata_regressors!$A$2:$A$2000,0)+1,MATCH(J$2,vdata_regressors!$A$1:$R$1,0)),"")</f>
        <v/>
      </c>
      <c r="K569" s="23" t="str">
        <f>IFERROR(INDEX(vdata_regressors!$A$1:$L$2000,MATCH($A569,vdata_regressors!$A$2:$A$2000,0)+1,MATCH(K$2,vdata_regressors!$A$1:$R$1,0)),"")</f>
        <v/>
      </c>
      <c r="L569" s="23" t="str">
        <f>IFERROR(INDEX(vdata_regressors!$A$1:$L$2000,MATCH($A569,vdata_regressors!$A$2:$A$2000,0)+1,MATCH(L$2,vdata_regressors!$A$1:$R$1,0)),"")</f>
        <v/>
      </c>
      <c r="M569" s="23" t="str">
        <f>IFERROR(VLOOKUP(A569,vdata_hours!$A$2:$B$1000,2,FALSE),"")</f>
        <v/>
      </c>
    </row>
    <row r="570" spans="1:13" x14ac:dyDescent="0.25">
      <c r="A570" s="23" t="str">
        <f>IF(vdata_hours!A569=0,"",vdata_hours!A569)</f>
        <v/>
      </c>
      <c r="B570" s="23" t="str">
        <f>IFERROR(INDEX(vdata_regressors!$A$1:$L$2000,MATCH($A570,vdata_regressors!$A$2:$A$2000,0)+1,MATCH(B$2,vdata_regressors!$A$1:$R$1,0)),"")</f>
        <v/>
      </c>
      <c r="C570" s="23" t="str">
        <f>IFERROR(INDEX(vdata_regressors!$A$1:$L$2000,MATCH($A570,vdata_regressors!$A$2:$A$2000,0)+1,MATCH(C$2,vdata_regressors!$A$1:$R$1,0)),"")</f>
        <v/>
      </c>
      <c r="D570" s="23" t="str">
        <f>IFERROR(INDEX(vdata_regressors!$A$1:$L$2000,MATCH($A570,vdata_regressors!$A$2:$A$2000,0)+1,MATCH(D$2,vdata_regressors!$A$1:$R$1,0)),"")</f>
        <v/>
      </c>
      <c r="E570" s="23" t="str">
        <f>IFERROR(INDEX(vdata_regressors!$A$1:$L$2000,MATCH($A570,vdata_regressors!$A$2:$A$2000,0)+1,MATCH(E$2,vdata_regressors!$A$1:$R$1,0)),"")</f>
        <v/>
      </c>
      <c r="F570" s="23" t="str">
        <f>IFERROR(INDEX(vdata_regressors!$A$1:$L$2000,MATCH($A570,vdata_regressors!$A$2:$A$2000,0)+1,MATCH(F$2,vdata_regressors!$A$1:$R$1,0)),"")</f>
        <v/>
      </c>
      <c r="G570" s="23" t="str">
        <f>IFERROR(INDEX(vdata_regressors!$A$1:$L$2000,MATCH($A570,vdata_regressors!$A$2:$A$2000,0)+1,MATCH(G$2,vdata_regressors!$A$1:$R$1,0)),"")</f>
        <v/>
      </c>
      <c r="H570" s="23" t="str">
        <f>IFERROR(INDEX(vdata_regressors!$A$1:$L$2000,MATCH($A570,vdata_regressors!$A$2:$A$2000,0)+1,MATCH(H$2,vdata_regressors!$A$1:$R$1,0)),"")</f>
        <v/>
      </c>
      <c r="I570" s="23" t="str">
        <f>IFERROR(INDEX(vdata_regressors!$A$1:$L$2000,MATCH($A570,vdata_regressors!$A$2:$A$2000,0)+1,MATCH(I$2,vdata_regressors!$A$1:$R$1,0)),"")</f>
        <v/>
      </c>
      <c r="J570" s="23" t="str">
        <f>IFERROR(INDEX(vdata_regressors!$A$1:$L$2000,MATCH($A570,vdata_regressors!$A$2:$A$2000,0)+1,MATCH(J$2,vdata_regressors!$A$1:$R$1,0)),"")</f>
        <v/>
      </c>
      <c r="K570" s="23" t="str">
        <f>IFERROR(INDEX(vdata_regressors!$A$1:$L$2000,MATCH($A570,vdata_regressors!$A$2:$A$2000,0)+1,MATCH(K$2,vdata_regressors!$A$1:$R$1,0)),"")</f>
        <v/>
      </c>
      <c r="L570" s="23" t="str">
        <f>IFERROR(INDEX(vdata_regressors!$A$1:$L$2000,MATCH($A570,vdata_regressors!$A$2:$A$2000,0)+1,MATCH(L$2,vdata_regressors!$A$1:$R$1,0)),"")</f>
        <v/>
      </c>
      <c r="M570" s="23" t="str">
        <f>IFERROR(VLOOKUP(A570,vdata_hours!$A$2:$B$1000,2,FALSE),"")</f>
        <v/>
      </c>
    </row>
    <row r="571" spans="1:13" x14ac:dyDescent="0.25">
      <c r="A571" s="23" t="str">
        <f>IF(vdata_hours!A570=0,"",vdata_hours!A570)</f>
        <v/>
      </c>
      <c r="B571" s="23" t="str">
        <f>IFERROR(INDEX(vdata_regressors!$A$1:$L$2000,MATCH($A571,vdata_regressors!$A$2:$A$2000,0)+1,MATCH(B$2,vdata_regressors!$A$1:$R$1,0)),"")</f>
        <v/>
      </c>
      <c r="C571" s="23" t="str">
        <f>IFERROR(INDEX(vdata_regressors!$A$1:$L$2000,MATCH($A571,vdata_regressors!$A$2:$A$2000,0)+1,MATCH(C$2,vdata_regressors!$A$1:$R$1,0)),"")</f>
        <v/>
      </c>
      <c r="D571" s="23" t="str">
        <f>IFERROR(INDEX(vdata_regressors!$A$1:$L$2000,MATCH($A571,vdata_regressors!$A$2:$A$2000,0)+1,MATCH(D$2,vdata_regressors!$A$1:$R$1,0)),"")</f>
        <v/>
      </c>
      <c r="E571" s="23" t="str">
        <f>IFERROR(INDEX(vdata_regressors!$A$1:$L$2000,MATCH($A571,vdata_regressors!$A$2:$A$2000,0)+1,MATCH(E$2,vdata_regressors!$A$1:$R$1,0)),"")</f>
        <v/>
      </c>
      <c r="F571" s="23" t="str">
        <f>IFERROR(INDEX(vdata_regressors!$A$1:$L$2000,MATCH($A571,vdata_regressors!$A$2:$A$2000,0)+1,MATCH(F$2,vdata_regressors!$A$1:$R$1,0)),"")</f>
        <v/>
      </c>
      <c r="G571" s="23" t="str">
        <f>IFERROR(INDEX(vdata_regressors!$A$1:$L$2000,MATCH($A571,vdata_regressors!$A$2:$A$2000,0)+1,MATCH(G$2,vdata_regressors!$A$1:$R$1,0)),"")</f>
        <v/>
      </c>
      <c r="H571" s="23" t="str">
        <f>IFERROR(INDEX(vdata_regressors!$A$1:$L$2000,MATCH($A571,vdata_regressors!$A$2:$A$2000,0)+1,MATCH(H$2,vdata_regressors!$A$1:$R$1,0)),"")</f>
        <v/>
      </c>
      <c r="I571" s="23" t="str">
        <f>IFERROR(INDEX(vdata_regressors!$A$1:$L$2000,MATCH($A571,vdata_regressors!$A$2:$A$2000,0)+1,MATCH(I$2,vdata_regressors!$A$1:$R$1,0)),"")</f>
        <v/>
      </c>
      <c r="J571" s="23" t="str">
        <f>IFERROR(INDEX(vdata_regressors!$A$1:$L$2000,MATCH($A571,vdata_regressors!$A$2:$A$2000,0)+1,MATCH(J$2,vdata_regressors!$A$1:$R$1,0)),"")</f>
        <v/>
      </c>
      <c r="K571" s="23" t="str">
        <f>IFERROR(INDEX(vdata_regressors!$A$1:$L$2000,MATCH($A571,vdata_regressors!$A$2:$A$2000,0)+1,MATCH(K$2,vdata_regressors!$A$1:$R$1,0)),"")</f>
        <v/>
      </c>
      <c r="L571" s="23" t="str">
        <f>IFERROR(INDEX(vdata_regressors!$A$1:$L$2000,MATCH($A571,vdata_regressors!$A$2:$A$2000,0)+1,MATCH(L$2,vdata_regressors!$A$1:$R$1,0)),"")</f>
        <v/>
      </c>
      <c r="M571" s="23" t="str">
        <f>IFERROR(VLOOKUP(A571,vdata_hours!$A$2:$B$1000,2,FALSE),"")</f>
        <v/>
      </c>
    </row>
    <row r="572" spans="1:13" x14ac:dyDescent="0.25">
      <c r="A572" s="23" t="str">
        <f>IF(vdata_hours!A571=0,"",vdata_hours!A571)</f>
        <v/>
      </c>
      <c r="B572" s="23" t="str">
        <f>IFERROR(INDEX(vdata_regressors!$A$1:$L$2000,MATCH($A572,vdata_regressors!$A$2:$A$2000,0)+1,MATCH(B$2,vdata_regressors!$A$1:$R$1,0)),"")</f>
        <v/>
      </c>
      <c r="C572" s="23" t="str">
        <f>IFERROR(INDEX(vdata_regressors!$A$1:$L$2000,MATCH($A572,vdata_regressors!$A$2:$A$2000,0)+1,MATCH(C$2,vdata_regressors!$A$1:$R$1,0)),"")</f>
        <v/>
      </c>
      <c r="D572" s="23" t="str">
        <f>IFERROR(INDEX(vdata_regressors!$A$1:$L$2000,MATCH($A572,vdata_regressors!$A$2:$A$2000,0)+1,MATCH(D$2,vdata_regressors!$A$1:$R$1,0)),"")</f>
        <v/>
      </c>
      <c r="E572" s="23" t="str">
        <f>IFERROR(INDEX(vdata_regressors!$A$1:$L$2000,MATCH($A572,vdata_regressors!$A$2:$A$2000,0)+1,MATCH(E$2,vdata_regressors!$A$1:$R$1,0)),"")</f>
        <v/>
      </c>
      <c r="F572" s="23" t="str">
        <f>IFERROR(INDEX(vdata_regressors!$A$1:$L$2000,MATCH($A572,vdata_regressors!$A$2:$A$2000,0)+1,MATCH(F$2,vdata_regressors!$A$1:$R$1,0)),"")</f>
        <v/>
      </c>
      <c r="G572" s="23" t="str">
        <f>IFERROR(INDEX(vdata_regressors!$A$1:$L$2000,MATCH($A572,vdata_regressors!$A$2:$A$2000,0)+1,MATCH(G$2,vdata_regressors!$A$1:$R$1,0)),"")</f>
        <v/>
      </c>
      <c r="H572" s="23" t="str">
        <f>IFERROR(INDEX(vdata_regressors!$A$1:$L$2000,MATCH($A572,vdata_regressors!$A$2:$A$2000,0)+1,MATCH(H$2,vdata_regressors!$A$1:$R$1,0)),"")</f>
        <v/>
      </c>
      <c r="I572" s="23" t="str">
        <f>IFERROR(INDEX(vdata_regressors!$A$1:$L$2000,MATCH($A572,vdata_regressors!$A$2:$A$2000,0)+1,MATCH(I$2,vdata_regressors!$A$1:$R$1,0)),"")</f>
        <v/>
      </c>
      <c r="J572" s="23" t="str">
        <f>IFERROR(INDEX(vdata_regressors!$A$1:$L$2000,MATCH($A572,vdata_regressors!$A$2:$A$2000,0)+1,MATCH(J$2,vdata_regressors!$A$1:$R$1,0)),"")</f>
        <v/>
      </c>
      <c r="K572" s="23" t="str">
        <f>IFERROR(INDEX(vdata_regressors!$A$1:$L$2000,MATCH($A572,vdata_regressors!$A$2:$A$2000,0)+1,MATCH(K$2,vdata_regressors!$A$1:$R$1,0)),"")</f>
        <v/>
      </c>
      <c r="L572" s="23" t="str">
        <f>IFERROR(INDEX(vdata_regressors!$A$1:$L$2000,MATCH($A572,vdata_regressors!$A$2:$A$2000,0)+1,MATCH(L$2,vdata_regressors!$A$1:$R$1,0)),"")</f>
        <v/>
      </c>
      <c r="M572" s="23" t="str">
        <f>IFERROR(VLOOKUP(A572,vdata_hours!$A$2:$B$1000,2,FALSE),"")</f>
        <v/>
      </c>
    </row>
    <row r="573" spans="1:13" x14ac:dyDescent="0.25">
      <c r="A573" s="23" t="str">
        <f>IF(vdata_hours!A572=0,"",vdata_hours!A572)</f>
        <v/>
      </c>
      <c r="B573" s="23" t="str">
        <f>IFERROR(INDEX(vdata_regressors!$A$1:$L$2000,MATCH($A573,vdata_regressors!$A$2:$A$2000,0)+1,MATCH(B$2,vdata_regressors!$A$1:$R$1,0)),"")</f>
        <v/>
      </c>
      <c r="C573" s="23" t="str">
        <f>IFERROR(INDEX(vdata_regressors!$A$1:$L$2000,MATCH($A573,vdata_regressors!$A$2:$A$2000,0)+1,MATCH(C$2,vdata_regressors!$A$1:$R$1,0)),"")</f>
        <v/>
      </c>
      <c r="D573" s="23" t="str">
        <f>IFERROR(INDEX(vdata_regressors!$A$1:$L$2000,MATCH($A573,vdata_regressors!$A$2:$A$2000,0)+1,MATCH(D$2,vdata_regressors!$A$1:$R$1,0)),"")</f>
        <v/>
      </c>
      <c r="E573" s="23" t="str">
        <f>IFERROR(INDEX(vdata_regressors!$A$1:$L$2000,MATCH($A573,vdata_regressors!$A$2:$A$2000,0)+1,MATCH(E$2,vdata_regressors!$A$1:$R$1,0)),"")</f>
        <v/>
      </c>
      <c r="F573" s="23" t="str">
        <f>IFERROR(INDEX(vdata_regressors!$A$1:$L$2000,MATCH($A573,vdata_regressors!$A$2:$A$2000,0)+1,MATCH(F$2,vdata_regressors!$A$1:$R$1,0)),"")</f>
        <v/>
      </c>
      <c r="G573" s="23" t="str">
        <f>IFERROR(INDEX(vdata_regressors!$A$1:$L$2000,MATCH($A573,vdata_regressors!$A$2:$A$2000,0)+1,MATCH(G$2,vdata_regressors!$A$1:$R$1,0)),"")</f>
        <v/>
      </c>
      <c r="H573" s="23" t="str">
        <f>IFERROR(INDEX(vdata_regressors!$A$1:$L$2000,MATCH($A573,vdata_regressors!$A$2:$A$2000,0)+1,MATCH(H$2,vdata_regressors!$A$1:$R$1,0)),"")</f>
        <v/>
      </c>
      <c r="I573" s="23" t="str">
        <f>IFERROR(INDEX(vdata_regressors!$A$1:$L$2000,MATCH($A573,vdata_regressors!$A$2:$A$2000,0)+1,MATCH(I$2,vdata_regressors!$A$1:$R$1,0)),"")</f>
        <v/>
      </c>
      <c r="J573" s="23" t="str">
        <f>IFERROR(INDEX(vdata_regressors!$A$1:$L$2000,MATCH($A573,vdata_regressors!$A$2:$A$2000,0)+1,MATCH(J$2,vdata_regressors!$A$1:$R$1,0)),"")</f>
        <v/>
      </c>
      <c r="K573" s="23" t="str">
        <f>IFERROR(INDEX(vdata_regressors!$A$1:$L$2000,MATCH($A573,vdata_regressors!$A$2:$A$2000,0)+1,MATCH(K$2,vdata_regressors!$A$1:$R$1,0)),"")</f>
        <v/>
      </c>
      <c r="L573" s="23" t="str">
        <f>IFERROR(INDEX(vdata_regressors!$A$1:$L$2000,MATCH($A573,vdata_regressors!$A$2:$A$2000,0)+1,MATCH(L$2,vdata_regressors!$A$1:$R$1,0)),"")</f>
        <v/>
      </c>
      <c r="M573" s="23" t="str">
        <f>IFERROR(VLOOKUP(A573,vdata_hours!$A$2:$B$1000,2,FALSE),"")</f>
        <v/>
      </c>
    </row>
    <row r="574" spans="1:13" x14ac:dyDescent="0.25">
      <c r="A574" s="23" t="str">
        <f>IF(vdata_hours!A573=0,"",vdata_hours!A573)</f>
        <v/>
      </c>
      <c r="B574" s="23" t="str">
        <f>IFERROR(INDEX(vdata_regressors!$A$1:$L$2000,MATCH($A574,vdata_regressors!$A$2:$A$2000,0)+1,MATCH(B$2,vdata_regressors!$A$1:$R$1,0)),"")</f>
        <v/>
      </c>
      <c r="C574" s="23" t="str">
        <f>IFERROR(INDEX(vdata_regressors!$A$1:$L$2000,MATCH($A574,vdata_regressors!$A$2:$A$2000,0)+1,MATCH(C$2,vdata_regressors!$A$1:$R$1,0)),"")</f>
        <v/>
      </c>
      <c r="D574" s="23" t="str">
        <f>IFERROR(INDEX(vdata_regressors!$A$1:$L$2000,MATCH($A574,vdata_regressors!$A$2:$A$2000,0)+1,MATCH(D$2,vdata_regressors!$A$1:$R$1,0)),"")</f>
        <v/>
      </c>
      <c r="E574" s="23" t="str">
        <f>IFERROR(INDEX(vdata_regressors!$A$1:$L$2000,MATCH($A574,vdata_regressors!$A$2:$A$2000,0)+1,MATCH(E$2,vdata_regressors!$A$1:$R$1,0)),"")</f>
        <v/>
      </c>
      <c r="F574" s="23" t="str">
        <f>IFERROR(INDEX(vdata_regressors!$A$1:$L$2000,MATCH($A574,vdata_regressors!$A$2:$A$2000,0)+1,MATCH(F$2,vdata_regressors!$A$1:$R$1,0)),"")</f>
        <v/>
      </c>
      <c r="G574" s="23" t="str">
        <f>IFERROR(INDEX(vdata_regressors!$A$1:$L$2000,MATCH($A574,vdata_regressors!$A$2:$A$2000,0)+1,MATCH(G$2,vdata_regressors!$A$1:$R$1,0)),"")</f>
        <v/>
      </c>
      <c r="H574" s="23" t="str">
        <f>IFERROR(INDEX(vdata_regressors!$A$1:$L$2000,MATCH($A574,vdata_regressors!$A$2:$A$2000,0)+1,MATCH(H$2,vdata_regressors!$A$1:$R$1,0)),"")</f>
        <v/>
      </c>
      <c r="I574" s="23" t="str">
        <f>IFERROR(INDEX(vdata_regressors!$A$1:$L$2000,MATCH($A574,vdata_regressors!$A$2:$A$2000,0)+1,MATCH(I$2,vdata_regressors!$A$1:$R$1,0)),"")</f>
        <v/>
      </c>
      <c r="J574" s="23" t="str">
        <f>IFERROR(INDEX(vdata_regressors!$A$1:$L$2000,MATCH($A574,vdata_regressors!$A$2:$A$2000,0)+1,MATCH(J$2,vdata_regressors!$A$1:$R$1,0)),"")</f>
        <v/>
      </c>
      <c r="K574" s="23" t="str">
        <f>IFERROR(INDEX(vdata_regressors!$A$1:$L$2000,MATCH($A574,vdata_regressors!$A$2:$A$2000,0)+1,MATCH(K$2,vdata_regressors!$A$1:$R$1,0)),"")</f>
        <v/>
      </c>
      <c r="L574" s="23" t="str">
        <f>IFERROR(INDEX(vdata_regressors!$A$1:$L$2000,MATCH($A574,vdata_regressors!$A$2:$A$2000,0)+1,MATCH(L$2,vdata_regressors!$A$1:$R$1,0)),"")</f>
        <v/>
      </c>
      <c r="M574" s="23" t="str">
        <f>IFERROR(VLOOKUP(A574,vdata_hours!$A$2:$B$1000,2,FALSE),"")</f>
        <v/>
      </c>
    </row>
    <row r="575" spans="1:13" x14ac:dyDescent="0.25">
      <c r="A575" s="23" t="str">
        <f>IF(vdata_hours!A574=0,"",vdata_hours!A574)</f>
        <v/>
      </c>
      <c r="B575" s="23" t="str">
        <f>IFERROR(INDEX(vdata_regressors!$A$1:$L$2000,MATCH($A575,vdata_regressors!$A$2:$A$2000,0)+1,MATCH(B$2,vdata_regressors!$A$1:$R$1,0)),"")</f>
        <v/>
      </c>
      <c r="C575" s="23" t="str">
        <f>IFERROR(INDEX(vdata_regressors!$A$1:$L$2000,MATCH($A575,vdata_regressors!$A$2:$A$2000,0)+1,MATCH(C$2,vdata_regressors!$A$1:$R$1,0)),"")</f>
        <v/>
      </c>
      <c r="D575" s="23" t="str">
        <f>IFERROR(INDEX(vdata_regressors!$A$1:$L$2000,MATCH($A575,vdata_regressors!$A$2:$A$2000,0)+1,MATCH(D$2,vdata_regressors!$A$1:$R$1,0)),"")</f>
        <v/>
      </c>
      <c r="E575" s="23" t="str">
        <f>IFERROR(INDEX(vdata_regressors!$A$1:$L$2000,MATCH($A575,vdata_regressors!$A$2:$A$2000,0)+1,MATCH(E$2,vdata_regressors!$A$1:$R$1,0)),"")</f>
        <v/>
      </c>
      <c r="F575" s="23" t="str">
        <f>IFERROR(INDEX(vdata_regressors!$A$1:$L$2000,MATCH($A575,vdata_regressors!$A$2:$A$2000,0)+1,MATCH(F$2,vdata_regressors!$A$1:$R$1,0)),"")</f>
        <v/>
      </c>
      <c r="G575" s="23" t="str">
        <f>IFERROR(INDEX(vdata_regressors!$A$1:$L$2000,MATCH($A575,vdata_regressors!$A$2:$A$2000,0)+1,MATCH(G$2,vdata_regressors!$A$1:$R$1,0)),"")</f>
        <v/>
      </c>
      <c r="H575" s="23" t="str">
        <f>IFERROR(INDEX(vdata_regressors!$A$1:$L$2000,MATCH($A575,vdata_regressors!$A$2:$A$2000,0)+1,MATCH(H$2,vdata_regressors!$A$1:$R$1,0)),"")</f>
        <v/>
      </c>
      <c r="I575" s="23" t="str">
        <f>IFERROR(INDEX(vdata_regressors!$A$1:$L$2000,MATCH($A575,vdata_regressors!$A$2:$A$2000,0)+1,MATCH(I$2,vdata_regressors!$A$1:$R$1,0)),"")</f>
        <v/>
      </c>
      <c r="J575" s="23" t="str">
        <f>IFERROR(INDEX(vdata_regressors!$A$1:$L$2000,MATCH($A575,vdata_regressors!$A$2:$A$2000,0)+1,MATCH(J$2,vdata_regressors!$A$1:$R$1,0)),"")</f>
        <v/>
      </c>
      <c r="K575" s="23" t="str">
        <f>IFERROR(INDEX(vdata_regressors!$A$1:$L$2000,MATCH($A575,vdata_regressors!$A$2:$A$2000,0)+1,MATCH(K$2,vdata_regressors!$A$1:$R$1,0)),"")</f>
        <v/>
      </c>
      <c r="L575" s="23" t="str">
        <f>IFERROR(INDEX(vdata_regressors!$A$1:$L$2000,MATCH($A575,vdata_regressors!$A$2:$A$2000,0)+1,MATCH(L$2,vdata_regressors!$A$1:$R$1,0)),"")</f>
        <v/>
      </c>
      <c r="M575" s="23" t="str">
        <f>IFERROR(VLOOKUP(A575,vdata_hours!$A$2:$B$1000,2,FALSE),"")</f>
        <v/>
      </c>
    </row>
    <row r="576" spans="1:13" x14ac:dyDescent="0.25">
      <c r="A576" s="23" t="str">
        <f>IF(vdata_hours!A575=0,"",vdata_hours!A575)</f>
        <v/>
      </c>
      <c r="B576" s="23" t="str">
        <f>IFERROR(INDEX(vdata_regressors!$A$1:$L$2000,MATCH($A576,vdata_regressors!$A$2:$A$2000,0)+1,MATCH(B$2,vdata_regressors!$A$1:$R$1,0)),"")</f>
        <v/>
      </c>
      <c r="C576" s="23" t="str">
        <f>IFERROR(INDEX(vdata_regressors!$A$1:$L$2000,MATCH($A576,vdata_regressors!$A$2:$A$2000,0)+1,MATCH(C$2,vdata_regressors!$A$1:$R$1,0)),"")</f>
        <v/>
      </c>
      <c r="D576" s="23" t="str">
        <f>IFERROR(INDEX(vdata_regressors!$A$1:$L$2000,MATCH($A576,vdata_regressors!$A$2:$A$2000,0)+1,MATCH(D$2,vdata_regressors!$A$1:$R$1,0)),"")</f>
        <v/>
      </c>
      <c r="E576" s="23" t="str">
        <f>IFERROR(INDEX(vdata_regressors!$A$1:$L$2000,MATCH($A576,vdata_regressors!$A$2:$A$2000,0)+1,MATCH(E$2,vdata_regressors!$A$1:$R$1,0)),"")</f>
        <v/>
      </c>
      <c r="F576" s="23" t="str">
        <f>IFERROR(INDEX(vdata_regressors!$A$1:$L$2000,MATCH($A576,vdata_regressors!$A$2:$A$2000,0)+1,MATCH(F$2,vdata_regressors!$A$1:$R$1,0)),"")</f>
        <v/>
      </c>
      <c r="G576" s="23" t="str">
        <f>IFERROR(INDEX(vdata_regressors!$A$1:$L$2000,MATCH($A576,vdata_regressors!$A$2:$A$2000,0)+1,MATCH(G$2,vdata_regressors!$A$1:$R$1,0)),"")</f>
        <v/>
      </c>
      <c r="H576" s="23" t="str">
        <f>IFERROR(INDEX(vdata_regressors!$A$1:$L$2000,MATCH($A576,vdata_regressors!$A$2:$A$2000,0)+1,MATCH(H$2,vdata_regressors!$A$1:$R$1,0)),"")</f>
        <v/>
      </c>
      <c r="I576" s="23" t="str">
        <f>IFERROR(INDEX(vdata_regressors!$A$1:$L$2000,MATCH($A576,vdata_regressors!$A$2:$A$2000,0)+1,MATCH(I$2,vdata_regressors!$A$1:$R$1,0)),"")</f>
        <v/>
      </c>
      <c r="J576" s="23" t="str">
        <f>IFERROR(INDEX(vdata_regressors!$A$1:$L$2000,MATCH($A576,vdata_regressors!$A$2:$A$2000,0)+1,MATCH(J$2,vdata_regressors!$A$1:$R$1,0)),"")</f>
        <v/>
      </c>
      <c r="K576" s="23" t="str">
        <f>IFERROR(INDEX(vdata_regressors!$A$1:$L$2000,MATCH($A576,vdata_regressors!$A$2:$A$2000,0)+1,MATCH(K$2,vdata_regressors!$A$1:$R$1,0)),"")</f>
        <v/>
      </c>
      <c r="L576" s="23" t="str">
        <f>IFERROR(INDEX(vdata_regressors!$A$1:$L$2000,MATCH($A576,vdata_regressors!$A$2:$A$2000,0)+1,MATCH(L$2,vdata_regressors!$A$1:$R$1,0)),"")</f>
        <v/>
      </c>
      <c r="M576" s="23" t="str">
        <f>IFERROR(VLOOKUP(A576,vdata_hours!$A$2:$B$1000,2,FALSE),"")</f>
        <v/>
      </c>
    </row>
    <row r="577" spans="1:13" x14ac:dyDescent="0.25">
      <c r="A577" s="23" t="str">
        <f>IF(vdata_hours!A576=0,"",vdata_hours!A576)</f>
        <v/>
      </c>
      <c r="B577" s="23" t="str">
        <f>IFERROR(INDEX(vdata_regressors!$A$1:$L$2000,MATCH($A577,vdata_regressors!$A$2:$A$2000,0)+1,MATCH(B$2,vdata_regressors!$A$1:$R$1,0)),"")</f>
        <v/>
      </c>
      <c r="C577" s="23" t="str">
        <f>IFERROR(INDEX(vdata_regressors!$A$1:$L$2000,MATCH($A577,vdata_regressors!$A$2:$A$2000,0)+1,MATCH(C$2,vdata_regressors!$A$1:$R$1,0)),"")</f>
        <v/>
      </c>
      <c r="D577" s="23" t="str">
        <f>IFERROR(INDEX(vdata_regressors!$A$1:$L$2000,MATCH($A577,vdata_regressors!$A$2:$A$2000,0)+1,MATCH(D$2,vdata_regressors!$A$1:$R$1,0)),"")</f>
        <v/>
      </c>
      <c r="E577" s="23" t="str">
        <f>IFERROR(INDEX(vdata_regressors!$A$1:$L$2000,MATCH($A577,vdata_regressors!$A$2:$A$2000,0)+1,MATCH(E$2,vdata_regressors!$A$1:$R$1,0)),"")</f>
        <v/>
      </c>
      <c r="F577" s="23" t="str">
        <f>IFERROR(INDEX(vdata_regressors!$A$1:$L$2000,MATCH($A577,vdata_regressors!$A$2:$A$2000,0)+1,MATCH(F$2,vdata_regressors!$A$1:$R$1,0)),"")</f>
        <v/>
      </c>
      <c r="G577" s="23" t="str">
        <f>IFERROR(INDEX(vdata_regressors!$A$1:$L$2000,MATCH($A577,vdata_regressors!$A$2:$A$2000,0)+1,MATCH(G$2,vdata_regressors!$A$1:$R$1,0)),"")</f>
        <v/>
      </c>
      <c r="H577" s="23" t="str">
        <f>IFERROR(INDEX(vdata_regressors!$A$1:$L$2000,MATCH($A577,vdata_regressors!$A$2:$A$2000,0)+1,MATCH(H$2,vdata_regressors!$A$1:$R$1,0)),"")</f>
        <v/>
      </c>
      <c r="I577" s="23" t="str">
        <f>IFERROR(INDEX(vdata_regressors!$A$1:$L$2000,MATCH($A577,vdata_regressors!$A$2:$A$2000,0)+1,MATCH(I$2,vdata_regressors!$A$1:$R$1,0)),"")</f>
        <v/>
      </c>
      <c r="J577" s="23" t="str">
        <f>IFERROR(INDEX(vdata_regressors!$A$1:$L$2000,MATCH($A577,vdata_regressors!$A$2:$A$2000,0)+1,MATCH(J$2,vdata_regressors!$A$1:$R$1,0)),"")</f>
        <v/>
      </c>
      <c r="K577" s="23" t="str">
        <f>IFERROR(INDEX(vdata_regressors!$A$1:$L$2000,MATCH($A577,vdata_regressors!$A$2:$A$2000,0)+1,MATCH(K$2,vdata_regressors!$A$1:$R$1,0)),"")</f>
        <v/>
      </c>
      <c r="L577" s="23" t="str">
        <f>IFERROR(INDEX(vdata_regressors!$A$1:$L$2000,MATCH($A577,vdata_regressors!$A$2:$A$2000,0)+1,MATCH(L$2,vdata_regressors!$A$1:$R$1,0)),"")</f>
        <v/>
      </c>
      <c r="M577" s="23" t="str">
        <f>IFERROR(VLOOKUP(A577,vdata_hours!$A$2:$B$1000,2,FALSE),"")</f>
        <v/>
      </c>
    </row>
    <row r="578" spans="1:13" x14ac:dyDescent="0.25">
      <c r="A578" s="23" t="str">
        <f>IF(vdata_hours!A577=0,"",vdata_hours!A577)</f>
        <v/>
      </c>
      <c r="B578" s="23" t="str">
        <f>IFERROR(INDEX(vdata_regressors!$A$1:$L$2000,MATCH($A578,vdata_regressors!$A$2:$A$2000,0)+1,MATCH(B$2,vdata_regressors!$A$1:$R$1,0)),"")</f>
        <v/>
      </c>
      <c r="C578" s="23" t="str">
        <f>IFERROR(INDEX(vdata_regressors!$A$1:$L$2000,MATCH($A578,vdata_regressors!$A$2:$A$2000,0)+1,MATCH(C$2,vdata_regressors!$A$1:$R$1,0)),"")</f>
        <v/>
      </c>
      <c r="D578" s="23" t="str">
        <f>IFERROR(INDEX(vdata_regressors!$A$1:$L$2000,MATCH($A578,vdata_regressors!$A$2:$A$2000,0)+1,MATCH(D$2,vdata_regressors!$A$1:$R$1,0)),"")</f>
        <v/>
      </c>
      <c r="E578" s="23" t="str">
        <f>IFERROR(INDEX(vdata_regressors!$A$1:$L$2000,MATCH($A578,vdata_regressors!$A$2:$A$2000,0)+1,MATCH(E$2,vdata_regressors!$A$1:$R$1,0)),"")</f>
        <v/>
      </c>
      <c r="F578" s="23" t="str">
        <f>IFERROR(INDEX(vdata_regressors!$A$1:$L$2000,MATCH($A578,vdata_regressors!$A$2:$A$2000,0)+1,MATCH(F$2,vdata_regressors!$A$1:$R$1,0)),"")</f>
        <v/>
      </c>
      <c r="G578" s="23" t="str">
        <f>IFERROR(INDEX(vdata_regressors!$A$1:$L$2000,MATCH($A578,vdata_regressors!$A$2:$A$2000,0)+1,MATCH(G$2,vdata_regressors!$A$1:$R$1,0)),"")</f>
        <v/>
      </c>
      <c r="H578" s="23" t="str">
        <f>IFERROR(INDEX(vdata_regressors!$A$1:$L$2000,MATCH($A578,vdata_regressors!$A$2:$A$2000,0)+1,MATCH(H$2,vdata_regressors!$A$1:$R$1,0)),"")</f>
        <v/>
      </c>
      <c r="I578" s="23" t="str">
        <f>IFERROR(INDEX(vdata_regressors!$A$1:$L$2000,MATCH($A578,vdata_regressors!$A$2:$A$2000,0)+1,MATCH(I$2,vdata_regressors!$A$1:$R$1,0)),"")</f>
        <v/>
      </c>
      <c r="J578" s="23" t="str">
        <f>IFERROR(INDEX(vdata_regressors!$A$1:$L$2000,MATCH($A578,vdata_regressors!$A$2:$A$2000,0)+1,MATCH(J$2,vdata_regressors!$A$1:$R$1,0)),"")</f>
        <v/>
      </c>
      <c r="K578" s="23" t="str">
        <f>IFERROR(INDEX(vdata_regressors!$A$1:$L$2000,MATCH($A578,vdata_regressors!$A$2:$A$2000,0)+1,MATCH(K$2,vdata_regressors!$A$1:$R$1,0)),"")</f>
        <v/>
      </c>
      <c r="L578" s="23" t="str">
        <f>IFERROR(INDEX(vdata_regressors!$A$1:$L$2000,MATCH($A578,vdata_regressors!$A$2:$A$2000,0)+1,MATCH(L$2,vdata_regressors!$A$1:$R$1,0)),"")</f>
        <v/>
      </c>
      <c r="M578" s="23" t="str">
        <f>IFERROR(VLOOKUP(A578,vdata_hours!$A$2:$B$1000,2,FALSE),"")</f>
        <v/>
      </c>
    </row>
    <row r="579" spans="1:13" x14ac:dyDescent="0.25">
      <c r="A579" s="23" t="str">
        <f>IF(vdata_hours!A578=0,"",vdata_hours!A578)</f>
        <v/>
      </c>
      <c r="B579" s="23" t="str">
        <f>IFERROR(INDEX(vdata_regressors!$A$1:$L$2000,MATCH($A579,vdata_regressors!$A$2:$A$2000,0)+1,MATCH(B$2,vdata_regressors!$A$1:$R$1,0)),"")</f>
        <v/>
      </c>
      <c r="C579" s="23" t="str">
        <f>IFERROR(INDEX(vdata_regressors!$A$1:$L$2000,MATCH($A579,vdata_regressors!$A$2:$A$2000,0)+1,MATCH(C$2,vdata_regressors!$A$1:$R$1,0)),"")</f>
        <v/>
      </c>
      <c r="D579" s="23" t="str">
        <f>IFERROR(INDEX(vdata_regressors!$A$1:$L$2000,MATCH($A579,vdata_regressors!$A$2:$A$2000,0)+1,MATCH(D$2,vdata_regressors!$A$1:$R$1,0)),"")</f>
        <v/>
      </c>
      <c r="E579" s="23" t="str">
        <f>IFERROR(INDEX(vdata_regressors!$A$1:$L$2000,MATCH($A579,vdata_regressors!$A$2:$A$2000,0)+1,MATCH(E$2,vdata_regressors!$A$1:$R$1,0)),"")</f>
        <v/>
      </c>
      <c r="F579" s="23" t="str">
        <f>IFERROR(INDEX(vdata_regressors!$A$1:$L$2000,MATCH($A579,vdata_regressors!$A$2:$A$2000,0)+1,MATCH(F$2,vdata_regressors!$A$1:$R$1,0)),"")</f>
        <v/>
      </c>
      <c r="G579" s="23" t="str">
        <f>IFERROR(INDEX(vdata_regressors!$A$1:$L$2000,MATCH($A579,vdata_regressors!$A$2:$A$2000,0)+1,MATCH(G$2,vdata_regressors!$A$1:$R$1,0)),"")</f>
        <v/>
      </c>
      <c r="H579" s="23" t="str">
        <f>IFERROR(INDEX(vdata_regressors!$A$1:$L$2000,MATCH($A579,vdata_regressors!$A$2:$A$2000,0)+1,MATCH(H$2,vdata_regressors!$A$1:$R$1,0)),"")</f>
        <v/>
      </c>
      <c r="I579" s="23" t="str">
        <f>IFERROR(INDEX(vdata_regressors!$A$1:$L$2000,MATCH($A579,vdata_regressors!$A$2:$A$2000,0)+1,MATCH(I$2,vdata_regressors!$A$1:$R$1,0)),"")</f>
        <v/>
      </c>
      <c r="J579" s="23" t="str">
        <f>IFERROR(INDEX(vdata_regressors!$A$1:$L$2000,MATCH($A579,vdata_regressors!$A$2:$A$2000,0)+1,MATCH(J$2,vdata_regressors!$A$1:$R$1,0)),"")</f>
        <v/>
      </c>
      <c r="K579" s="23" t="str">
        <f>IFERROR(INDEX(vdata_regressors!$A$1:$L$2000,MATCH($A579,vdata_regressors!$A$2:$A$2000,0)+1,MATCH(K$2,vdata_regressors!$A$1:$R$1,0)),"")</f>
        <v/>
      </c>
      <c r="L579" s="23" t="str">
        <f>IFERROR(INDEX(vdata_regressors!$A$1:$L$2000,MATCH($A579,vdata_regressors!$A$2:$A$2000,0)+1,MATCH(L$2,vdata_regressors!$A$1:$R$1,0)),"")</f>
        <v/>
      </c>
      <c r="M579" s="23" t="str">
        <f>IFERROR(VLOOKUP(A579,vdata_hours!$A$2:$B$1000,2,FALSE),"")</f>
        <v/>
      </c>
    </row>
    <row r="580" spans="1:13" x14ac:dyDescent="0.25">
      <c r="A580" s="23" t="str">
        <f>IF(vdata_hours!A579=0,"",vdata_hours!A579)</f>
        <v/>
      </c>
      <c r="B580" s="23" t="str">
        <f>IFERROR(INDEX(vdata_regressors!$A$1:$L$2000,MATCH($A580,vdata_regressors!$A$2:$A$2000,0)+1,MATCH(B$2,vdata_regressors!$A$1:$R$1,0)),"")</f>
        <v/>
      </c>
      <c r="C580" s="23" t="str">
        <f>IFERROR(INDEX(vdata_regressors!$A$1:$L$2000,MATCH($A580,vdata_regressors!$A$2:$A$2000,0)+1,MATCH(C$2,vdata_regressors!$A$1:$R$1,0)),"")</f>
        <v/>
      </c>
      <c r="D580" s="23" t="str">
        <f>IFERROR(INDEX(vdata_regressors!$A$1:$L$2000,MATCH($A580,vdata_regressors!$A$2:$A$2000,0)+1,MATCH(D$2,vdata_regressors!$A$1:$R$1,0)),"")</f>
        <v/>
      </c>
      <c r="E580" s="23" t="str">
        <f>IFERROR(INDEX(vdata_regressors!$A$1:$L$2000,MATCH($A580,vdata_regressors!$A$2:$A$2000,0)+1,MATCH(E$2,vdata_regressors!$A$1:$R$1,0)),"")</f>
        <v/>
      </c>
      <c r="F580" s="23" t="str">
        <f>IFERROR(INDEX(vdata_regressors!$A$1:$L$2000,MATCH($A580,vdata_regressors!$A$2:$A$2000,0)+1,MATCH(F$2,vdata_regressors!$A$1:$R$1,0)),"")</f>
        <v/>
      </c>
      <c r="G580" s="23" t="str">
        <f>IFERROR(INDEX(vdata_regressors!$A$1:$L$2000,MATCH($A580,vdata_regressors!$A$2:$A$2000,0)+1,MATCH(G$2,vdata_regressors!$A$1:$R$1,0)),"")</f>
        <v/>
      </c>
      <c r="H580" s="23" t="str">
        <f>IFERROR(INDEX(vdata_regressors!$A$1:$L$2000,MATCH($A580,vdata_regressors!$A$2:$A$2000,0)+1,MATCH(H$2,vdata_regressors!$A$1:$R$1,0)),"")</f>
        <v/>
      </c>
      <c r="I580" s="23" t="str">
        <f>IFERROR(INDEX(vdata_regressors!$A$1:$L$2000,MATCH($A580,vdata_regressors!$A$2:$A$2000,0)+1,MATCH(I$2,vdata_regressors!$A$1:$R$1,0)),"")</f>
        <v/>
      </c>
      <c r="J580" s="23" t="str">
        <f>IFERROR(INDEX(vdata_regressors!$A$1:$L$2000,MATCH($A580,vdata_regressors!$A$2:$A$2000,0)+1,MATCH(J$2,vdata_regressors!$A$1:$R$1,0)),"")</f>
        <v/>
      </c>
      <c r="K580" s="23" t="str">
        <f>IFERROR(INDEX(vdata_regressors!$A$1:$L$2000,MATCH($A580,vdata_regressors!$A$2:$A$2000,0)+1,MATCH(K$2,vdata_regressors!$A$1:$R$1,0)),"")</f>
        <v/>
      </c>
      <c r="L580" s="23" t="str">
        <f>IFERROR(INDEX(vdata_regressors!$A$1:$L$2000,MATCH($A580,vdata_regressors!$A$2:$A$2000,0)+1,MATCH(L$2,vdata_regressors!$A$1:$R$1,0)),"")</f>
        <v/>
      </c>
      <c r="M580" s="23" t="str">
        <f>IFERROR(VLOOKUP(A580,vdata_hours!$A$2:$B$1000,2,FALSE),"")</f>
        <v/>
      </c>
    </row>
    <row r="581" spans="1:13" x14ac:dyDescent="0.25">
      <c r="A581" s="23" t="str">
        <f>IF(vdata_hours!A580=0,"",vdata_hours!A580)</f>
        <v/>
      </c>
      <c r="B581" s="23" t="str">
        <f>IFERROR(INDEX(vdata_regressors!$A$1:$L$2000,MATCH($A581,vdata_regressors!$A$2:$A$2000,0)+1,MATCH(B$2,vdata_regressors!$A$1:$R$1,0)),"")</f>
        <v/>
      </c>
      <c r="C581" s="23" t="str">
        <f>IFERROR(INDEX(vdata_regressors!$A$1:$L$2000,MATCH($A581,vdata_regressors!$A$2:$A$2000,0)+1,MATCH(C$2,vdata_regressors!$A$1:$R$1,0)),"")</f>
        <v/>
      </c>
      <c r="D581" s="23" t="str">
        <f>IFERROR(INDEX(vdata_regressors!$A$1:$L$2000,MATCH($A581,vdata_regressors!$A$2:$A$2000,0)+1,MATCH(D$2,vdata_regressors!$A$1:$R$1,0)),"")</f>
        <v/>
      </c>
      <c r="E581" s="23" t="str">
        <f>IFERROR(INDEX(vdata_regressors!$A$1:$L$2000,MATCH($A581,vdata_regressors!$A$2:$A$2000,0)+1,MATCH(E$2,vdata_regressors!$A$1:$R$1,0)),"")</f>
        <v/>
      </c>
      <c r="F581" s="23" t="str">
        <f>IFERROR(INDEX(vdata_regressors!$A$1:$L$2000,MATCH($A581,vdata_regressors!$A$2:$A$2000,0)+1,MATCH(F$2,vdata_regressors!$A$1:$R$1,0)),"")</f>
        <v/>
      </c>
      <c r="G581" s="23" t="str">
        <f>IFERROR(INDEX(vdata_regressors!$A$1:$L$2000,MATCH($A581,vdata_regressors!$A$2:$A$2000,0)+1,MATCH(G$2,vdata_regressors!$A$1:$R$1,0)),"")</f>
        <v/>
      </c>
      <c r="H581" s="23" t="str">
        <f>IFERROR(INDEX(vdata_regressors!$A$1:$L$2000,MATCH($A581,vdata_regressors!$A$2:$A$2000,0)+1,MATCH(H$2,vdata_regressors!$A$1:$R$1,0)),"")</f>
        <v/>
      </c>
      <c r="I581" s="23" t="str">
        <f>IFERROR(INDEX(vdata_regressors!$A$1:$L$2000,MATCH($A581,vdata_regressors!$A$2:$A$2000,0)+1,MATCH(I$2,vdata_regressors!$A$1:$R$1,0)),"")</f>
        <v/>
      </c>
      <c r="J581" s="23" t="str">
        <f>IFERROR(INDEX(vdata_regressors!$A$1:$L$2000,MATCH($A581,vdata_regressors!$A$2:$A$2000,0)+1,MATCH(J$2,vdata_regressors!$A$1:$R$1,0)),"")</f>
        <v/>
      </c>
      <c r="K581" s="23" t="str">
        <f>IFERROR(INDEX(vdata_regressors!$A$1:$L$2000,MATCH($A581,vdata_regressors!$A$2:$A$2000,0)+1,MATCH(K$2,vdata_regressors!$A$1:$R$1,0)),"")</f>
        <v/>
      </c>
      <c r="L581" s="23" t="str">
        <f>IFERROR(INDEX(vdata_regressors!$A$1:$L$2000,MATCH($A581,vdata_regressors!$A$2:$A$2000,0)+1,MATCH(L$2,vdata_regressors!$A$1:$R$1,0)),"")</f>
        <v/>
      </c>
      <c r="M581" s="23" t="str">
        <f>IFERROR(VLOOKUP(A581,vdata_hours!$A$2:$B$1000,2,FALSE),"")</f>
        <v/>
      </c>
    </row>
    <row r="582" spans="1:13" x14ac:dyDescent="0.25">
      <c r="A582" s="23" t="str">
        <f>IF(vdata_hours!A581=0,"",vdata_hours!A581)</f>
        <v/>
      </c>
      <c r="B582" s="23" t="str">
        <f>IFERROR(INDEX(vdata_regressors!$A$1:$L$2000,MATCH($A582,vdata_regressors!$A$2:$A$2000,0)+1,MATCH(B$2,vdata_regressors!$A$1:$R$1,0)),"")</f>
        <v/>
      </c>
      <c r="C582" s="23" t="str">
        <f>IFERROR(INDEX(vdata_regressors!$A$1:$L$2000,MATCH($A582,vdata_regressors!$A$2:$A$2000,0)+1,MATCH(C$2,vdata_regressors!$A$1:$R$1,0)),"")</f>
        <v/>
      </c>
      <c r="D582" s="23" t="str">
        <f>IFERROR(INDEX(vdata_regressors!$A$1:$L$2000,MATCH($A582,vdata_regressors!$A$2:$A$2000,0)+1,MATCH(D$2,vdata_regressors!$A$1:$R$1,0)),"")</f>
        <v/>
      </c>
      <c r="E582" s="23" t="str">
        <f>IFERROR(INDEX(vdata_regressors!$A$1:$L$2000,MATCH($A582,vdata_regressors!$A$2:$A$2000,0)+1,MATCH(E$2,vdata_regressors!$A$1:$R$1,0)),"")</f>
        <v/>
      </c>
      <c r="F582" s="23" t="str">
        <f>IFERROR(INDEX(vdata_regressors!$A$1:$L$2000,MATCH($A582,vdata_regressors!$A$2:$A$2000,0)+1,MATCH(F$2,vdata_regressors!$A$1:$R$1,0)),"")</f>
        <v/>
      </c>
      <c r="G582" s="23" t="str">
        <f>IFERROR(INDEX(vdata_regressors!$A$1:$L$2000,MATCH($A582,vdata_regressors!$A$2:$A$2000,0)+1,MATCH(G$2,vdata_regressors!$A$1:$R$1,0)),"")</f>
        <v/>
      </c>
      <c r="H582" s="23" t="str">
        <f>IFERROR(INDEX(vdata_regressors!$A$1:$L$2000,MATCH($A582,vdata_regressors!$A$2:$A$2000,0)+1,MATCH(H$2,vdata_regressors!$A$1:$R$1,0)),"")</f>
        <v/>
      </c>
      <c r="I582" s="23" t="str">
        <f>IFERROR(INDEX(vdata_regressors!$A$1:$L$2000,MATCH($A582,vdata_regressors!$A$2:$A$2000,0)+1,MATCH(I$2,vdata_regressors!$A$1:$R$1,0)),"")</f>
        <v/>
      </c>
      <c r="J582" s="23" t="str">
        <f>IFERROR(INDEX(vdata_regressors!$A$1:$L$2000,MATCH($A582,vdata_regressors!$A$2:$A$2000,0)+1,MATCH(J$2,vdata_regressors!$A$1:$R$1,0)),"")</f>
        <v/>
      </c>
      <c r="K582" s="23" t="str">
        <f>IFERROR(INDEX(vdata_regressors!$A$1:$L$2000,MATCH($A582,vdata_regressors!$A$2:$A$2000,0)+1,MATCH(K$2,vdata_regressors!$A$1:$R$1,0)),"")</f>
        <v/>
      </c>
      <c r="L582" s="23" t="str">
        <f>IFERROR(INDEX(vdata_regressors!$A$1:$L$2000,MATCH($A582,vdata_regressors!$A$2:$A$2000,0)+1,MATCH(L$2,vdata_regressors!$A$1:$R$1,0)),"")</f>
        <v/>
      </c>
      <c r="M582" s="23" t="str">
        <f>IFERROR(VLOOKUP(A582,vdata_hours!$A$2:$B$1000,2,FALSE),"")</f>
        <v/>
      </c>
    </row>
    <row r="583" spans="1:13" x14ac:dyDescent="0.25">
      <c r="A583" s="23" t="str">
        <f>IF(vdata_hours!A582=0,"",vdata_hours!A582)</f>
        <v/>
      </c>
      <c r="B583" s="23" t="str">
        <f>IFERROR(INDEX(vdata_regressors!$A$1:$L$2000,MATCH($A583,vdata_regressors!$A$2:$A$2000,0)+1,MATCH(B$2,vdata_regressors!$A$1:$R$1,0)),"")</f>
        <v/>
      </c>
      <c r="C583" s="23" t="str">
        <f>IFERROR(INDEX(vdata_regressors!$A$1:$L$2000,MATCH($A583,vdata_regressors!$A$2:$A$2000,0)+1,MATCH(C$2,vdata_regressors!$A$1:$R$1,0)),"")</f>
        <v/>
      </c>
      <c r="D583" s="23" t="str">
        <f>IFERROR(INDEX(vdata_regressors!$A$1:$L$2000,MATCH($A583,vdata_regressors!$A$2:$A$2000,0)+1,MATCH(D$2,vdata_regressors!$A$1:$R$1,0)),"")</f>
        <v/>
      </c>
      <c r="E583" s="23" t="str">
        <f>IFERROR(INDEX(vdata_regressors!$A$1:$L$2000,MATCH($A583,vdata_regressors!$A$2:$A$2000,0)+1,MATCH(E$2,vdata_regressors!$A$1:$R$1,0)),"")</f>
        <v/>
      </c>
      <c r="F583" s="23" t="str">
        <f>IFERROR(INDEX(vdata_regressors!$A$1:$L$2000,MATCH($A583,vdata_regressors!$A$2:$A$2000,0)+1,MATCH(F$2,vdata_regressors!$A$1:$R$1,0)),"")</f>
        <v/>
      </c>
      <c r="G583" s="23" t="str">
        <f>IFERROR(INDEX(vdata_regressors!$A$1:$L$2000,MATCH($A583,vdata_regressors!$A$2:$A$2000,0)+1,MATCH(G$2,vdata_regressors!$A$1:$R$1,0)),"")</f>
        <v/>
      </c>
      <c r="H583" s="23" t="str">
        <f>IFERROR(INDEX(vdata_regressors!$A$1:$L$2000,MATCH($A583,vdata_regressors!$A$2:$A$2000,0)+1,MATCH(H$2,vdata_regressors!$A$1:$R$1,0)),"")</f>
        <v/>
      </c>
      <c r="I583" s="23" t="str">
        <f>IFERROR(INDEX(vdata_regressors!$A$1:$L$2000,MATCH($A583,vdata_regressors!$A$2:$A$2000,0)+1,MATCH(I$2,vdata_regressors!$A$1:$R$1,0)),"")</f>
        <v/>
      </c>
      <c r="J583" s="23" t="str">
        <f>IFERROR(INDEX(vdata_regressors!$A$1:$L$2000,MATCH($A583,vdata_regressors!$A$2:$A$2000,0)+1,MATCH(J$2,vdata_regressors!$A$1:$R$1,0)),"")</f>
        <v/>
      </c>
      <c r="K583" s="23" t="str">
        <f>IFERROR(INDEX(vdata_regressors!$A$1:$L$2000,MATCH($A583,vdata_regressors!$A$2:$A$2000,0)+1,MATCH(K$2,vdata_regressors!$A$1:$R$1,0)),"")</f>
        <v/>
      </c>
      <c r="L583" s="23" t="str">
        <f>IFERROR(INDEX(vdata_regressors!$A$1:$L$2000,MATCH($A583,vdata_regressors!$A$2:$A$2000,0)+1,MATCH(L$2,vdata_regressors!$A$1:$R$1,0)),"")</f>
        <v/>
      </c>
      <c r="M583" s="23" t="str">
        <f>IFERROR(VLOOKUP(A583,vdata_hours!$A$2:$B$1000,2,FALSE),"")</f>
        <v/>
      </c>
    </row>
    <row r="584" spans="1:13" x14ac:dyDescent="0.25">
      <c r="A584" s="23" t="str">
        <f>IF(vdata_hours!A583=0,"",vdata_hours!A583)</f>
        <v/>
      </c>
      <c r="B584" s="23" t="str">
        <f>IFERROR(INDEX(vdata_regressors!$A$1:$L$2000,MATCH($A584,vdata_regressors!$A$2:$A$2000,0)+1,MATCH(B$2,vdata_regressors!$A$1:$R$1,0)),"")</f>
        <v/>
      </c>
      <c r="C584" s="23" t="str">
        <f>IFERROR(INDEX(vdata_regressors!$A$1:$L$2000,MATCH($A584,vdata_regressors!$A$2:$A$2000,0)+1,MATCH(C$2,vdata_regressors!$A$1:$R$1,0)),"")</f>
        <v/>
      </c>
      <c r="D584" s="23" t="str">
        <f>IFERROR(INDEX(vdata_regressors!$A$1:$L$2000,MATCH($A584,vdata_regressors!$A$2:$A$2000,0)+1,MATCH(D$2,vdata_regressors!$A$1:$R$1,0)),"")</f>
        <v/>
      </c>
      <c r="E584" s="23" t="str">
        <f>IFERROR(INDEX(vdata_regressors!$A$1:$L$2000,MATCH($A584,vdata_regressors!$A$2:$A$2000,0)+1,MATCH(E$2,vdata_regressors!$A$1:$R$1,0)),"")</f>
        <v/>
      </c>
      <c r="F584" s="23" t="str">
        <f>IFERROR(INDEX(vdata_regressors!$A$1:$L$2000,MATCH($A584,vdata_regressors!$A$2:$A$2000,0)+1,MATCH(F$2,vdata_regressors!$A$1:$R$1,0)),"")</f>
        <v/>
      </c>
      <c r="G584" s="23" t="str">
        <f>IFERROR(INDEX(vdata_regressors!$A$1:$L$2000,MATCH($A584,vdata_regressors!$A$2:$A$2000,0)+1,MATCH(G$2,vdata_regressors!$A$1:$R$1,0)),"")</f>
        <v/>
      </c>
      <c r="H584" s="23" t="str">
        <f>IFERROR(INDEX(vdata_regressors!$A$1:$L$2000,MATCH($A584,vdata_regressors!$A$2:$A$2000,0)+1,MATCH(H$2,vdata_regressors!$A$1:$R$1,0)),"")</f>
        <v/>
      </c>
      <c r="I584" s="23" t="str">
        <f>IFERROR(INDEX(vdata_regressors!$A$1:$L$2000,MATCH($A584,vdata_regressors!$A$2:$A$2000,0)+1,MATCH(I$2,vdata_regressors!$A$1:$R$1,0)),"")</f>
        <v/>
      </c>
      <c r="J584" s="23" t="str">
        <f>IFERROR(INDEX(vdata_regressors!$A$1:$L$2000,MATCH($A584,vdata_regressors!$A$2:$A$2000,0)+1,MATCH(J$2,vdata_regressors!$A$1:$R$1,0)),"")</f>
        <v/>
      </c>
      <c r="K584" s="23" t="str">
        <f>IFERROR(INDEX(vdata_regressors!$A$1:$L$2000,MATCH($A584,vdata_regressors!$A$2:$A$2000,0)+1,MATCH(K$2,vdata_regressors!$A$1:$R$1,0)),"")</f>
        <v/>
      </c>
      <c r="L584" s="23" t="str">
        <f>IFERROR(INDEX(vdata_regressors!$A$1:$L$2000,MATCH($A584,vdata_regressors!$A$2:$A$2000,0)+1,MATCH(L$2,vdata_regressors!$A$1:$R$1,0)),"")</f>
        <v/>
      </c>
      <c r="M584" s="23" t="str">
        <f>IFERROR(VLOOKUP(A584,vdata_hours!$A$2:$B$1000,2,FALSE),"")</f>
        <v/>
      </c>
    </row>
    <row r="585" spans="1:13" x14ac:dyDescent="0.25">
      <c r="A585" s="23" t="str">
        <f>IF(vdata_hours!A584=0,"",vdata_hours!A584)</f>
        <v/>
      </c>
      <c r="B585" s="23" t="str">
        <f>IFERROR(INDEX(vdata_regressors!$A$1:$L$2000,MATCH($A585,vdata_regressors!$A$2:$A$2000,0)+1,MATCH(B$2,vdata_regressors!$A$1:$R$1,0)),"")</f>
        <v/>
      </c>
      <c r="C585" s="23" t="str">
        <f>IFERROR(INDEX(vdata_regressors!$A$1:$L$2000,MATCH($A585,vdata_regressors!$A$2:$A$2000,0)+1,MATCH(C$2,vdata_regressors!$A$1:$R$1,0)),"")</f>
        <v/>
      </c>
      <c r="D585" s="23" t="str">
        <f>IFERROR(INDEX(vdata_regressors!$A$1:$L$2000,MATCH($A585,vdata_regressors!$A$2:$A$2000,0)+1,MATCH(D$2,vdata_regressors!$A$1:$R$1,0)),"")</f>
        <v/>
      </c>
      <c r="E585" s="23" t="str">
        <f>IFERROR(INDEX(vdata_regressors!$A$1:$L$2000,MATCH($A585,vdata_regressors!$A$2:$A$2000,0)+1,MATCH(E$2,vdata_regressors!$A$1:$R$1,0)),"")</f>
        <v/>
      </c>
      <c r="F585" s="23" t="str">
        <f>IFERROR(INDEX(vdata_regressors!$A$1:$L$2000,MATCH($A585,vdata_regressors!$A$2:$A$2000,0)+1,MATCH(F$2,vdata_regressors!$A$1:$R$1,0)),"")</f>
        <v/>
      </c>
      <c r="G585" s="23" t="str">
        <f>IFERROR(INDEX(vdata_regressors!$A$1:$L$2000,MATCH($A585,vdata_regressors!$A$2:$A$2000,0)+1,MATCH(G$2,vdata_regressors!$A$1:$R$1,0)),"")</f>
        <v/>
      </c>
      <c r="H585" s="23" t="str">
        <f>IFERROR(INDEX(vdata_regressors!$A$1:$L$2000,MATCH($A585,vdata_regressors!$A$2:$A$2000,0)+1,MATCH(H$2,vdata_regressors!$A$1:$R$1,0)),"")</f>
        <v/>
      </c>
      <c r="I585" s="23" t="str">
        <f>IFERROR(INDEX(vdata_regressors!$A$1:$L$2000,MATCH($A585,vdata_regressors!$A$2:$A$2000,0)+1,MATCH(I$2,vdata_regressors!$A$1:$R$1,0)),"")</f>
        <v/>
      </c>
      <c r="J585" s="23" t="str">
        <f>IFERROR(INDEX(vdata_regressors!$A$1:$L$2000,MATCH($A585,vdata_regressors!$A$2:$A$2000,0)+1,MATCH(J$2,vdata_regressors!$A$1:$R$1,0)),"")</f>
        <v/>
      </c>
      <c r="K585" s="23" t="str">
        <f>IFERROR(INDEX(vdata_regressors!$A$1:$L$2000,MATCH($A585,vdata_regressors!$A$2:$A$2000,0)+1,MATCH(K$2,vdata_regressors!$A$1:$R$1,0)),"")</f>
        <v/>
      </c>
      <c r="L585" s="23" t="str">
        <f>IFERROR(INDEX(vdata_regressors!$A$1:$L$2000,MATCH($A585,vdata_regressors!$A$2:$A$2000,0)+1,MATCH(L$2,vdata_regressors!$A$1:$R$1,0)),"")</f>
        <v/>
      </c>
      <c r="M585" s="23" t="str">
        <f>IFERROR(VLOOKUP(A585,vdata_hours!$A$2:$B$1000,2,FALSE),"")</f>
        <v/>
      </c>
    </row>
    <row r="586" spans="1:13" x14ac:dyDescent="0.25">
      <c r="A586" s="23" t="str">
        <f>IF(vdata_hours!A585=0,"",vdata_hours!A585)</f>
        <v/>
      </c>
      <c r="B586" s="23" t="str">
        <f>IFERROR(INDEX(vdata_regressors!$A$1:$L$2000,MATCH($A586,vdata_regressors!$A$2:$A$2000,0)+1,MATCH(B$2,vdata_regressors!$A$1:$R$1,0)),"")</f>
        <v/>
      </c>
      <c r="C586" s="23" t="str">
        <f>IFERROR(INDEX(vdata_regressors!$A$1:$L$2000,MATCH($A586,vdata_regressors!$A$2:$A$2000,0)+1,MATCH(C$2,vdata_regressors!$A$1:$R$1,0)),"")</f>
        <v/>
      </c>
      <c r="D586" s="23" t="str">
        <f>IFERROR(INDEX(vdata_regressors!$A$1:$L$2000,MATCH($A586,vdata_regressors!$A$2:$A$2000,0)+1,MATCH(D$2,vdata_regressors!$A$1:$R$1,0)),"")</f>
        <v/>
      </c>
      <c r="E586" s="23" t="str">
        <f>IFERROR(INDEX(vdata_regressors!$A$1:$L$2000,MATCH($A586,vdata_regressors!$A$2:$A$2000,0)+1,MATCH(E$2,vdata_regressors!$A$1:$R$1,0)),"")</f>
        <v/>
      </c>
      <c r="F586" s="23" t="str">
        <f>IFERROR(INDEX(vdata_regressors!$A$1:$L$2000,MATCH($A586,vdata_regressors!$A$2:$A$2000,0)+1,MATCH(F$2,vdata_regressors!$A$1:$R$1,0)),"")</f>
        <v/>
      </c>
      <c r="G586" s="23" t="str">
        <f>IFERROR(INDEX(vdata_regressors!$A$1:$L$2000,MATCH($A586,vdata_regressors!$A$2:$A$2000,0)+1,MATCH(G$2,vdata_regressors!$A$1:$R$1,0)),"")</f>
        <v/>
      </c>
      <c r="H586" s="23" t="str">
        <f>IFERROR(INDEX(vdata_regressors!$A$1:$L$2000,MATCH($A586,vdata_regressors!$A$2:$A$2000,0)+1,MATCH(H$2,vdata_regressors!$A$1:$R$1,0)),"")</f>
        <v/>
      </c>
      <c r="I586" s="23" t="str">
        <f>IFERROR(INDEX(vdata_regressors!$A$1:$L$2000,MATCH($A586,vdata_regressors!$A$2:$A$2000,0)+1,MATCH(I$2,vdata_regressors!$A$1:$R$1,0)),"")</f>
        <v/>
      </c>
      <c r="J586" s="23" t="str">
        <f>IFERROR(INDEX(vdata_regressors!$A$1:$L$2000,MATCH($A586,vdata_regressors!$A$2:$A$2000,0)+1,MATCH(J$2,vdata_regressors!$A$1:$R$1,0)),"")</f>
        <v/>
      </c>
      <c r="K586" s="23" t="str">
        <f>IFERROR(INDEX(vdata_regressors!$A$1:$L$2000,MATCH($A586,vdata_regressors!$A$2:$A$2000,0)+1,MATCH(K$2,vdata_regressors!$A$1:$R$1,0)),"")</f>
        <v/>
      </c>
      <c r="L586" s="23" t="str">
        <f>IFERROR(INDEX(vdata_regressors!$A$1:$L$2000,MATCH($A586,vdata_regressors!$A$2:$A$2000,0)+1,MATCH(L$2,vdata_regressors!$A$1:$R$1,0)),"")</f>
        <v/>
      </c>
      <c r="M586" s="23" t="str">
        <f>IFERROR(VLOOKUP(A586,vdata_hours!$A$2:$B$1000,2,FALSE),"")</f>
        <v/>
      </c>
    </row>
    <row r="587" spans="1:13" x14ac:dyDescent="0.25">
      <c r="A587" s="23" t="str">
        <f>IF(vdata_hours!A586=0,"",vdata_hours!A586)</f>
        <v/>
      </c>
      <c r="B587" s="23" t="str">
        <f>IFERROR(INDEX(vdata_regressors!$A$1:$L$2000,MATCH($A587,vdata_regressors!$A$2:$A$2000,0)+1,MATCH(B$2,vdata_regressors!$A$1:$R$1,0)),"")</f>
        <v/>
      </c>
      <c r="C587" s="23" t="str">
        <f>IFERROR(INDEX(vdata_regressors!$A$1:$L$2000,MATCH($A587,vdata_regressors!$A$2:$A$2000,0)+1,MATCH(C$2,vdata_regressors!$A$1:$R$1,0)),"")</f>
        <v/>
      </c>
      <c r="D587" s="23" t="str">
        <f>IFERROR(INDEX(vdata_regressors!$A$1:$L$2000,MATCH($A587,vdata_regressors!$A$2:$A$2000,0)+1,MATCH(D$2,vdata_regressors!$A$1:$R$1,0)),"")</f>
        <v/>
      </c>
      <c r="E587" s="23" t="str">
        <f>IFERROR(INDEX(vdata_regressors!$A$1:$L$2000,MATCH($A587,vdata_regressors!$A$2:$A$2000,0)+1,MATCH(E$2,vdata_regressors!$A$1:$R$1,0)),"")</f>
        <v/>
      </c>
      <c r="F587" s="23" t="str">
        <f>IFERROR(INDEX(vdata_regressors!$A$1:$L$2000,MATCH($A587,vdata_regressors!$A$2:$A$2000,0)+1,MATCH(F$2,vdata_regressors!$A$1:$R$1,0)),"")</f>
        <v/>
      </c>
      <c r="G587" s="23" t="str">
        <f>IFERROR(INDEX(vdata_regressors!$A$1:$L$2000,MATCH($A587,vdata_regressors!$A$2:$A$2000,0)+1,MATCH(G$2,vdata_regressors!$A$1:$R$1,0)),"")</f>
        <v/>
      </c>
      <c r="H587" s="23" t="str">
        <f>IFERROR(INDEX(vdata_regressors!$A$1:$L$2000,MATCH($A587,vdata_regressors!$A$2:$A$2000,0)+1,MATCH(H$2,vdata_regressors!$A$1:$R$1,0)),"")</f>
        <v/>
      </c>
      <c r="I587" s="23" t="str">
        <f>IFERROR(INDEX(vdata_regressors!$A$1:$L$2000,MATCH($A587,vdata_regressors!$A$2:$A$2000,0)+1,MATCH(I$2,vdata_regressors!$A$1:$R$1,0)),"")</f>
        <v/>
      </c>
      <c r="J587" s="23" t="str">
        <f>IFERROR(INDEX(vdata_regressors!$A$1:$L$2000,MATCH($A587,vdata_regressors!$A$2:$A$2000,0)+1,MATCH(J$2,vdata_regressors!$A$1:$R$1,0)),"")</f>
        <v/>
      </c>
      <c r="K587" s="23" t="str">
        <f>IFERROR(INDEX(vdata_regressors!$A$1:$L$2000,MATCH($A587,vdata_regressors!$A$2:$A$2000,0)+1,MATCH(K$2,vdata_regressors!$A$1:$R$1,0)),"")</f>
        <v/>
      </c>
      <c r="L587" s="23" t="str">
        <f>IFERROR(INDEX(vdata_regressors!$A$1:$L$2000,MATCH($A587,vdata_regressors!$A$2:$A$2000,0)+1,MATCH(L$2,vdata_regressors!$A$1:$R$1,0)),"")</f>
        <v/>
      </c>
      <c r="M587" s="23" t="str">
        <f>IFERROR(VLOOKUP(A587,vdata_hours!$A$2:$B$1000,2,FALSE),"")</f>
        <v/>
      </c>
    </row>
    <row r="588" spans="1:13" x14ac:dyDescent="0.25">
      <c r="A588" s="23" t="str">
        <f>IF(vdata_hours!A587=0,"",vdata_hours!A587)</f>
        <v/>
      </c>
      <c r="B588" s="23" t="str">
        <f>IFERROR(INDEX(vdata_regressors!$A$1:$L$2000,MATCH($A588,vdata_regressors!$A$2:$A$2000,0)+1,MATCH(B$2,vdata_regressors!$A$1:$R$1,0)),"")</f>
        <v/>
      </c>
      <c r="C588" s="23" t="str">
        <f>IFERROR(INDEX(vdata_regressors!$A$1:$L$2000,MATCH($A588,vdata_regressors!$A$2:$A$2000,0)+1,MATCH(C$2,vdata_regressors!$A$1:$R$1,0)),"")</f>
        <v/>
      </c>
      <c r="D588" s="23" t="str">
        <f>IFERROR(INDEX(vdata_regressors!$A$1:$L$2000,MATCH($A588,vdata_regressors!$A$2:$A$2000,0)+1,MATCH(D$2,vdata_regressors!$A$1:$R$1,0)),"")</f>
        <v/>
      </c>
      <c r="E588" s="23" t="str">
        <f>IFERROR(INDEX(vdata_regressors!$A$1:$L$2000,MATCH($A588,vdata_regressors!$A$2:$A$2000,0)+1,MATCH(E$2,vdata_regressors!$A$1:$R$1,0)),"")</f>
        <v/>
      </c>
      <c r="F588" s="23" t="str">
        <f>IFERROR(INDEX(vdata_regressors!$A$1:$L$2000,MATCH($A588,vdata_regressors!$A$2:$A$2000,0)+1,MATCH(F$2,vdata_regressors!$A$1:$R$1,0)),"")</f>
        <v/>
      </c>
      <c r="G588" s="23" t="str">
        <f>IFERROR(INDEX(vdata_regressors!$A$1:$L$2000,MATCH($A588,vdata_regressors!$A$2:$A$2000,0)+1,MATCH(G$2,vdata_regressors!$A$1:$R$1,0)),"")</f>
        <v/>
      </c>
      <c r="H588" s="23" t="str">
        <f>IFERROR(INDEX(vdata_regressors!$A$1:$L$2000,MATCH($A588,vdata_regressors!$A$2:$A$2000,0)+1,MATCH(H$2,vdata_regressors!$A$1:$R$1,0)),"")</f>
        <v/>
      </c>
      <c r="I588" s="23" t="str">
        <f>IFERROR(INDEX(vdata_regressors!$A$1:$L$2000,MATCH($A588,vdata_regressors!$A$2:$A$2000,0)+1,MATCH(I$2,vdata_regressors!$A$1:$R$1,0)),"")</f>
        <v/>
      </c>
      <c r="J588" s="23" t="str">
        <f>IFERROR(INDEX(vdata_regressors!$A$1:$L$2000,MATCH($A588,vdata_regressors!$A$2:$A$2000,0)+1,MATCH(J$2,vdata_regressors!$A$1:$R$1,0)),"")</f>
        <v/>
      </c>
      <c r="K588" s="23" t="str">
        <f>IFERROR(INDEX(vdata_regressors!$A$1:$L$2000,MATCH($A588,vdata_regressors!$A$2:$A$2000,0)+1,MATCH(K$2,vdata_regressors!$A$1:$R$1,0)),"")</f>
        <v/>
      </c>
      <c r="L588" s="23" t="str">
        <f>IFERROR(INDEX(vdata_regressors!$A$1:$L$2000,MATCH($A588,vdata_regressors!$A$2:$A$2000,0)+1,MATCH(L$2,vdata_regressors!$A$1:$R$1,0)),"")</f>
        <v/>
      </c>
      <c r="M588" s="23" t="str">
        <f>IFERROR(VLOOKUP(A588,vdata_hours!$A$2:$B$1000,2,FALSE),"")</f>
        <v/>
      </c>
    </row>
    <row r="589" spans="1:13" x14ac:dyDescent="0.25">
      <c r="A589" s="23" t="str">
        <f>IF(vdata_hours!A588=0,"",vdata_hours!A588)</f>
        <v/>
      </c>
      <c r="B589" s="23" t="str">
        <f>IFERROR(INDEX(vdata_regressors!$A$1:$L$2000,MATCH($A589,vdata_regressors!$A$2:$A$2000,0)+1,MATCH(B$2,vdata_regressors!$A$1:$R$1,0)),"")</f>
        <v/>
      </c>
      <c r="C589" s="23" t="str">
        <f>IFERROR(INDEX(vdata_regressors!$A$1:$L$2000,MATCH($A589,vdata_regressors!$A$2:$A$2000,0)+1,MATCH(C$2,vdata_regressors!$A$1:$R$1,0)),"")</f>
        <v/>
      </c>
      <c r="D589" s="23" t="str">
        <f>IFERROR(INDEX(vdata_regressors!$A$1:$L$2000,MATCH($A589,vdata_regressors!$A$2:$A$2000,0)+1,MATCH(D$2,vdata_regressors!$A$1:$R$1,0)),"")</f>
        <v/>
      </c>
      <c r="E589" s="23" t="str">
        <f>IFERROR(INDEX(vdata_regressors!$A$1:$L$2000,MATCH($A589,vdata_regressors!$A$2:$A$2000,0)+1,MATCH(E$2,vdata_regressors!$A$1:$R$1,0)),"")</f>
        <v/>
      </c>
      <c r="F589" s="23" t="str">
        <f>IFERROR(INDEX(vdata_regressors!$A$1:$L$2000,MATCH($A589,vdata_regressors!$A$2:$A$2000,0)+1,MATCH(F$2,vdata_regressors!$A$1:$R$1,0)),"")</f>
        <v/>
      </c>
      <c r="G589" s="23" t="str">
        <f>IFERROR(INDEX(vdata_regressors!$A$1:$L$2000,MATCH($A589,vdata_regressors!$A$2:$A$2000,0)+1,MATCH(G$2,vdata_regressors!$A$1:$R$1,0)),"")</f>
        <v/>
      </c>
      <c r="H589" s="23" t="str">
        <f>IFERROR(INDEX(vdata_regressors!$A$1:$L$2000,MATCH($A589,vdata_regressors!$A$2:$A$2000,0)+1,MATCH(H$2,vdata_regressors!$A$1:$R$1,0)),"")</f>
        <v/>
      </c>
      <c r="I589" s="23" t="str">
        <f>IFERROR(INDEX(vdata_regressors!$A$1:$L$2000,MATCH($A589,vdata_regressors!$A$2:$A$2000,0)+1,MATCH(I$2,vdata_regressors!$A$1:$R$1,0)),"")</f>
        <v/>
      </c>
      <c r="J589" s="23" t="str">
        <f>IFERROR(INDEX(vdata_regressors!$A$1:$L$2000,MATCH($A589,vdata_regressors!$A$2:$A$2000,0)+1,MATCH(J$2,vdata_regressors!$A$1:$R$1,0)),"")</f>
        <v/>
      </c>
      <c r="K589" s="23" t="str">
        <f>IFERROR(INDEX(vdata_regressors!$A$1:$L$2000,MATCH($A589,vdata_regressors!$A$2:$A$2000,0)+1,MATCH(K$2,vdata_regressors!$A$1:$R$1,0)),"")</f>
        <v/>
      </c>
      <c r="L589" s="23" t="str">
        <f>IFERROR(INDEX(vdata_regressors!$A$1:$L$2000,MATCH($A589,vdata_regressors!$A$2:$A$2000,0)+1,MATCH(L$2,vdata_regressors!$A$1:$R$1,0)),"")</f>
        <v/>
      </c>
      <c r="M589" s="23" t="str">
        <f>IFERROR(VLOOKUP(A589,vdata_hours!$A$2:$B$1000,2,FALSE),"")</f>
        <v/>
      </c>
    </row>
    <row r="590" spans="1:13" x14ac:dyDescent="0.25">
      <c r="A590" s="23" t="str">
        <f>IF(vdata_hours!A589=0,"",vdata_hours!A589)</f>
        <v/>
      </c>
      <c r="B590" s="23" t="str">
        <f>IFERROR(INDEX(vdata_regressors!$A$1:$L$2000,MATCH($A590,vdata_regressors!$A$2:$A$2000,0)+1,MATCH(B$2,vdata_regressors!$A$1:$R$1,0)),"")</f>
        <v/>
      </c>
      <c r="C590" s="23" t="str">
        <f>IFERROR(INDEX(vdata_regressors!$A$1:$L$2000,MATCH($A590,vdata_regressors!$A$2:$A$2000,0)+1,MATCH(C$2,vdata_regressors!$A$1:$R$1,0)),"")</f>
        <v/>
      </c>
      <c r="D590" s="23" t="str">
        <f>IFERROR(INDEX(vdata_regressors!$A$1:$L$2000,MATCH($A590,vdata_regressors!$A$2:$A$2000,0)+1,MATCH(D$2,vdata_regressors!$A$1:$R$1,0)),"")</f>
        <v/>
      </c>
      <c r="E590" s="23" t="str">
        <f>IFERROR(INDEX(vdata_regressors!$A$1:$L$2000,MATCH($A590,vdata_regressors!$A$2:$A$2000,0)+1,MATCH(E$2,vdata_regressors!$A$1:$R$1,0)),"")</f>
        <v/>
      </c>
      <c r="F590" s="23" t="str">
        <f>IFERROR(INDEX(vdata_regressors!$A$1:$L$2000,MATCH($A590,vdata_regressors!$A$2:$A$2000,0)+1,MATCH(F$2,vdata_regressors!$A$1:$R$1,0)),"")</f>
        <v/>
      </c>
      <c r="G590" s="23" t="str">
        <f>IFERROR(INDEX(vdata_regressors!$A$1:$L$2000,MATCH($A590,vdata_regressors!$A$2:$A$2000,0)+1,MATCH(G$2,vdata_regressors!$A$1:$R$1,0)),"")</f>
        <v/>
      </c>
      <c r="H590" s="23" t="str">
        <f>IFERROR(INDEX(vdata_regressors!$A$1:$L$2000,MATCH($A590,vdata_regressors!$A$2:$A$2000,0)+1,MATCH(H$2,vdata_regressors!$A$1:$R$1,0)),"")</f>
        <v/>
      </c>
      <c r="I590" s="23" t="str">
        <f>IFERROR(INDEX(vdata_regressors!$A$1:$L$2000,MATCH($A590,vdata_regressors!$A$2:$A$2000,0)+1,MATCH(I$2,vdata_regressors!$A$1:$R$1,0)),"")</f>
        <v/>
      </c>
      <c r="J590" s="23" t="str">
        <f>IFERROR(INDEX(vdata_regressors!$A$1:$L$2000,MATCH($A590,vdata_regressors!$A$2:$A$2000,0)+1,MATCH(J$2,vdata_regressors!$A$1:$R$1,0)),"")</f>
        <v/>
      </c>
      <c r="K590" s="23" t="str">
        <f>IFERROR(INDEX(vdata_regressors!$A$1:$L$2000,MATCH($A590,vdata_regressors!$A$2:$A$2000,0)+1,MATCH(K$2,vdata_regressors!$A$1:$R$1,0)),"")</f>
        <v/>
      </c>
      <c r="L590" s="23" t="str">
        <f>IFERROR(INDEX(vdata_regressors!$A$1:$L$2000,MATCH($A590,vdata_regressors!$A$2:$A$2000,0)+1,MATCH(L$2,vdata_regressors!$A$1:$R$1,0)),"")</f>
        <v/>
      </c>
      <c r="M590" s="23" t="str">
        <f>IFERROR(VLOOKUP(A590,vdata_hours!$A$2:$B$1000,2,FALSE),"")</f>
        <v/>
      </c>
    </row>
    <row r="591" spans="1:13" x14ac:dyDescent="0.25">
      <c r="A591" s="23" t="str">
        <f>IF(vdata_hours!A590=0,"",vdata_hours!A590)</f>
        <v/>
      </c>
      <c r="B591" s="23" t="str">
        <f>IFERROR(INDEX(vdata_regressors!$A$1:$L$2000,MATCH($A591,vdata_regressors!$A$2:$A$2000,0)+1,MATCH(B$2,vdata_regressors!$A$1:$R$1,0)),"")</f>
        <v/>
      </c>
      <c r="C591" s="23" t="str">
        <f>IFERROR(INDEX(vdata_regressors!$A$1:$L$2000,MATCH($A591,vdata_regressors!$A$2:$A$2000,0)+1,MATCH(C$2,vdata_regressors!$A$1:$R$1,0)),"")</f>
        <v/>
      </c>
      <c r="D591" s="23" t="str">
        <f>IFERROR(INDEX(vdata_regressors!$A$1:$L$2000,MATCH($A591,vdata_regressors!$A$2:$A$2000,0)+1,MATCH(D$2,vdata_regressors!$A$1:$R$1,0)),"")</f>
        <v/>
      </c>
      <c r="E591" s="23" t="str">
        <f>IFERROR(INDEX(vdata_regressors!$A$1:$L$2000,MATCH($A591,vdata_regressors!$A$2:$A$2000,0)+1,MATCH(E$2,vdata_regressors!$A$1:$R$1,0)),"")</f>
        <v/>
      </c>
      <c r="F591" s="23" t="str">
        <f>IFERROR(INDEX(vdata_regressors!$A$1:$L$2000,MATCH($A591,vdata_regressors!$A$2:$A$2000,0)+1,MATCH(F$2,vdata_regressors!$A$1:$R$1,0)),"")</f>
        <v/>
      </c>
      <c r="G591" s="23" t="str">
        <f>IFERROR(INDEX(vdata_regressors!$A$1:$L$2000,MATCH($A591,vdata_regressors!$A$2:$A$2000,0)+1,MATCH(G$2,vdata_regressors!$A$1:$R$1,0)),"")</f>
        <v/>
      </c>
      <c r="H591" s="23" t="str">
        <f>IFERROR(INDEX(vdata_regressors!$A$1:$L$2000,MATCH($A591,vdata_regressors!$A$2:$A$2000,0)+1,MATCH(H$2,vdata_regressors!$A$1:$R$1,0)),"")</f>
        <v/>
      </c>
      <c r="I591" s="23" t="str">
        <f>IFERROR(INDEX(vdata_regressors!$A$1:$L$2000,MATCH($A591,vdata_regressors!$A$2:$A$2000,0)+1,MATCH(I$2,vdata_regressors!$A$1:$R$1,0)),"")</f>
        <v/>
      </c>
      <c r="J591" s="23" t="str">
        <f>IFERROR(INDEX(vdata_regressors!$A$1:$L$2000,MATCH($A591,vdata_regressors!$A$2:$A$2000,0)+1,MATCH(J$2,vdata_regressors!$A$1:$R$1,0)),"")</f>
        <v/>
      </c>
      <c r="K591" s="23" t="str">
        <f>IFERROR(INDEX(vdata_regressors!$A$1:$L$2000,MATCH($A591,vdata_regressors!$A$2:$A$2000,0)+1,MATCH(K$2,vdata_regressors!$A$1:$R$1,0)),"")</f>
        <v/>
      </c>
      <c r="L591" s="23" t="str">
        <f>IFERROR(INDEX(vdata_regressors!$A$1:$L$2000,MATCH($A591,vdata_regressors!$A$2:$A$2000,0)+1,MATCH(L$2,vdata_regressors!$A$1:$R$1,0)),"")</f>
        <v/>
      </c>
      <c r="M591" s="23" t="str">
        <f>IFERROR(VLOOKUP(A591,vdata_hours!$A$2:$B$1000,2,FALSE),"")</f>
        <v/>
      </c>
    </row>
    <row r="592" spans="1:13" x14ac:dyDescent="0.25">
      <c r="A592" s="23" t="str">
        <f>IF(vdata_hours!A591=0,"",vdata_hours!A591)</f>
        <v/>
      </c>
      <c r="B592" s="23" t="str">
        <f>IFERROR(INDEX(vdata_regressors!$A$1:$L$2000,MATCH($A592,vdata_regressors!$A$2:$A$2000,0)+1,MATCH(B$2,vdata_regressors!$A$1:$R$1,0)),"")</f>
        <v/>
      </c>
      <c r="C592" s="23" t="str">
        <f>IFERROR(INDEX(vdata_regressors!$A$1:$L$2000,MATCH($A592,vdata_regressors!$A$2:$A$2000,0)+1,MATCH(C$2,vdata_regressors!$A$1:$R$1,0)),"")</f>
        <v/>
      </c>
      <c r="D592" s="23" t="str">
        <f>IFERROR(INDEX(vdata_regressors!$A$1:$L$2000,MATCH($A592,vdata_regressors!$A$2:$A$2000,0)+1,MATCH(D$2,vdata_regressors!$A$1:$R$1,0)),"")</f>
        <v/>
      </c>
      <c r="E592" s="23" t="str">
        <f>IFERROR(INDEX(vdata_regressors!$A$1:$L$2000,MATCH($A592,vdata_regressors!$A$2:$A$2000,0)+1,MATCH(E$2,vdata_regressors!$A$1:$R$1,0)),"")</f>
        <v/>
      </c>
      <c r="F592" s="23" t="str">
        <f>IFERROR(INDEX(vdata_regressors!$A$1:$L$2000,MATCH($A592,vdata_regressors!$A$2:$A$2000,0)+1,MATCH(F$2,vdata_regressors!$A$1:$R$1,0)),"")</f>
        <v/>
      </c>
      <c r="G592" s="23" t="str">
        <f>IFERROR(INDEX(vdata_regressors!$A$1:$L$2000,MATCH($A592,vdata_regressors!$A$2:$A$2000,0)+1,MATCH(G$2,vdata_regressors!$A$1:$R$1,0)),"")</f>
        <v/>
      </c>
      <c r="H592" s="23" t="str">
        <f>IFERROR(INDEX(vdata_regressors!$A$1:$L$2000,MATCH($A592,vdata_regressors!$A$2:$A$2000,0)+1,MATCH(H$2,vdata_regressors!$A$1:$R$1,0)),"")</f>
        <v/>
      </c>
      <c r="I592" s="23" t="str">
        <f>IFERROR(INDEX(vdata_regressors!$A$1:$L$2000,MATCH($A592,vdata_regressors!$A$2:$A$2000,0)+1,MATCH(I$2,vdata_regressors!$A$1:$R$1,0)),"")</f>
        <v/>
      </c>
      <c r="J592" s="23" t="str">
        <f>IFERROR(INDEX(vdata_regressors!$A$1:$L$2000,MATCH($A592,vdata_regressors!$A$2:$A$2000,0)+1,MATCH(J$2,vdata_regressors!$A$1:$R$1,0)),"")</f>
        <v/>
      </c>
      <c r="K592" s="23" t="str">
        <f>IFERROR(INDEX(vdata_regressors!$A$1:$L$2000,MATCH($A592,vdata_regressors!$A$2:$A$2000,0)+1,MATCH(K$2,vdata_regressors!$A$1:$R$1,0)),"")</f>
        <v/>
      </c>
      <c r="L592" s="23" t="str">
        <f>IFERROR(INDEX(vdata_regressors!$A$1:$L$2000,MATCH($A592,vdata_regressors!$A$2:$A$2000,0)+1,MATCH(L$2,vdata_regressors!$A$1:$R$1,0)),"")</f>
        <v/>
      </c>
      <c r="M592" s="23" t="str">
        <f>IFERROR(VLOOKUP(A592,vdata_hours!$A$2:$B$1000,2,FALSE),"")</f>
        <v/>
      </c>
    </row>
    <row r="593" spans="1:13" x14ac:dyDescent="0.25">
      <c r="A593" s="23" t="str">
        <f>IF(vdata_hours!A592=0,"",vdata_hours!A592)</f>
        <v/>
      </c>
      <c r="B593" s="23" t="str">
        <f>IFERROR(INDEX(vdata_regressors!$A$1:$L$2000,MATCH($A593,vdata_regressors!$A$2:$A$2000,0)+1,MATCH(B$2,vdata_regressors!$A$1:$R$1,0)),"")</f>
        <v/>
      </c>
      <c r="C593" s="23" t="str">
        <f>IFERROR(INDEX(vdata_regressors!$A$1:$L$2000,MATCH($A593,vdata_regressors!$A$2:$A$2000,0)+1,MATCH(C$2,vdata_regressors!$A$1:$R$1,0)),"")</f>
        <v/>
      </c>
      <c r="D593" s="23" t="str">
        <f>IFERROR(INDEX(vdata_regressors!$A$1:$L$2000,MATCH($A593,vdata_regressors!$A$2:$A$2000,0)+1,MATCH(D$2,vdata_regressors!$A$1:$R$1,0)),"")</f>
        <v/>
      </c>
      <c r="E593" s="23" t="str">
        <f>IFERROR(INDEX(vdata_regressors!$A$1:$L$2000,MATCH($A593,vdata_regressors!$A$2:$A$2000,0)+1,MATCH(E$2,vdata_regressors!$A$1:$R$1,0)),"")</f>
        <v/>
      </c>
      <c r="F593" s="23" t="str">
        <f>IFERROR(INDEX(vdata_regressors!$A$1:$L$2000,MATCH($A593,vdata_regressors!$A$2:$A$2000,0)+1,MATCH(F$2,vdata_regressors!$A$1:$R$1,0)),"")</f>
        <v/>
      </c>
      <c r="G593" s="23" t="str">
        <f>IFERROR(INDEX(vdata_regressors!$A$1:$L$2000,MATCH($A593,vdata_regressors!$A$2:$A$2000,0)+1,MATCH(G$2,vdata_regressors!$A$1:$R$1,0)),"")</f>
        <v/>
      </c>
      <c r="H593" s="23" t="str">
        <f>IFERROR(INDEX(vdata_regressors!$A$1:$L$2000,MATCH($A593,vdata_regressors!$A$2:$A$2000,0)+1,MATCH(H$2,vdata_regressors!$A$1:$R$1,0)),"")</f>
        <v/>
      </c>
      <c r="I593" s="23" t="str">
        <f>IFERROR(INDEX(vdata_regressors!$A$1:$L$2000,MATCH($A593,vdata_regressors!$A$2:$A$2000,0)+1,MATCH(I$2,vdata_regressors!$A$1:$R$1,0)),"")</f>
        <v/>
      </c>
      <c r="J593" s="23" t="str">
        <f>IFERROR(INDEX(vdata_regressors!$A$1:$L$2000,MATCH($A593,vdata_regressors!$A$2:$A$2000,0)+1,MATCH(J$2,vdata_regressors!$A$1:$R$1,0)),"")</f>
        <v/>
      </c>
      <c r="K593" s="23" t="str">
        <f>IFERROR(INDEX(vdata_regressors!$A$1:$L$2000,MATCH($A593,vdata_regressors!$A$2:$A$2000,0)+1,MATCH(K$2,vdata_regressors!$A$1:$R$1,0)),"")</f>
        <v/>
      </c>
      <c r="L593" s="23" t="str">
        <f>IFERROR(INDEX(vdata_regressors!$A$1:$L$2000,MATCH($A593,vdata_regressors!$A$2:$A$2000,0)+1,MATCH(L$2,vdata_regressors!$A$1:$R$1,0)),"")</f>
        <v/>
      </c>
      <c r="M593" s="23" t="str">
        <f>IFERROR(VLOOKUP(A593,vdata_hours!$A$2:$B$1000,2,FALSE),"")</f>
        <v/>
      </c>
    </row>
    <row r="594" spans="1:13" x14ac:dyDescent="0.25">
      <c r="A594" s="23" t="str">
        <f>IF(vdata_hours!A593=0,"",vdata_hours!A593)</f>
        <v/>
      </c>
      <c r="B594" s="23" t="str">
        <f>IFERROR(INDEX(vdata_regressors!$A$1:$L$2000,MATCH($A594,vdata_regressors!$A$2:$A$2000,0)+1,MATCH(B$2,vdata_regressors!$A$1:$R$1,0)),"")</f>
        <v/>
      </c>
      <c r="C594" s="23" t="str">
        <f>IFERROR(INDEX(vdata_regressors!$A$1:$L$2000,MATCH($A594,vdata_regressors!$A$2:$A$2000,0)+1,MATCH(C$2,vdata_regressors!$A$1:$R$1,0)),"")</f>
        <v/>
      </c>
      <c r="D594" s="23" t="str">
        <f>IFERROR(INDEX(vdata_regressors!$A$1:$L$2000,MATCH($A594,vdata_regressors!$A$2:$A$2000,0)+1,MATCH(D$2,vdata_regressors!$A$1:$R$1,0)),"")</f>
        <v/>
      </c>
      <c r="E594" s="23" t="str">
        <f>IFERROR(INDEX(vdata_regressors!$A$1:$L$2000,MATCH($A594,vdata_regressors!$A$2:$A$2000,0)+1,MATCH(E$2,vdata_regressors!$A$1:$R$1,0)),"")</f>
        <v/>
      </c>
      <c r="F594" s="23" t="str">
        <f>IFERROR(INDEX(vdata_regressors!$A$1:$L$2000,MATCH($A594,vdata_regressors!$A$2:$A$2000,0)+1,MATCH(F$2,vdata_regressors!$A$1:$R$1,0)),"")</f>
        <v/>
      </c>
      <c r="G594" s="23" t="str">
        <f>IFERROR(INDEX(vdata_regressors!$A$1:$L$2000,MATCH($A594,vdata_regressors!$A$2:$A$2000,0)+1,MATCH(G$2,vdata_regressors!$A$1:$R$1,0)),"")</f>
        <v/>
      </c>
      <c r="H594" s="23" t="str">
        <f>IFERROR(INDEX(vdata_regressors!$A$1:$L$2000,MATCH($A594,vdata_regressors!$A$2:$A$2000,0)+1,MATCH(H$2,vdata_regressors!$A$1:$R$1,0)),"")</f>
        <v/>
      </c>
      <c r="I594" s="23" t="str">
        <f>IFERROR(INDEX(vdata_regressors!$A$1:$L$2000,MATCH($A594,vdata_regressors!$A$2:$A$2000,0)+1,MATCH(I$2,vdata_regressors!$A$1:$R$1,0)),"")</f>
        <v/>
      </c>
      <c r="J594" s="23" t="str">
        <f>IFERROR(INDEX(vdata_regressors!$A$1:$L$2000,MATCH($A594,vdata_regressors!$A$2:$A$2000,0)+1,MATCH(J$2,vdata_regressors!$A$1:$R$1,0)),"")</f>
        <v/>
      </c>
      <c r="K594" s="23" t="str">
        <f>IFERROR(INDEX(vdata_regressors!$A$1:$L$2000,MATCH($A594,vdata_regressors!$A$2:$A$2000,0)+1,MATCH(K$2,vdata_regressors!$A$1:$R$1,0)),"")</f>
        <v/>
      </c>
      <c r="L594" s="23" t="str">
        <f>IFERROR(INDEX(vdata_regressors!$A$1:$L$2000,MATCH($A594,vdata_regressors!$A$2:$A$2000,0)+1,MATCH(L$2,vdata_regressors!$A$1:$R$1,0)),"")</f>
        <v/>
      </c>
      <c r="M594" s="23" t="str">
        <f>IFERROR(VLOOKUP(A594,vdata_hours!$A$2:$B$1000,2,FALSE),"")</f>
        <v/>
      </c>
    </row>
    <row r="595" spans="1:13" x14ac:dyDescent="0.25">
      <c r="A595" s="23" t="str">
        <f>IF(vdata_hours!A594=0,"",vdata_hours!A594)</f>
        <v/>
      </c>
      <c r="B595" s="23" t="str">
        <f>IFERROR(INDEX(vdata_regressors!$A$1:$L$2000,MATCH($A595,vdata_regressors!$A$2:$A$2000,0)+1,MATCH(B$2,vdata_regressors!$A$1:$R$1,0)),"")</f>
        <v/>
      </c>
      <c r="C595" s="23" t="str">
        <f>IFERROR(INDEX(vdata_regressors!$A$1:$L$2000,MATCH($A595,vdata_regressors!$A$2:$A$2000,0)+1,MATCH(C$2,vdata_regressors!$A$1:$R$1,0)),"")</f>
        <v/>
      </c>
      <c r="D595" s="23" t="str">
        <f>IFERROR(INDEX(vdata_regressors!$A$1:$L$2000,MATCH($A595,vdata_regressors!$A$2:$A$2000,0)+1,MATCH(D$2,vdata_regressors!$A$1:$R$1,0)),"")</f>
        <v/>
      </c>
      <c r="E595" s="23" t="str">
        <f>IFERROR(INDEX(vdata_regressors!$A$1:$L$2000,MATCH($A595,vdata_regressors!$A$2:$A$2000,0)+1,MATCH(E$2,vdata_regressors!$A$1:$R$1,0)),"")</f>
        <v/>
      </c>
      <c r="F595" s="23" t="str">
        <f>IFERROR(INDEX(vdata_regressors!$A$1:$L$2000,MATCH($A595,vdata_regressors!$A$2:$A$2000,0)+1,MATCH(F$2,vdata_regressors!$A$1:$R$1,0)),"")</f>
        <v/>
      </c>
      <c r="G595" s="23" t="str">
        <f>IFERROR(INDEX(vdata_regressors!$A$1:$L$2000,MATCH($A595,vdata_regressors!$A$2:$A$2000,0)+1,MATCH(G$2,vdata_regressors!$A$1:$R$1,0)),"")</f>
        <v/>
      </c>
      <c r="H595" s="23" t="str">
        <f>IFERROR(INDEX(vdata_regressors!$A$1:$L$2000,MATCH($A595,vdata_regressors!$A$2:$A$2000,0)+1,MATCH(H$2,vdata_regressors!$A$1:$R$1,0)),"")</f>
        <v/>
      </c>
      <c r="I595" s="23" t="str">
        <f>IFERROR(INDEX(vdata_regressors!$A$1:$L$2000,MATCH($A595,vdata_regressors!$A$2:$A$2000,0)+1,MATCH(I$2,vdata_regressors!$A$1:$R$1,0)),"")</f>
        <v/>
      </c>
      <c r="J595" s="23" t="str">
        <f>IFERROR(INDEX(vdata_regressors!$A$1:$L$2000,MATCH($A595,vdata_regressors!$A$2:$A$2000,0)+1,MATCH(J$2,vdata_regressors!$A$1:$R$1,0)),"")</f>
        <v/>
      </c>
      <c r="K595" s="23" t="str">
        <f>IFERROR(INDEX(vdata_regressors!$A$1:$L$2000,MATCH($A595,vdata_regressors!$A$2:$A$2000,0)+1,MATCH(K$2,vdata_regressors!$A$1:$R$1,0)),"")</f>
        <v/>
      </c>
      <c r="L595" s="23" t="str">
        <f>IFERROR(INDEX(vdata_regressors!$A$1:$L$2000,MATCH($A595,vdata_regressors!$A$2:$A$2000,0)+1,MATCH(L$2,vdata_regressors!$A$1:$R$1,0)),"")</f>
        <v/>
      </c>
      <c r="M595" s="23" t="str">
        <f>IFERROR(VLOOKUP(A595,vdata_hours!$A$2:$B$1000,2,FALSE),"")</f>
        <v/>
      </c>
    </row>
    <row r="596" spans="1:13" x14ac:dyDescent="0.25">
      <c r="A596" s="23" t="str">
        <f>IF(vdata_hours!A595=0,"",vdata_hours!A595)</f>
        <v/>
      </c>
      <c r="B596" s="23" t="str">
        <f>IFERROR(INDEX(vdata_regressors!$A$1:$L$2000,MATCH($A596,vdata_regressors!$A$2:$A$2000,0)+1,MATCH(B$2,vdata_regressors!$A$1:$R$1,0)),"")</f>
        <v/>
      </c>
      <c r="C596" s="23" t="str">
        <f>IFERROR(INDEX(vdata_regressors!$A$1:$L$2000,MATCH($A596,vdata_regressors!$A$2:$A$2000,0)+1,MATCH(C$2,vdata_regressors!$A$1:$R$1,0)),"")</f>
        <v/>
      </c>
      <c r="D596" s="23" t="str">
        <f>IFERROR(INDEX(vdata_regressors!$A$1:$L$2000,MATCH($A596,vdata_regressors!$A$2:$A$2000,0)+1,MATCH(D$2,vdata_regressors!$A$1:$R$1,0)),"")</f>
        <v/>
      </c>
      <c r="E596" s="23" t="str">
        <f>IFERROR(INDEX(vdata_regressors!$A$1:$L$2000,MATCH($A596,vdata_regressors!$A$2:$A$2000,0)+1,MATCH(E$2,vdata_regressors!$A$1:$R$1,0)),"")</f>
        <v/>
      </c>
      <c r="F596" s="23" t="str">
        <f>IFERROR(INDEX(vdata_regressors!$A$1:$L$2000,MATCH($A596,vdata_regressors!$A$2:$A$2000,0)+1,MATCH(F$2,vdata_regressors!$A$1:$R$1,0)),"")</f>
        <v/>
      </c>
      <c r="G596" s="23" t="str">
        <f>IFERROR(INDEX(vdata_regressors!$A$1:$L$2000,MATCH($A596,vdata_regressors!$A$2:$A$2000,0)+1,MATCH(G$2,vdata_regressors!$A$1:$R$1,0)),"")</f>
        <v/>
      </c>
      <c r="H596" s="23" t="str">
        <f>IFERROR(INDEX(vdata_regressors!$A$1:$L$2000,MATCH($A596,vdata_regressors!$A$2:$A$2000,0)+1,MATCH(H$2,vdata_regressors!$A$1:$R$1,0)),"")</f>
        <v/>
      </c>
      <c r="I596" s="23" t="str">
        <f>IFERROR(INDEX(vdata_regressors!$A$1:$L$2000,MATCH($A596,vdata_regressors!$A$2:$A$2000,0)+1,MATCH(I$2,vdata_regressors!$A$1:$R$1,0)),"")</f>
        <v/>
      </c>
      <c r="J596" s="23" t="str">
        <f>IFERROR(INDEX(vdata_regressors!$A$1:$L$2000,MATCH($A596,vdata_regressors!$A$2:$A$2000,0)+1,MATCH(J$2,vdata_regressors!$A$1:$R$1,0)),"")</f>
        <v/>
      </c>
      <c r="K596" s="23" t="str">
        <f>IFERROR(INDEX(vdata_regressors!$A$1:$L$2000,MATCH($A596,vdata_regressors!$A$2:$A$2000,0)+1,MATCH(K$2,vdata_regressors!$A$1:$R$1,0)),"")</f>
        <v/>
      </c>
      <c r="L596" s="23" t="str">
        <f>IFERROR(INDEX(vdata_regressors!$A$1:$L$2000,MATCH($A596,vdata_regressors!$A$2:$A$2000,0)+1,MATCH(L$2,vdata_regressors!$A$1:$R$1,0)),"")</f>
        <v/>
      </c>
      <c r="M596" s="23" t="str">
        <f>IFERROR(VLOOKUP(A596,vdata_hours!$A$2:$B$1000,2,FALSE),"")</f>
        <v/>
      </c>
    </row>
    <row r="597" spans="1:13" x14ac:dyDescent="0.25">
      <c r="A597" s="23" t="str">
        <f>IF(vdata_hours!A596=0,"",vdata_hours!A596)</f>
        <v/>
      </c>
      <c r="B597" s="23" t="str">
        <f>IFERROR(INDEX(vdata_regressors!$A$1:$L$2000,MATCH($A597,vdata_regressors!$A$2:$A$2000,0)+1,MATCH(B$2,vdata_regressors!$A$1:$R$1,0)),"")</f>
        <v/>
      </c>
      <c r="C597" s="23" t="str">
        <f>IFERROR(INDEX(vdata_regressors!$A$1:$L$2000,MATCH($A597,vdata_regressors!$A$2:$A$2000,0)+1,MATCH(C$2,vdata_regressors!$A$1:$R$1,0)),"")</f>
        <v/>
      </c>
      <c r="D597" s="23" t="str">
        <f>IFERROR(INDEX(vdata_regressors!$A$1:$L$2000,MATCH($A597,vdata_regressors!$A$2:$A$2000,0)+1,MATCH(D$2,vdata_regressors!$A$1:$R$1,0)),"")</f>
        <v/>
      </c>
      <c r="E597" s="23" t="str">
        <f>IFERROR(INDEX(vdata_regressors!$A$1:$L$2000,MATCH($A597,vdata_regressors!$A$2:$A$2000,0)+1,MATCH(E$2,vdata_regressors!$A$1:$R$1,0)),"")</f>
        <v/>
      </c>
      <c r="F597" s="23" t="str">
        <f>IFERROR(INDEX(vdata_regressors!$A$1:$L$2000,MATCH($A597,vdata_regressors!$A$2:$A$2000,0)+1,MATCH(F$2,vdata_regressors!$A$1:$R$1,0)),"")</f>
        <v/>
      </c>
      <c r="G597" s="23" t="str">
        <f>IFERROR(INDEX(vdata_regressors!$A$1:$L$2000,MATCH($A597,vdata_regressors!$A$2:$A$2000,0)+1,MATCH(G$2,vdata_regressors!$A$1:$R$1,0)),"")</f>
        <v/>
      </c>
      <c r="H597" s="23" t="str">
        <f>IFERROR(INDEX(vdata_regressors!$A$1:$L$2000,MATCH($A597,vdata_regressors!$A$2:$A$2000,0)+1,MATCH(H$2,vdata_regressors!$A$1:$R$1,0)),"")</f>
        <v/>
      </c>
      <c r="I597" s="23" t="str">
        <f>IFERROR(INDEX(vdata_regressors!$A$1:$L$2000,MATCH($A597,vdata_regressors!$A$2:$A$2000,0)+1,MATCH(I$2,vdata_regressors!$A$1:$R$1,0)),"")</f>
        <v/>
      </c>
      <c r="J597" s="23" t="str">
        <f>IFERROR(INDEX(vdata_regressors!$A$1:$L$2000,MATCH($A597,vdata_regressors!$A$2:$A$2000,0)+1,MATCH(J$2,vdata_regressors!$A$1:$R$1,0)),"")</f>
        <v/>
      </c>
      <c r="K597" s="23" t="str">
        <f>IFERROR(INDEX(vdata_regressors!$A$1:$L$2000,MATCH($A597,vdata_regressors!$A$2:$A$2000,0)+1,MATCH(K$2,vdata_regressors!$A$1:$R$1,0)),"")</f>
        <v/>
      </c>
      <c r="L597" s="23" t="str">
        <f>IFERROR(INDEX(vdata_regressors!$A$1:$L$2000,MATCH($A597,vdata_regressors!$A$2:$A$2000,0)+1,MATCH(L$2,vdata_regressors!$A$1:$R$1,0)),"")</f>
        <v/>
      </c>
      <c r="M597" s="23" t="str">
        <f>IFERROR(VLOOKUP(A597,vdata_hours!$A$2:$B$1000,2,FALSE),"")</f>
        <v/>
      </c>
    </row>
    <row r="598" spans="1:13" x14ac:dyDescent="0.25">
      <c r="A598" s="23" t="str">
        <f>IF(vdata_hours!A597=0,"",vdata_hours!A597)</f>
        <v/>
      </c>
      <c r="B598" s="23" t="str">
        <f>IFERROR(INDEX(vdata_regressors!$A$1:$L$2000,MATCH($A598,vdata_regressors!$A$2:$A$2000,0)+1,MATCH(B$2,vdata_regressors!$A$1:$R$1,0)),"")</f>
        <v/>
      </c>
      <c r="C598" s="23" t="str">
        <f>IFERROR(INDEX(vdata_regressors!$A$1:$L$2000,MATCH($A598,vdata_regressors!$A$2:$A$2000,0)+1,MATCH(C$2,vdata_regressors!$A$1:$R$1,0)),"")</f>
        <v/>
      </c>
      <c r="D598" s="23" t="str">
        <f>IFERROR(INDEX(vdata_regressors!$A$1:$L$2000,MATCH($A598,vdata_regressors!$A$2:$A$2000,0)+1,MATCH(D$2,vdata_regressors!$A$1:$R$1,0)),"")</f>
        <v/>
      </c>
      <c r="E598" s="23" t="str">
        <f>IFERROR(INDEX(vdata_regressors!$A$1:$L$2000,MATCH($A598,vdata_regressors!$A$2:$A$2000,0)+1,MATCH(E$2,vdata_regressors!$A$1:$R$1,0)),"")</f>
        <v/>
      </c>
      <c r="F598" s="23" t="str">
        <f>IFERROR(INDEX(vdata_regressors!$A$1:$L$2000,MATCH($A598,vdata_regressors!$A$2:$A$2000,0)+1,MATCH(F$2,vdata_regressors!$A$1:$R$1,0)),"")</f>
        <v/>
      </c>
      <c r="G598" s="23" t="str">
        <f>IFERROR(INDEX(vdata_regressors!$A$1:$L$2000,MATCH($A598,vdata_regressors!$A$2:$A$2000,0)+1,MATCH(G$2,vdata_regressors!$A$1:$R$1,0)),"")</f>
        <v/>
      </c>
      <c r="H598" s="23" t="str">
        <f>IFERROR(INDEX(vdata_regressors!$A$1:$L$2000,MATCH($A598,vdata_regressors!$A$2:$A$2000,0)+1,MATCH(H$2,vdata_regressors!$A$1:$R$1,0)),"")</f>
        <v/>
      </c>
      <c r="I598" s="23" t="str">
        <f>IFERROR(INDEX(vdata_regressors!$A$1:$L$2000,MATCH($A598,vdata_regressors!$A$2:$A$2000,0)+1,MATCH(I$2,vdata_regressors!$A$1:$R$1,0)),"")</f>
        <v/>
      </c>
      <c r="J598" s="23" t="str">
        <f>IFERROR(INDEX(vdata_regressors!$A$1:$L$2000,MATCH($A598,vdata_regressors!$A$2:$A$2000,0)+1,MATCH(J$2,vdata_regressors!$A$1:$R$1,0)),"")</f>
        <v/>
      </c>
      <c r="K598" s="23" t="str">
        <f>IFERROR(INDEX(vdata_regressors!$A$1:$L$2000,MATCH($A598,vdata_regressors!$A$2:$A$2000,0)+1,MATCH(K$2,vdata_regressors!$A$1:$R$1,0)),"")</f>
        <v/>
      </c>
      <c r="L598" s="23" t="str">
        <f>IFERROR(INDEX(vdata_regressors!$A$1:$L$2000,MATCH($A598,vdata_regressors!$A$2:$A$2000,0)+1,MATCH(L$2,vdata_regressors!$A$1:$R$1,0)),"")</f>
        <v/>
      </c>
      <c r="M598" s="23" t="str">
        <f>IFERROR(VLOOKUP(A598,vdata_hours!$A$2:$B$1000,2,FALSE),"")</f>
        <v/>
      </c>
    </row>
    <row r="599" spans="1:13" x14ac:dyDescent="0.25">
      <c r="A599" s="23" t="str">
        <f>IF(vdata_hours!A598=0,"",vdata_hours!A598)</f>
        <v/>
      </c>
      <c r="B599" s="23" t="str">
        <f>IFERROR(INDEX(vdata_regressors!$A$1:$L$2000,MATCH($A599,vdata_regressors!$A$2:$A$2000,0)+1,MATCH(B$2,vdata_regressors!$A$1:$R$1,0)),"")</f>
        <v/>
      </c>
      <c r="C599" s="23" t="str">
        <f>IFERROR(INDEX(vdata_regressors!$A$1:$L$2000,MATCH($A599,vdata_regressors!$A$2:$A$2000,0)+1,MATCH(C$2,vdata_regressors!$A$1:$R$1,0)),"")</f>
        <v/>
      </c>
      <c r="D599" s="23" t="str">
        <f>IFERROR(INDEX(vdata_regressors!$A$1:$L$2000,MATCH($A599,vdata_regressors!$A$2:$A$2000,0)+1,MATCH(D$2,vdata_regressors!$A$1:$R$1,0)),"")</f>
        <v/>
      </c>
      <c r="E599" s="23" t="str">
        <f>IFERROR(INDEX(vdata_regressors!$A$1:$L$2000,MATCH($A599,vdata_regressors!$A$2:$A$2000,0)+1,MATCH(E$2,vdata_regressors!$A$1:$R$1,0)),"")</f>
        <v/>
      </c>
      <c r="F599" s="23" t="str">
        <f>IFERROR(INDEX(vdata_regressors!$A$1:$L$2000,MATCH($A599,vdata_regressors!$A$2:$A$2000,0)+1,MATCH(F$2,vdata_regressors!$A$1:$R$1,0)),"")</f>
        <v/>
      </c>
      <c r="G599" s="23" t="str">
        <f>IFERROR(INDEX(vdata_regressors!$A$1:$L$2000,MATCH($A599,vdata_regressors!$A$2:$A$2000,0)+1,MATCH(G$2,vdata_regressors!$A$1:$R$1,0)),"")</f>
        <v/>
      </c>
      <c r="H599" s="23" t="str">
        <f>IFERROR(INDEX(vdata_regressors!$A$1:$L$2000,MATCH($A599,vdata_regressors!$A$2:$A$2000,0)+1,MATCH(H$2,vdata_regressors!$A$1:$R$1,0)),"")</f>
        <v/>
      </c>
      <c r="I599" s="23" t="str">
        <f>IFERROR(INDEX(vdata_regressors!$A$1:$L$2000,MATCH($A599,vdata_regressors!$A$2:$A$2000,0)+1,MATCH(I$2,vdata_regressors!$A$1:$R$1,0)),"")</f>
        <v/>
      </c>
      <c r="J599" s="23" t="str">
        <f>IFERROR(INDEX(vdata_regressors!$A$1:$L$2000,MATCH($A599,vdata_regressors!$A$2:$A$2000,0)+1,MATCH(J$2,vdata_regressors!$A$1:$R$1,0)),"")</f>
        <v/>
      </c>
      <c r="K599" s="23" t="str">
        <f>IFERROR(INDEX(vdata_regressors!$A$1:$L$2000,MATCH($A599,vdata_regressors!$A$2:$A$2000,0)+1,MATCH(K$2,vdata_regressors!$A$1:$R$1,0)),"")</f>
        <v/>
      </c>
      <c r="L599" s="23" t="str">
        <f>IFERROR(INDEX(vdata_regressors!$A$1:$L$2000,MATCH($A599,vdata_regressors!$A$2:$A$2000,0)+1,MATCH(L$2,vdata_regressors!$A$1:$R$1,0)),"")</f>
        <v/>
      </c>
      <c r="M599" s="23" t="str">
        <f>IFERROR(VLOOKUP(A599,vdata_hours!$A$2:$B$1000,2,FALSE),"")</f>
        <v/>
      </c>
    </row>
    <row r="600" spans="1:13" x14ac:dyDescent="0.25">
      <c r="A600" s="23" t="str">
        <f>IF(vdata_hours!A599=0,"",vdata_hours!A599)</f>
        <v/>
      </c>
      <c r="B600" s="23" t="str">
        <f>IFERROR(INDEX(vdata_regressors!$A$1:$L$2000,MATCH($A600,vdata_regressors!$A$2:$A$2000,0)+1,MATCH(B$2,vdata_regressors!$A$1:$R$1,0)),"")</f>
        <v/>
      </c>
      <c r="C600" s="23" t="str">
        <f>IFERROR(INDEX(vdata_regressors!$A$1:$L$2000,MATCH($A600,vdata_regressors!$A$2:$A$2000,0)+1,MATCH(C$2,vdata_regressors!$A$1:$R$1,0)),"")</f>
        <v/>
      </c>
      <c r="D600" s="23" t="str">
        <f>IFERROR(INDEX(vdata_regressors!$A$1:$L$2000,MATCH($A600,vdata_regressors!$A$2:$A$2000,0)+1,MATCH(D$2,vdata_regressors!$A$1:$R$1,0)),"")</f>
        <v/>
      </c>
      <c r="E600" s="23" t="str">
        <f>IFERROR(INDEX(vdata_regressors!$A$1:$L$2000,MATCH($A600,vdata_regressors!$A$2:$A$2000,0)+1,MATCH(E$2,vdata_regressors!$A$1:$R$1,0)),"")</f>
        <v/>
      </c>
      <c r="F600" s="23" t="str">
        <f>IFERROR(INDEX(vdata_regressors!$A$1:$L$2000,MATCH($A600,vdata_regressors!$A$2:$A$2000,0)+1,MATCH(F$2,vdata_regressors!$A$1:$R$1,0)),"")</f>
        <v/>
      </c>
      <c r="G600" s="23" t="str">
        <f>IFERROR(INDEX(vdata_regressors!$A$1:$L$2000,MATCH($A600,vdata_regressors!$A$2:$A$2000,0)+1,MATCH(G$2,vdata_regressors!$A$1:$R$1,0)),"")</f>
        <v/>
      </c>
      <c r="H600" s="23" t="str">
        <f>IFERROR(INDEX(vdata_regressors!$A$1:$L$2000,MATCH($A600,vdata_regressors!$A$2:$A$2000,0)+1,MATCH(H$2,vdata_regressors!$A$1:$R$1,0)),"")</f>
        <v/>
      </c>
      <c r="I600" s="23" t="str">
        <f>IFERROR(INDEX(vdata_regressors!$A$1:$L$2000,MATCH($A600,vdata_regressors!$A$2:$A$2000,0)+1,MATCH(I$2,vdata_regressors!$A$1:$R$1,0)),"")</f>
        <v/>
      </c>
      <c r="J600" s="23" t="str">
        <f>IFERROR(INDEX(vdata_regressors!$A$1:$L$2000,MATCH($A600,vdata_regressors!$A$2:$A$2000,0)+1,MATCH(J$2,vdata_regressors!$A$1:$R$1,0)),"")</f>
        <v/>
      </c>
      <c r="K600" s="23" t="str">
        <f>IFERROR(INDEX(vdata_regressors!$A$1:$L$2000,MATCH($A600,vdata_regressors!$A$2:$A$2000,0)+1,MATCH(K$2,vdata_regressors!$A$1:$R$1,0)),"")</f>
        <v/>
      </c>
      <c r="L600" s="23" t="str">
        <f>IFERROR(INDEX(vdata_regressors!$A$1:$L$2000,MATCH($A600,vdata_regressors!$A$2:$A$2000,0)+1,MATCH(L$2,vdata_regressors!$A$1:$R$1,0)),"")</f>
        <v/>
      </c>
      <c r="M600" s="23" t="str">
        <f>IFERROR(VLOOKUP(A600,vdata_hours!$A$2:$B$1000,2,FALSE),"")</f>
        <v/>
      </c>
    </row>
    <row r="601" spans="1:13" x14ac:dyDescent="0.25">
      <c r="A601" s="23" t="str">
        <f>IF(vdata_hours!A600=0,"",vdata_hours!A600)</f>
        <v/>
      </c>
      <c r="B601" s="23" t="str">
        <f>IFERROR(INDEX(vdata_regressors!$A$1:$L$2000,MATCH($A601,vdata_regressors!$A$2:$A$2000,0)+1,MATCH(B$2,vdata_regressors!$A$1:$R$1,0)),"")</f>
        <v/>
      </c>
      <c r="C601" s="23" t="str">
        <f>IFERROR(INDEX(vdata_regressors!$A$1:$L$2000,MATCH($A601,vdata_regressors!$A$2:$A$2000,0)+1,MATCH(C$2,vdata_regressors!$A$1:$R$1,0)),"")</f>
        <v/>
      </c>
      <c r="D601" s="23" t="str">
        <f>IFERROR(INDEX(vdata_regressors!$A$1:$L$2000,MATCH($A601,vdata_regressors!$A$2:$A$2000,0)+1,MATCH(D$2,vdata_regressors!$A$1:$R$1,0)),"")</f>
        <v/>
      </c>
      <c r="E601" s="23" t="str">
        <f>IFERROR(INDEX(vdata_regressors!$A$1:$L$2000,MATCH($A601,vdata_regressors!$A$2:$A$2000,0)+1,MATCH(E$2,vdata_regressors!$A$1:$R$1,0)),"")</f>
        <v/>
      </c>
      <c r="F601" s="23" t="str">
        <f>IFERROR(INDEX(vdata_regressors!$A$1:$L$2000,MATCH($A601,vdata_regressors!$A$2:$A$2000,0)+1,MATCH(F$2,vdata_regressors!$A$1:$R$1,0)),"")</f>
        <v/>
      </c>
      <c r="G601" s="23" t="str">
        <f>IFERROR(INDEX(vdata_regressors!$A$1:$L$2000,MATCH($A601,vdata_regressors!$A$2:$A$2000,0)+1,MATCH(G$2,vdata_regressors!$A$1:$R$1,0)),"")</f>
        <v/>
      </c>
      <c r="H601" s="23" t="str">
        <f>IFERROR(INDEX(vdata_regressors!$A$1:$L$2000,MATCH($A601,vdata_regressors!$A$2:$A$2000,0)+1,MATCH(H$2,vdata_regressors!$A$1:$R$1,0)),"")</f>
        <v/>
      </c>
      <c r="I601" s="23" t="str">
        <f>IFERROR(INDEX(vdata_regressors!$A$1:$L$2000,MATCH($A601,vdata_regressors!$A$2:$A$2000,0)+1,MATCH(I$2,vdata_regressors!$A$1:$R$1,0)),"")</f>
        <v/>
      </c>
      <c r="J601" s="23" t="str">
        <f>IFERROR(INDEX(vdata_regressors!$A$1:$L$2000,MATCH($A601,vdata_regressors!$A$2:$A$2000,0)+1,MATCH(J$2,vdata_regressors!$A$1:$R$1,0)),"")</f>
        <v/>
      </c>
      <c r="K601" s="23" t="str">
        <f>IFERROR(INDEX(vdata_regressors!$A$1:$L$2000,MATCH($A601,vdata_regressors!$A$2:$A$2000,0)+1,MATCH(K$2,vdata_regressors!$A$1:$R$1,0)),"")</f>
        <v/>
      </c>
      <c r="L601" s="23" t="str">
        <f>IFERROR(INDEX(vdata_regressors!$A$1:$L$2000,MATCH($A601,vdata_regressors!$A$2:$A$2000,0)+1,MATCH(L$2,vdata_regressors!$A$1:$R$1,0)),"")</f>
        <v/>
      </c>
      <c r="M601" s="23" t="str">
        <f>IFERROR(VLOOKUP(A601,vdata_hours!$A$2:$B$1000,2,FALSE),"")</f>
        <v/>
      </c>
    </row>
    <row r="602" spans="1:13" x14ac:dyDescent="0.25">
      <c r="A602" s="23" t="str">
        <f>IF(vdata_hours!A601=0,"",vdata_hours!A601)</f>
        <v/>
      </c>
      <c r="B602" s="23" t="str">
        <f>IFERROR(INDEX(vdata_regressors!$A$1:$L$2000,MATCH($A602,vdata_regressors!$A$2:$A$2000,0)+1,MATCH(B$2,vdata_regressors!$A$1:$R$1,0)),"")</f>
        <v/>
      </c>
      <c r="C602" s="23" t="str">
        <f>IFERROR(INDEX(vdata_regressors!$A$1:$L$2000,MATCH($A602,vdata_regressors!$A$2:$A$2000,0)+1,MATCH(C$2,vdata_regressors!$A$1:$R$1,0)),"")</f>
        <v/>
      </c>
      <c r="D602" s="23" t="str">
        <f>IFERROR(INDEX(vdata_regressors!$A$1:$L$2000,MATCH($A602,vdata_regressors!$A$2:$A$2000,0)+1,MATCH(D$2,vdata_regressors!$A$1:$R$1,0)),"")</f>
        <v/>
      </c>
      <c r="E602" s="23" t="str">
        <f>IFERROR(INDEX(vdata_regressors!$A$1:$L$2000,MATCH($A602,vdata_regressors!$A$2:$A$2000,0)+1,MATCH(E$2,vdata_regressors!$A$1:$R$1,0)),"")</f>
        <v/>
      </c>
      <c r="F602" s="23" t="str">
        <f>IFERROR(INDEX(vdata_regressors!$A$1:$L$2000,MATCH($A602,vdata_regressors!$A$2:$A$2000,0)+1,MATCH(F$2,vdata_regressors!$A$1:$R$1,0)),"")</f>
        <v/>
      </c>
      <c r="G602" s="23" t="str">
        <f>IFERROR(INDEX(vdata_regressors!$A$1:$L$2000,MATCH($A602,vdata_regressors!$A$2:$A$2000,0)+1,MATCH(G$2,vdata_regressors!$A$1:$R$1,0)),"")</f>
        <v/>
      </c>
      <c r="H602" s="23" t="str">
        <f>IFERROR(INDEX(vdata_regressors!$A$1:$L$2000,MATCH($A602,vdata_regressors!$A$2:$A$2000,0)+1,MATCH(H$2,vdata_regressors!$A$1:$R$1,0)),"")</f>
        <v/>
      </c>
      <c r="I602" s="23" t="str">
        <f>IFERROR(INDEX(vdata_regressors!$A$1:$L$2000,MATCH($A602,vdata_regressors!$A$2:$A$2000,0)+1,MATCH(I$2,vdata_regressors!$A$1:$R$1,0)),"")</f>
        <v/>
      </c>
      <c r="J602" s="23" t="str">
        <f>IFERROR(INDEX(vdata_regressors!$A$1:$L$2000,MATCH($A602,vdata_regressors!$A$2:$A$2000,0)+1,MATCH(J$2,vdata_regressors!$A$1:$R$1,0)),"")</f>
        <v/>
      </c>
      <c r="K602" s="23" t="str">
        <f>IFERROR(INDEX(vdata_regressors!$A$1:$L$2000,MATCH($A602,vdata_regressors!$A$2:$A$2000,0)+1,MATCH(K$2,vdata_regressors!$A$1:$R$1,0)),"")</f>
        <v/>
      </c>
      <c r="L602" s="23" t="str">
        <f>IFERROR(INDEX(vdata_regressors!$A$1:$L$2000,MATCH($A602,vdata_regressors!$A$2:$A$2000,0)+1,MATCH(L$2,vdata_regressors!$A$1:$R$1,0)),"")</f>
        <v/>
      </c>
      <c r="M602" s="23" t="str">
        <f>IFERROR(VLOOKUP(A602,vdata_hours!$A$2:$B$1000,2,FALSE),"")</f>
        <v/>
      </c>
    </row>
    <row r="603" spans="1:13" x14ac:dyDescent="0.25">
      <c r="A603" s="23" t="str">
        <f>IF(vdata_hours!A602=0,"",vdata_hours!A602)</f>
        <v/>
      </c>
      <c r="B603" s="23" t="str">
        <f>IFERROR(INDEX(vdata_regressors!$A$1:$L$2000,MATCH($A603,vdata_regressors!$A$2:$A$2000,0)+1,MATCH(B$2,vdata_regressors!$A$1:$R$1,0)),"")</f>
        <v/>
      </c>
      <c r="C603" s="23" t="str">
        <f>IFERROR(INDEX(vdata_regressors!$A$1:$L$2000,MATCH($A603,vdata_regressors!$A$2:$A$2000,0)+1,MATCH(C$2,vdata_regressors!$A$1:$R$1,0)),"")</f>
        <v/>
      </c>
      <c r="D603" s="23" t="str">
        <f>IFERROR(INDEX(vdata_regressors!$A$1:$L$2000,MATCH($A603,vdata_regressors!$A$2:$A$2000,0)+1,MATCH(D$2,vdata_regressors!$A$1:$R$1,0)),"")</f>
        <v/>
      </c>
      <c r="E603" s="23" t="str">
        <f>IFERROR(INDEX(vdata_regressors!$A$1:$L$2000,MATCH($A603,vdata_regressors!$A$2:$A$2000,0)+1,MATCH(E$2,vdata_regressors!$A$1:$R$1,0)),"")</f>
        <v/>
      </c>
      <c r="F603" s="23" t="str">
        <f>IFERROR(INDEX(vdata_regressors!$A$1:$L$2000,MATCH($A603,vdata_regressors!$A$2:$A$2000,0)+1,MATCH(F$2,vdata_regressors!$A$1:$R$1,0)),"")</f>
        <v/>
      </c>
      <c r="G603" s="23" t="str">
        <f>IFERROR(INDEX(vdata_regressors!$A$1:$L$2000,MATCH($A603,vdata_regressors!$A$2:$A$2000,0)+1,MATCH(G$2,vdata_regressors!$A$1:$R$1,0)),"")</f>
        <v/>
      </c>
      <c r="H603" s="23" t="str">
        <f>IFERROR(INDEX(vdata_regressors!$A$1:$L$2000,MATCH($A603,vdata_regressors!$A$2:$A$2000,0)+1,MATCH(H$2,vdata_regressors!$A$1:$R$1,0)),"")</f>
        <v/>
      </c>
      <c r="I603" s="23" t="str">
        <f>IFERROR(INDEX(vdata_regressors!$A$1:$L$2000,MATCH($A603,vdata_regressors!$A$2:$A$2000,0)+1,MATCH(I$2,vdata_regressors!$A$1:$R$1,0)),"")</f>
        <v/>
      </c>
      <c r="J603" s="23" t="str">
        <f>IFERROR(INDEX(vdata_regressors!$A$1:$L$2000,MATCH($A603,vdata_regressors!$A$2:$A$2000,0)+1,MATCH(J$2,vdata_regressors!$A$1:$R$1,0)),"")</f>
        <v/>
      </c>
      <c r="K603" s="23" t="str">
        <f>IFERROR(INDEX(vdata_regressors!$A$1:$L$2000,MATCH($A603,vdata_regressors!$A$2:$A$2000,0)+1,MATCH(K$2,vdata_regressors!$A$1:$R$1,0)),"")</f>
        <v/>
      </c>
      <c r="L603" s="23" t="str">
        <f>IFERROR(INDEX(vdata_regressors!$A$1:$L$2000,MATCH($A603,vdata_regressors!$A$2:$A$2000,0)+1,MATCH(L$2,vdata_regressors!$A$1:$R$1,0)),"")</f>
        <v/>
      </c>
      <c r="M603" s="23" t="str">
        <f>IFERROR(VLOOKUP(A603,vdata_hours!$A$2:$B$1000,2,FALSE),"")</f>
        <v/>
      </c>
    </row>
    <row r="604" spans="1:13" x14ac:dyDescent="0.25">
      <c r="A604" s="23" t="str">
        <f>IF(vdata_hours!A603=0,"",vdata_hours!A603)</f>
        <v/>
      </c>
      <c r="B604" s="23" t="str">
        <f>IFERROR(INDEX(vdata_regressors!$A$1:$L$2000,MATCH($A604,vdata_regressors!$A$2:$A$2000,0)+1,MATCH(B$2,vdata_regressors!$A$1:$R$1,0)),"")</f>
        <v/>
      </c>
      <c r="C604" s="23" t="str">
        <f>IFERROR(INDEX(vdata_regressors!$A$1:$L$2000,MATCH($A604,vdata_regressors!$A$2:$A$2000,0)+1,MATCH(C$2,vdata_regressors!$A$1:$R$1,0)),"")</f>
        <v/>
      </c>
      <c r="D604" s="23" t="str">
        <f>IFERROR(INDEX(vdata_regressors!$A$1:$L$2000,MATCH($A604,vdata_regressors!$A$2:$A$2000,0)+1,MATCH(D$2,vdata_regressors!$A$1:$R$1,0)),"")</f>
        <v/>
      </c>
      <c r="E604" s="23" t="str">
        <f>IFERROR(INDEX(vdata_regressors!$A$1:$L$2000,MATCH($A604,vdata_regressors!$A$2:$A$2000,0)+1,MATCH(E$2,vdata_regressors!$A$1:$R$1,0)),"")</f>
        <v/>
      </c>
      <c r="F604" s="23" t="str">
        <f>IFERROR(INDEX(vdata_regressors!$A$1:$L$2000,MATCH($A604,vdata_regressors!$A$2:$A$2000,0)+1,MATCH(F$2,vdata_regressors!$A$1:$R$1,0)),"")</f>
        <v/>
      </c>
      <c r="G604" s="23" t="str">
        <f>IFERROR(INDEX(vdata_regressors!$A$1:$L$2000,MATCH($A604,vdata_regressors!$A$2:$A$2000,0)+1,MATCH(G$2,vdata_regressors!$A$1:$R$1,0)),"")</f>
        <v/>
      </c>
      <c r="H604" s="23" t="str">
        <f>IFERROR(INDEX(vdata_regressors!$A$1:$L$2000,MATCH($A604,vdata_regressors!$A$2:$A$2000,0)+1,MATCH(H$2,vdata_regressors!$A$1:$R$1,0)),"")</f>
        <v/>
      </c>
      <c r="I604" s="23" t="str">
        <f>IFERROR(INDEX(vdata_regressors!$A$1:$L$2000,MATCH($A604,vdata_regressors!$A$2:$A$2000,0)+1,MATCH(I$2,vdata_regressors!$A$1:$R$1,0)),"")</f>
        <v/>
      </c>
      <c r="J604" s="23" t="str">
        <f>IFERROR(INDEX(vdata_regressors!$A$1:$L$2000,MATCH($A604,vdata_regressors!$A$2:$A$2000,0)+1,MATCH(J$2,vdata_regressors!$A$1:$R$1,0)),"")</f>
        <v/>
      </c>
      <c r="K604" s="23" t="str">
        <f>IFERROR(INDEX(vdata_regressors!$A$1:$L$2000,MATCH($A604,vdata_regressors!$A$2:$A$2000,0)+1,MATCH(K$2,vdata_regressors!$A$1:$R$1,0)),"")</f>
        <v/>
      </c>
      <c r="L604" s="23" t="str">
        <f>IFERROR(INDEX(vdata_regressors!$A$1:$L$2000,MATCH($A604,vdata_regressors!$A$2:$A$2000,0)+1,MATCH(L$2,vdata_regressors!$A$1:$R$1,0)),"")</f>
        <v/>
      </c>
      <c r="M604" s="23" t="str">
        <f>IFERROR(VLOOKUP(A604,vdata_hours!$A$2:$B$1000,2,FALSE),"")</f>
        <v/>
      </c>
    </row>
    <row r="605" spans="1:13" x14ac:dyDescent="0.25">
      <c r="A605" s="23" t="str">
        <f>IF(vdata_hours!A604=0,"",vdata_hours!A604)</f>
        <v/>
      </c>
      <c r="B605" s="23" t="str">
        <f>IFERROR(INDEX(vdata_regressors!$A$1:$L$2000,MATCH($A605,vdata_regressors!$A$2:$A$2000,0)+1,MATCH(B$2,vdata_regressors!$A$1:$R$1,0)),"")</f>
        <v/>
      </c>
      <c r="C605" s="23" t="str">
        <f>IFERROR(INDEX(vdata_regressors!$A$1:$L$2000,MATCH($A605,vdata_regressors!$A$2:$A$2000,0)+1,MATCH(C$2,vdata_regressors!$A$1:$R$1,0)),"")</f>
        <v/>
      </c>
      <c r="D605" s="23" t="str">
        <f>IFERROR(INDEX(vdata_regressors!$A$1:$L$2000,MATCH($A605,vdata_regressors!$A$2:$A$2000,0)+1,MATCH(D$2,vdata_regressors!$A$1:$R$1,0)),"")</f>
        <v/>
      </c>
      <c r="E605" s="23" t="str">
        <f>IFERROR(INDEX(vdata_regressors!$A$1:$L$2000,MATCH($A605,vdata_regressors!$A$2:$A$2000,0)+1,MATCH(E$2,vdata_regressors!$A$1:$R$1,0)),"")</f>
        <v/>
      </c>
      <c r="F605" s="23" t="str">
        <f>IFERROR(INDEX(vdata_regressors!$A$1:$L$2000,MATCH($A605,vdata_regressors!$A$2:$A$2000,0)+1,MATCH(F$2,vdata_regressors!$A$1:$R$1,0)),"")</f>
        <v/>
      </c>
      <c r="G605" s="23" t="str">
        <f>IFERROR(INDEX(vdata_regressors!$A$1:$L$2000,MATCH($A605,vdata_regressors!$A$2:$A$2000,0)+1,MATCH(G$2,vdata_regressors!$A$1:$R$1,0)),"")</f>
        <v/>
      </c>
      <c r="H605" s="23" t="str">
        <f>IFERROR(INDEX(vdata_regressors!$A$1:$L$2000,MATCH($A605,vdata_regressors!$A$2:$A$2000,0)+1,MATCH(H$2,vdata_regressors!$A$1:$R$1,0)),"")</f>
        <v/>
      </c>
      <c r="I605" s="23" t="str">
        <f>IFERROR(INDEX(vdata_regressors!$A$1:$L$2000,MATCH($A605,vdata_regressors!$A$2:$A$2000,0)+1,MATCH(I$2,vdata_regressors!$A$1:$R$1,0)),"")</f>
        <v/>
      </c>
      <c r="J605" s="23" t="str">
        <f>IFERROR(INDEX(vdata_regressors!$A$1:$L$2000,MATCH($A605,vdata_regressors!$A$2:$A$2000,0)+1,MATCH(J$2,vdata_regressors!$A$1:$R$1,0)),"")</f>
        <v/>
      </c>
      <c r="K605" s="23" t="str">
        <f>IFERROR(INDEX(vdata_regressors!$A$1:$L$2000,MATCH($A605,vdata_regressors!$A$2:$A$2000,0)+1,MATCH(K$2,vdata_regressors!$A$1:$R$1,0)),"")</f>
        <v/>
      </c>
      <c r="L605" s="23" t="str">
        <f>IFERROR(INDEX(vdata_regressors!$A$1:$L$2000,MATCH($A605,vdata_regressors!$A$2:$A$2000,0)+1,MATCH(L$2,vdata_regressors!$A$1:$R$1,0)),"")</f>
        <v/>
      </c>
      <c r="M605" s="23" t="str">
        <f>IFERROR(VLOOKUP(A605,vdata_hours!$A$2:$B$1000,2,FALSE),"")</f>
        <v/>
      </c>
    </row>
    <row r="606" spans="1:13" x14ac:dyDescent="0.25">
      <c r="A606" s="23" t="str">
        <f>IF(vdata_hours!A605=0,"",vdata_hours!A605)</f>
        <v/>
      </c>
      <c r="B606" s="23" t="str">
        <f>IFERROR(INDEX(vdata_regressors!$A$1:$L$2000,MATCH($A606,vdata_regressors!$A$2:$A$2000,0)+1,MATCH(B$2,vdata_regressors!$A$1:$R$1,0)),"")</f>
        <v/>
      </c>
      <c r="C606" s="23" t="str">
        <f>IFERROR(INDEX(vdata_regressors!$A$1:$L$2000,MATCH($A606,vdata_regressors!$A$2:$A$2000,0)+1,MATCH(C$2,vdata_regressors!$A$1:$R$1,0)),"")</f>
        <v/>
      </c>
      <c r="D606" s="23" t="str">
        <f>IFERROR(INDEX(vdata_regressors!$A$1:$L$2000,MATCH($A606,vdata_regressors!$A$2:$A$2000,0)+1,MATCH(D$2,vdata_regressors!$A$1:$R$1,0)),"")</f>
        <v/>
      </c>
      <c r="E606" s="23" t="str">
        <f>IFERROR(INDEX(vdata_regressors!$A$1:$L$2000,MATCH($A606,vdata_regressors!$A$2:$A$2000,0)+1,MATCH(E$2,vdata_regressors!$A$1:$R$1,0)),"")</f>
        <v/>
      </c>
      <c r="F606" s="23" t="str">
        <f>IFERROR(INDEX(vdata_regressors!$A$1:$L$2000,MATCH($A606,vdata_regressors!$A$2:$A$2000,0)+1,MATCH(F$2,vdata_regressors!$A$1:$R$1,0)),"")</f>
        <v/>
      </c>
      <c r="G606" s="23" t="str">
        <f>IFERROR(INDEX(vdata_regressors!$A$1:$L$2000,MATCH($A606,vdata_regressors!$A$2:$A$2000,0)+1,MATCH(G$2,vdata_regressors!$A$1:$R$1,0)),"")</f>
        <v/>
      </c>
      <c r="H606" s="23" t="str">
        <f>IFERROR(INDEX(vdata_regressors!$A$1:$L$2000,MATCH($A606,vdata_regressors!$A$2:$A$2000,0)+1,MATCH(H$2,vdata_regressors!$A$1:$R$1,0)),"")</f>
        <v/>
      </c>
      <c r="I606" s="23" t="str">
        <f>IFERROR(INDEX(vdata_regressors!$A$1:$L$2000,MATCH($A606,vdata_regressors!$A$2:$A$2000,0)+1,MATCH(I$2,vdata_regressors!$A$1:$R$1,0)),"")</f>
        <v/>
      </c>
      <c r="J606" s="23" t="str">
        <f>IFERROR(INDEX(vdata_regressors!$A$1:$L$2000,MATCH($A606,vdata_regressors!$A$2:$A$2000,0)+1,MATCH(J$2,vdata_regressors!$A$1:$R$1,0)),"")</f>
        <v/>
      </c>
      <c r="K606" s="23" t="str">
        <f>IFERROR(INDEX(vdata_regressors!$A$1:$L$2000,MATCH($A606,vdata_regressors!$A$2:$A$2000,0)+1,MATCH(K$2,vdata_regressors!$A$1:$R$1,0)),"")</f>
        <v/>
      </c>
      <c r="L606" s="23" t="str">
        <f>IFERROR(INDEX(vdata_regressors!$A$1:$L$2000,MATCH($A606,vdata_regressors!$A$2:$A$2000,0)+1,MATCH(L$2,vdata_regressors!$A$1:$R$1,0)),"")</f>
        <v/>
      </c>
      <c r="M606" s="23" t="str">
        <f>IFERROR(VLOOKUP(A606,vdata_hours!$A$2:$B$1000,2,FALSE),"")</f>
        <v/>
      </c>
    </row>
    <row r="607" spans="1:13" x14ac:dyDescent="0.25">
      <c r="A607" s="23" t="str">
        <f>IF(vdata_hours!A606=0,"",vdata_hours!A606)</f>
        <v/>
      </c>
      <c r="B607" s="23" t="str">
        <f>IFERROR(INDEX(vdata_regressors!$A$1:$L$2000,MATCH($A607,vdata_regressors!$A$2:$A$2000,0)+1,MATCH(B$2,vdata_regressors!$A$1:$R$1,0)),"")</f>
        <v/>
      </c>
      <c r="C607" s="23" t="str">
        <f>IFERROR(INDEX(vdata_regressors!$A$1:$L$2000,MATCH($A607,vdata_regressors!$A$2:$A$2000,0)+1,MATCH(C$2,vdata_regressors!$A$1:$R$1,0)),"")</f>
        <v/>
      </c>
      <c r="D607" s="23" t="str">
        <f>IFERROR(INDEX(vdata_regressors!$A$1:$L$2000,MATCH($A607,vdata_regressors!$A$2:$A$2000,0)+1,MATCH(D$2,vdata_regressors!$A$1:$R$1,0)),"")</f>
        <v/>
      </c>
      <c r="E607" s="23" t="str">
        <f>IFERROR(INDEX(vdata_regressors!$A$1:$L$2000,MATCH($A607,vdata_regressors!$A$2:$A$2000,0)+1,MATCH(E$2,vdata_regressors!$A$1:$R$1,0)),"")</f>
        <v/>
      </c>
      <c r="F607" s="23" t="str">
        <f>IFERROR(INDEX(vdata_regressors!$A$1:$L$2000,MATCH($A607,vdata_regressors!$A$2:$A$2000,0)+1,MATCH(F$2,vdata_regressors!$A$1:$R$1,0)),"")</f>
        <v/>
      </c>
      <c r="G607" s="23" t="str">
        <f>IFERROR(INDEX(vdata_regressors!$A$1:$L$2000,MATCH($A607,vdata_regressors!$A$2:$A$2000,0)+1,MATCH(G$2,vdata_regressors!$A$1:$R$1,0)),"")</f>
        <v/>
      </c>
      <c r="H607" s="23" t="str">
        <f>IFERROR(INDEX(vdata_regressors!$A$1:$L$2000,MATCH($A607,vdata_regressors!$A$2:$A$2000,0)+1,MATCH(H$2,vdata_regressors!$A$1:$R$1,0)),"")</f>
        <v/>
      </c>
      <c r="I607" s="23" t="str">
        <f>IFERROR(INDEX(vdata_regressors!$A$1:$L$2000,MATCH($A607,vdata_regressors!$A$2:$A$2000,0)+1,MATCH(I$2,vdata_regressors!$A$1:$R$1,0)),"")</f>
        <v/>
      </c>
      <c r="J607" s="23" t="str">
        <f>IFERROR(INDEX(vdata_regressors!$A$1:$L$2000,MATCH($A607,vdata_regressors!$A$2:$A$2000,0)+1,MATCH(J$2,vdata_regressors!$A$1:$R$1,0)),"")</f>
        <v/>
      </c>
      <c r="K607" s="23" t="str">
        <f>IFERROR(INDEX(vdata_regressors!$A$1:$L$2000,MATCH($A607,vdata_regressors!$A$2:$A$2000,0)+1,MATCH(K$2,vdata_regressors!$A$1:$R$1,0)),"")</f>
        <v/>
      </c>
      <c r="L607" s="23" t="str">
        <f>IFERROR(INDEX(vdata_regressors!$A$1:$L$2000,MATCH($A607,vdata_regressors!$A$2:$A$2000,0)+1,MATCH(L$2,vdata_regressors!$A$1:$R$1,0)),"")</f>
        <v/>
      </c>
      <c r="M607" s="23" t="str">
        <f>IFERROR(VLOOKUP(A607,vdata_hours!$A$2:$B$1000,2,FALSE),"")</f>
        <v/>
      </c>
    </row>
    <row r="608" spans="1:13" x14ac:dyDescent="0.25">
      <c r="A608" s="23" t="str">
        <f>IF(vdata_hours!A607=0,"",vdata_hours!A607)</f>
        <v/>
      </c>
      <c r="B608" s="23" t="str">
        <f>IFERROR(INDEX(vdata_regressors!$A$1:$L$2000,MATCH($A608,vdata_regressors!$A$2:$A$2000,0)+1,MATCH(B$2,vdata_regressors!$A$1:$R$1,0)),"")</f>
        <v/>
      </c>
      <c r="C608" s="23" t="str">
        <f>IFERROR(INDEX(vdata_regressors!$A$1:$L$2000,MATCH($A608,vdata_regressors!$A$2:$A$2000,0)+1,MATCH(C$2,vdata_regressors!$A$1:$R$1,0)),"")</f>
        <v/>
      </c>
      <c r="D608" s="23" t="str">
        <f>IFERROR(INDEX(vdata_regressors!$A$1:$L$2000,MATCH($A608,vdata_regressors!$A$2:$A$2000,0)+1,MATCH(D$2,vdata_regressors!$A$1:$R$1,0)),"")</f>
        <v/>
      </c>
      <c r="E608" s="23" t="str">
        <f>IFERROR(INDEX(vdata_regressors!$A$1:$L$2000,MATCH($A608,vdata_regressors!$A$2:$A$2000,0)+1,MATCH(E$2,vdata_regressors!$A$1:$R$1,0)),"")</f>
        <v/>
      </c>
      <c r="F608" s="23" t="str">
        <f>IFERROR(INDEX(vdata_regressors!$A$1:$L$2000,MATCH($A608,vdata_regressors!$A$2:$A$2000,0)+1,MATCH(F$2,vdata_regressors!$A$1:$R$1,0)),"")</f>
        <v/>
      </c>
      <c r="G608" s="23" t="str">
        <f>IFERROR(INDEX(vdata_regressors!$A$1:$L$2000,MATCH($A608,vdata_regressors!$A$2:$A$2000,0)+1,MATCH(G$2,vdata_regressors!$A$1:$R$1,0)),"")</f>
        <v/>
      </c>
      <c r="H608" s="23" t="str">
        <f>IFERROR(INDEX(vdata_regressors!$A$1:$L$2000,MATCH($A608,vdata_regressors!$A$2:$A$2000,0)+1,MATCH(H$2,vdata_regressors!$A$1:$R$1,0)),"")</f>
        <v/>
      </c>
      <c r="I608" s="23" t="str">
        <f>IFERROR(INDEX(vdata_regressors!$A$1:$L$2000,MATCH($A608,vdata_regressors!$A$2:$A$2000,0)+1,MATCH(I$2,vdata_regressors!$A$1:$R$1,0)),"")</f>
        <v/>
      </c>
      <c r="J608" s="23" t="str">
        <f>IFERROR(INDEX(vdata_regressors!$A$1:$L$2000,MATCH($A608,vdata_regressors!$A$2:$A$2000,0)+1,MATCH(J$2,vdata_regressors!$A$1:$R$1,0)),"")</f>
        <v/>
      </c>
      <c r="K608" s="23" t="str">
        <f>IFERROR(INDEX(vdata_regressors!$A$1:$L$2000,MATCH($A608,vdata_regressors!$A$2:$A$2000,0)+1,MATCH(K$2,vdata_regressors!$A$1:$R$1,0)),"")</f>
        <v/>
      </c>
      <c r="L608" s="23" t="str">
        <f>IFERROR(INDEX(vdata_regressors!$A$1:$L$2000,MATCH($A608,vdata_regressors!$A$2:$A$2000,0)+1,MATCH(L$2,vdata_regressors!$A$1:$R$1,0)),"")</f>
        <v/>
      </c>
      <c r="M608" s="23" t="str">
        <f>IFERROR(VLOOKUP(A608,vdata_hours!$A$2:$B$1000,2,FALSE),"")</f>
        <v/>
      </c>
    </row>
    <row r="609" spans="1:13" x14ac:dyDescent="0.25">
      <c r="A609" s="23" t="str">
        <f>IF(vdata_hours!A608=0,"",vdata_hours!A608)</f>
        <v/>
      </c>
      <c r="B609" s="23" t="str">
        <f>IFERROR(INDEX(vdata_regressors!$A$1:$L$2000,MATCH($A609,vdata_regressors!$A$2:$A$2000,0)+1,MATCH(B$2,vdata_regressors!$A$1:$R$1,0)),"")</f>
        <v/>
      </c>
      <c r="C609" s="23" t="str">
        <f>IFERROR(INDEX(vdata_regressors!$A$1:$L$2000,MATCH($A609,vdata_regressors!$A$2:$A$2000,0)+1,MATCH(C$2,vdata_regressors!$A$1:$R$1,0)),"")</f>
        <v/>
      </c>
      <c r="D609" s="23" t="str">
        <f>IFERROR(INDEX(vdata_regressors!$A$1:$L$2000,MATCH($A609,vdata_regressors!$A$2:$A$2000,0)+1,MATCH(D$2,vdata_regressors!$A$1:$R$1,0)),"")</f>
        <v/>
      </c>
      <c r="E609" s="23" t="str">
        <f>IFERROR(INDEX(vdata_regressors!$A$1:$L$2000,MATCH($A609,vdata_regressors!$A$2:$A$2000,0)+1,MATCH(E$2,vdata_regressors!$A$1:$R$1,0)),"")</f>
        <v/>
      </c>
      <c r="F609" s="23" t="str">
        <f>IFERROR(INDEX(vdata_regressors!$A$1:$L$2000,MATCH($A609,vdata_regressors!$A$2:$A$2000,0)+1,MATCH(F$2,vdata_regressors!$A$1:$R$1,0)),"")</f>
        <v/>
      </c>
      <c r="G609" s="23" t="str">
        <f>IFERROR(INDEX(vdata_regressors!$A$1:$L$2000,MATCH($A609,vdata_regressors!$A$2:$A$2000,0)+1,MATCH(G$2,vdata_regressors!$A$1:$R$1,0)),"")</f>
        <v/>
      </c>
      <c r="H609" s="23" t="str">
        <f>IFERROR(INDEX(vdata_regressors!$A$1:$L$2000,MATCH($A609,vdata_regressors!$A$2:$A$2000,0)+1,MATCH(H$2,vdata_regressors!$A$1:$R$1,0)),"")</f>
        <v/>
      </c>
      <c r="I609" s="23" t="str">
        <f>IFERROR(INDEX(vdata_regressors!$A$1:$L$2000,MATCH($A609,vdata_regressors!$A$2:$A$2000,0)+1,MATCH(I$2,vdata_regressors!$A$1:$R$1,0)),"")</f>
        <v/>
      </c>
      <c r="J609" s="23" t="str">
        <f>IFERROR(INDEX(vdata_regressors!$A$1:$L$2000,MATCH($A609,vdata_regressors!$A$2:$A$2000,0)+1,MATCH(J$2,vdata_regressors!$A$1:$R$1,0)),"")</f>
        <v/>
      </c>
      <c r="K609" s="23" t="str">
        <f>IFERROR(INDEX(vdata_regressors!$A$1:$L$2000,MATCH($A609,vdata_regressors!$A$2:$A$2000,0)+1,MATCH(K$2,vdata_regressors!$A$1:$R$1,0)),"")</f>
        <v/>
      </c>
      <c r="L609" s="23" t="str">
        <f>IFERROR(INDEX(vdata_regressors!$A$1:$L$2000,MATCH($A609,vdata_regressors!$A$2:$A$2000,0)+1,MATCH(L$2,vdata_regressors!$A$1:$R$1,0)),"")</f>
        <v/>
      </c>
      <c r="M609" s="23" t="str">
        <f>IFERROR(VLOOKUP(A609,vdata_hours!$A$2:$B$1000,2,FALSE),"")</f>
        <v/>
      </c>
    </row>
    <row r="610" spans="1:13" x14ac:dyDescent="0.25">
      <c r="A610" s="23" t="str">
        <f>IF(vdata_hours!A609=0,"",vdata_hours!A609)</f>
        <v/>
      </c>
      <c r="B610" s="23" t="str">
        <f>IFERROR(INDEX(vdata_regressors!$A$1:$L$2000,MATCH($A610,vdata_regressors!$A$2:$A$2000,0)+1,MATCH(B$2,vdata_regressors!$A$1:$R$1,0)),"")</f>
        <v/>
      </c>
      <c r="C610" s="23" t="str">
        <f>IFERROR(INDEX(vdata_regressors!$A$1:$L$2000,MATCH($A610,vdata_regressors!$A$2:$A$2000,0)+1,MATCH(C$2,vdata_regressors!$A$1:$R$1,0)),"")</f>
        <v/>
      </c>
      <c r="D610" s="23" t="str">
        <f>IFERROR(INDEX(vdata_regressors!$A$1:$L$2000,MATCH($A610,vdata_regressors!$A$2:$A$2000,0)+1,MATCH(D$2,vdata_regressors!$A$1:$R$1,0)),"")</f>
        <v/>
      </c>
      <c r="E610" s="23" t="str">
        <f>IFERROR(INDEX(vdata_regressors!$A$1:$L$2000,MATCH($A610,vdata_regressors!$A$2:$A$2000,0)+1,MATCH(E$2,vdata_regressors!$A$1:$R$1,0)),"")</f>
        <v/>
      </c>
      <c r="F610" s="23" t="str">
        <f>IFERROR(INDEX(vdata_regressors!$A$1:$L$2000,MATCH($A610,vdata_regressors!$A$2:$A$2000,0)+1,MATCH(F$2,vdata_regressors!$A$1:$R$1,0)),"")</f>
        <v/>
      </c>
      <c r="G610" s="23" t="str">
        <f>IFERROR(INDEX(vdata_regressors!$A$1:$L$2000,MATCH($A610,vdata_regressors!$A$2:$A$2000,0)+1,MATCH(G$2,vdata_regressors!$A$1:$R$1,0)),"")</f>
        <v/>
      </c>
      <c r="H610" s="23" t="str">
        <f>IFERROR(INDEX(vdata_regressors!$A$1:$L$2000,MATCH($A610,vdata_regressors!$A$2:$A$2000,0)+1,MATCH(H$2,vdata_regressors!$A$1:$R$1,0)),"")</f>
        <v/>
      </c>
      <c r="I610" s="23" t="str">
        <f>IFERROR(INDEX(vdata_regressors!$A$1:$L$2000,MATCH($A610,vdata_regressors!$A$2:$A$2000,0)+1,MATCH(I$2,vdata_regressors!$A$1:$R$1,0)),"")</f>
        <v/>
      </c>
      <c r="J610" s="23" t="str">
        <f>IFERROR(INDEX(vdata_regressors!$A$1:$L$2000,MATCH($A610,vdata_regressors!$A$2:$A$2000,0)+1,MATCH(J$2,vdata_regressors!$A$1:$R$1,0)),"")</f>
        <v/>
      </c>
      <c r="K610" s="23" t="str">
        <f>IFERROR(INDEX(vdata_regressors!$A$1:$L$2000,MATCH($A610,vdata_regressors!$A$2:$A$2000,0)+1,MATCH(K$2,vdata_regressors!$A$1:$R$1,0)),"")</f>
        <v/>
      </c>
      <c r="L610" s="23" t="str">
        <f>IFERROR(INDEX(vdata_regressors!$A$1:$L$2000,MATCH($A610,vdata_regressors!$A$2:$A$2000,0)+1,MATCH(L$2,vdata_regressors!$A$1:$R$1,0)),"")</f>
        <v/>
      </c>
      <c r="M610" s="23" t="str">
        <f>IFERROR(VLOOKUP(A610,vdata_hours!$A$2:$B$1000,2,FALSE),"")</f>
        <v/>
      </c>
    </row>
    <row r="611" spans="1:13" x14ac:dyDescent="0.25">
      <c r="A611" s="23" t="str">
        <f>IF(vdata_hours!A610=0,"",vdata_hours!A610)</f>
        <v/>
      </c>
      <c r="B611" s="23" t="str">
        <f>IFERROR(INDEX(vdata_regressors!$A$1:$L$2000,MATCH($A611,vdata_regressors!$A$2:$A$2000,0)+1,MATCH(B$2,vdata_regressors!$A$1:$R$1,0)),"")</f>
        <v/>
      </c>
      <c r="C611" s="23" t="str">
        <f>IFERROR(INDEX(vdata_regressors!$A$1:$L$2000,MATCH($A611,vdata_regressors!$A$2:$A$2000,0)+1,MATCH(C$2,vdata_regressors!$A$1:$R$1,0)),"")</f>
        <v/>
      </c>
      <c r="D611" s="23" t="str">
        <f>IFERROR(INDEX(vdata_regressors!$A$1:$L$2000,MATCH($A611,vdata_regressors!$A$2:$A$2000,0)+1,MATCH(D$2,vdata_regressors!$A$1:$R$1,0)),"")</f>
        <v/>
      </c>
      <c r="E611" s="23" t="str">
        <f>IFERROR(INDEX(vdata_regressors!$A$1:$L$2000,MATCH($A611,vdata_regressors!$A$2:$A$2000,0)+1,MATCH(E$2,vdata_regressors!$A$1:$R$1,0)),"")</f>
        <v/>
      </c>
      <c r="F611" s="23" t="str">
        <f>IFERROR(INDEX(vdata_regressors!$A$1:$L$2000,MATCH($A611,vdata_regressors!$A$2:$A$2000,0)+1,MATCH(F$2,vdata_regressors!$A$1:$R$1,0)),"")</f>
        <v/>
      </c>
      <c r="G611" s="23" t="str">
        <f>IFERROR(INDEX(vdata_regressors!$A$1:$L$2000,MATCH($A611,vdata_regressors!$A$2:$A$2000,0)+1,MATCH(G$2,vdata_regressors!$A$1:$R$1,0)),"")</f>
        <v/>
      </c>
      <c r="H611" s="23" t="str">
        <f>IFERROR(INDEX(vdata_regressors!$A$1:$L$2000,MATCH($A611,vdata_regressors!$A$2:$A$2000,0)+1,MATCH(H$2,vdata_regressors!$A$1:$R$1,0)),"")</f>
        <v/>
      </c>
      <c r="I611" s="23" t="str">
        <f>IFERROR(INDEX(vdata_regressors!$A$1:$L$2000,MATCH($A611,vdata_regressors!$A$2:$A$2000,0)+1,MATCH(I$2,vdata_regressors!$A$1:$R$1,0)),"")</f>
        <v/>
      </c>
      <c r="J611" s="23" t="str">
        <f>IFERROR(INDEX(vdata_regressors!$A$1:$L$2000,MATCH($A611,vdata_regressors!$A$2:$A$2000,0)+1,MATCH(J$2,vdata_regressors!$A$1:$R$1,0)),"")</f>
        <v/>
      </c>
      <c r="K611" s="23" t="str">
        <f>IFERROR(INDEX(vdata_regressors!$A$1:$L$2000,MATCH($A611,vdata_regressors!$A$2:$A$2000,0)+1,MATCH(K$2,vdata_regressors!$A$1:$R$1,0)),"")</f>
        <v/>
      </c>
      <c r="L611" s="23" t="str">
        <f>IFERROR(INDEX(vdata_regressors!$A$1:$L$2000,MATCH($A611,vdata_regressors!$A$2:$A$2000,0)+1,MATCH(L$2,vdata_regressors!$A$1:$R$1,0)),"")</f>
        <v/>
      </c>
      <c r="M611" s="23" t="str">
        <f>IFERROR(VLOOKUP(A611,vdata_hours!$A$2:$B$1000,2,FALSE),"")</f>
        <v/>
      </c>
    </row>
    <row r="612" spans="1:13" x14ac:dyDescent="0.25">
      <c r="A612" s="23" t="str">
        <f>IF(vdata_hours!A611=0,"",vdata_hours!A611)</f>
        <v/>
      </c>
      <c r="B612" s="23" t="str">
        <f>IFERROR(INDEX(vdata_regressors!$A$1:$L$2000,MATCH($A612,vdata_regressors!$A$2:$A$2000,0)+1,MATCH(B$2,vdata_regressors!$A$1:$R$1,0)),"")</f>
        <v/>
      </c>
      <c r="C612" s="23" t="str">
        <f>IFERROR(INDEX(vdata_regressors!$A$1:$L$2000,MATCH($A612,vdata_regressors!$A$2:$A$2000,0)+1,MATCH(C$2,vdata_regressors!$A$1:$R$1,0)),"")</f>
        <v/>
      </c>
      <c r="D612" s="23" t="str">
        <f>IFERROR(INDEX(vdata_regressors!$A$1:$L$2000,MATCH($A612,vdata_regressors!$A$2:$A$2000,0)+1,MATCH(D$2,vdata_regressors!$A$1:$R$1,0)),"")</f>
        <v/>
      </c>
      <c r="E612" s="23" t="str">
        <f>IFERROR(INDEX(vdata_regressors!$A$1:$L$2000,MATCH($A612,vdata_regressors!$A$2:$A$2000,0)+1,MATCH(E$2,vdata_regressors!$A$1:$R$1,0)),"")</f>
        <v/>
      </c>
      <c r="F612" s="23" t="str">
        <f>IFERROR(INDEX(vdata_regressors!$A$1:$L$2000,MATCH($A612,vdata_regressors!$A$2:$A$2000,0)+1,MATCH(F$2,vdata_regressors!$A$1:$R$1,0)),"")</f>
        <v/>
      </c>
      <c r="G612" s="23" t="str">
        <f>IFERROR(INDEX(vdata_regressors!$A$1:$L$2000,MATCH($A612,vdata_regressors!$A$2:$A$2000,0)+1,MATCH(G$2,vdata_regressors!$A$1:$R$1,0)),"")</f>
        <v/>
      </c>
      <c r="H612" s="23" t="str">
        <f>IFERROR(INDEX(vdata_regressors!$A$1:$L$2000,MATCH($A612,vdata_regressors!$A$2:$A$2000,0)+1,MATCH(H$2,vdata_regressors!$A$1:$R$1,0)),"")</f>
        <v/>
      </c>
      <c r="I612" s="23" t="str">
        <f>IFERROR(INDEX(vdata_regressors!$A$1:$L$2000,MATCH($A612,vdata_regressors!$A$2:$A$2000,0)+1,MATCH(I$2,vdata_regressors!$A$1:$R$1,0)),"")</f>
        <v/>
      </c>
      <c r="J612" s="23" t="str">
        <f>IFERROR(INDEX(vdata_regressors!$A$1:$L$2000,MATCH($A612,vdata_regressors!$A$2:$A$2000,0)+1,MATCH(J$2,vdata_regressors!$A$1:$R$1,0)),"")</f>
        <v/>
      </c>
      <c r="K612" s="23" t="str">
        <f>IFERROR(INDEX(vdata_regressors!$A$1:$L$2000,MATCH($A612,vdata_regressors!$A$2:$A$2000,0)+1,MATCH(K$2,vdata_regressors!$A$1:$R$1,0)),"")</f>
        <v/>
      </c>
      <c r="L612" s="23" t="str">
        <f>IFERROR(INDEX(vdata_regressors!$A$1:$L$2000,MATCH($A612,vdata_regressors!$A$2:$A$2000,0)+1,MATCH(L$2,vdata_regressors!$A$1:$R$1,0)),"")</f>
        <v/>
      </c>
      <c r="M612" s="23" t="str">
        <f>IFERROR(VLOOKUP(A612,vdata_hours!$A$2:$B$1000,2,FALSE),"")</f>
        <v/>
      </c>
    </row>
    <row r="613" spans="1:13" x14ac:dyDescent="0.25">
      <c r="A613" s="23" t="str">
        <f>IF(vdata_hours!A612=0,"",vdata_hours!A612)</f>
        <v/>
      </c>
      <c r="B613" s="23" t="str">
        <f>IFERROR(INDEX(vdata_regressors!$A$1:$L$2000,MATCH($A613,vdata_regressors!$A$2:$A$2000,0)+1,MATCH(B$2,vdata_regressors!$A$1:$R$1,0)),"")</f>
        <v/>
      </c>
      <c r="C613" s="23" t="str">
        <f>IFERROR(INDEX(vdata_regressors!$A$1:$L$2000,MATCH($A613,vdata_regressors!$A$2:$A$2000,0)+1,MATCH(C$2,vdata_regressors!$A$1:$R$1,0)),"")</f>
        <v/>
      </c>
      <c r="D613" s="23" t="str">
        <f>IFERROR(INDEX(vdata_regressors!$A$1:$L$2000,MATCH($A613,vdata_regressors!$A$2:$A$2000,0)+1,MATCH(D$2,vdata_regressors!$A$1:$R$1,0)),"")</f>
        <v/>
      </c>
      <c r="E613" s="23" t="str">
        <f>IFERROR(INDEX(vdata_regressors!$A$1:$L$2000,MATCH($A613,vdata_regressors!$A$2:$A$2000,0)+1,MATCH(E$2,vdata_regressors!$A$1:$R$1,0)),"")</f>
        <v/>
      </c>
      <c r="F613" s="23" t="str">
        <f>IFERROR(INDEX(vdata_regressors!$A$1:$L$2000,MATCH($A613,vdata_regressors!$A$2:$A$2000,0)+1,MATCH(F$2,vdata_regressors!$A$1:$R$1,0)),"")</f>
        <v/>
      </c>
      <c r="G613" s="23" t="str">
        <f>IFERROR(INDEX(vdata_regressors!$A$1:$L$2000,MATCH($A613,vdata_regressors!$A$2:$A$2000,0)+1,MATCH(G$2,vdata_regressors!$A$1:$R$1,0)),"")</f>
        <v/>
      </c>
      <c r="H613" s="23" t="str">
        <f>IFERROR(INDEX(vdata_regressors!$A$1:$L$2000,MATCH($A613,vdata_regressors!$A$2:$A$2000,0)+1,MATCH(H$2,vdata_regressors!$A$1:$R$1,0)),"")</f>
        <v/>
      </c>
      <c r="I613" s="23" t="str">
        <f>IFERROR(INDEX(vdata_regressors!$A$1:$L$2000,MATCH($A613,vdata_regressors!$A$2:$A$2000,0)+1,MATCH(I$2,vdata_regressors!$A$1:$R$1,0)),"")</f>
        <v/>
      </c>
      <c r="J613" s="23" t="str">
        <f>IFERROR(INDEX(vdata_regressors!$A$1:$L$2000,MATCH($A613,vdata_regressors!$A$2:$A$2000,0)+1,MATCH(J$2,vdata_regressors!$A$1:$R$1,0)),"")</f>
        <v/>
      </c>
      <c r="K613" s="23" t="str">
        <f>IFERROR(INDEX(vdata_regressors!$A$1:$L$2000,MATCH($A613,vdata_regressors!$A$2:$A$2000,0)+1,MATCH(K$2,vdata_regressors!$A$1:$R$1,0)),"")</f>
        <v/>
      </c>
      <c r="L613" s="23" t="str">
        <f>IFERROR(INDEX(vdata_regressors!$A$1:$L$2000,MATCH($A613,vdata_regressors!$A$2:$A$2000,0)+1,MATCH(L$2,vdata_regressors!$A$1:$R$1,0)),"")</f>
        <v/>
      </c>
      <c r="M613" s="23" t="str">
        <f>IFERROR(VLOOKUP(A613,vdata_hours!$A$2:$B$1000,2,FALSE),"")</f>
        <v/>
      </c>
    </row>
    <row r="614" spans="1:13" x14ac:dyDescent="0.25">
      <c r="A614" s="23" t="str">
        <f>IF(vdata_hours!A613=0,"",vdata_hours!A613)</f>
        <v/>
      </c>
      <c r="B614" s="23" t="str">
        <f>IFERROR(INDEX(vdata_regressors!$A$1:$L$2000,MATCH($A614,vdata_regressors!$A$2:$A$2000,0)+1,MATCH(B$2,vdata_regressors!$A$1:$R$1,0)),"")</f>
        <v/>
      </c>
      <c r="C614" s="23" t="str">
        <f>IFERROR(INDEX(vdata_regressors!$A$1:$L$2000,MATCH($A614,vdata_regressors!$A$2:$A$2000,0)+1,MATCH(C$2,vdata_regressors!$A$1:$R$1,0)),"")</f>
        <v/>
      </c>
      <c r="D614" s="23" t="str">
        <f>IFERROR(INDEX(vdata_regressors!$A$1:$L$2000,MATCH($A614,vdata_regressors!$A$2:$A$2000,0)+1,MATCH(D$2,vdata_regressors!$A$1:$R$1,0)),"")</f>
        <v/>
      </c>
      <c r="E614" s="23" t="str">
        <f>IFERROR(INDEX(vdata_regressors!$A$1:$L$2000,MATCH($A614,vdata_regressors!$A$2:$A$2000,0)+1,MATCH(E$2,vdata_regressors!$A$1:$R$1,0)),"")</f>
        <v/>
      </c>
      <c r="F614" s="23" t="str">
        <f>IFERROR(INDEX(vdata_regressors!$A$1:$L$2000,MATCH($A614,vdata_regressors!$A$2:$A$2000,0)+1,MATCH(F$2,vdata_regressors!$A$1:$R$1,0)),"")</f>
        <v/>
      </c>
      <c r="G614" s="23" t="str">
        <f>IFERROR(INDEX(vdata_regressors!$A$1:$L$2000,MATCH($A614,vdata_regressors!$A$2:$A$2000,0)+1,MATCH(G$2,vdata_regressors!$A$1:$R$1,0)),"")</f>
        <v/>
      </c>
      <c r="H614" s="23" t="str">
        <f>IFERROR(INDEX(vdata_regressors!$A$1:$L$2000,MATCH($A614,vdata_regressors!$A$2:$A$2000,0)+1,MATCH(H$2,vdata_regressors!$A$1:$R$1,0)),"")</f>
        <v/>
      </c>
      <c r="I614" s="23" t="str">
        <f>IFERROR(INDEX(vdata_regressors!$A$1:$L$2000,MATCH($A614,vdata_regressors!$A$2:$A$2000,0)+1,MATCH(I$2,vdata_regressors!$A$1:$R$1,0)),"")</f>
        <v/>
      </c>
      <c r="J614" s="23" t="str">
        <f>IFERROR(INDEX(vdata_regressors!$A$1:$L$2000,MATCH($A614,vdata_regressors!$A$2:$A$2000,0)+1,MATCH(J$2,vdata_regressors!$A$1:$R$1,0)),"")</f>
        <v/>
      </c>
      <c r="K614" s="23" t="str">
        <f>IFERROR(INDEX(vdata_regressors!$A$1:$L$2000,MATCH($A614,vdata_regressors!$A$2:$A$2000,0)+1,MATCH(K$2,vdata_regressors!$A$1:$R$1,0)),"")</f>
        <v/>
      </c>
      <c r="L614" s="23" t="str">
        <f>IFERROR(INDEX(vdata_regressors!$A$1:$L$2000,MATCH($A614,vdata_regressors!$A$2:$A$2000,0)+1,MATCH(L$2,vdata_regressors!$A$1:$R$1,0)),"")</f>
        <v/>
      </c>
      <c r="M614" s="23" t="str">
        <f>IFERROR(VLOOKUP(A614,vdata_hours!$A$2:$B$1000,2,FALSE),"")</f>
        <v/>
      </c>
    </row>
    <row r="615" spans="1:13" x14ac:dyDescent="0.25">
      <c r="A615" s="23" t="str">
        <f>IF(vdata_hours!A614=0,"",vdata_hours!A614)</f>
        <v/>
      </c>
      <c r="B615" s="23" t="str">
        <f>IFERROR(INDEX(vdata_regressors!$A$1:$L$2000,MATCH($A615,vdata_regressors!$A$2:$A$2000,0)+1,MATCH(B$2,vdata_regressors!$A$1:$R$1,0)),"")</f>
        <v/>
      </c>
      <c r="C615" s="23" t="str">
        <f>IFERROR(INDEX(vdata_regressors!$A$1:$L$2000,MATCH($A615,vdata_regressors!$A$2:$A$2000,0)+1,MATCH(C$2,vdata_regressors!$A$1:$R$1,0)),"")</f>
        <v/>
      </c>
      <c r="D615" s="23" t="str">
        <f>IFERROR(INDEX(vdata_regressors!$A$1:$L$2000,MATCH($A615,vdata_regressors!$A$2:$A$2000,0)+1,MATCH(D$2,vdata_regressors!$A$1:$R$1,0)),"")</f>
        <v/>
      </c>
      <c r="E615" s="23" t="str">
        <f>IFERROR(INDEX(vdata_regressors!$A$1:$L$2000,MATCH($A615,vdata_regressors!$A$2:$A$2000,0)+1,MATCH(E$2,vdata_regressors!$A$1:$R$1,0)),"")</f>
        <v/>
      </c>
      <c r="F615" s="23" t="str">
        <f>IFERROR(INDEX(vdata_regressors!$A$1:$L$2000,MATCH($A615,vdata_regressors!$A$2:$A$2000,0)+1,MATCH(F$2,vdata_regressors!$A$1:$R$1,0)),"")</f>
        <v/>
      </c>
      <c r="G615" s="23" t="str">
        <f>IFERROR(INDEX(vdata_regressors!$A$1:$L$2000,MATCH($A615,vdata_regressors!$A$2:$A$2000,0)+1,MATCH(G$2,vdata_regressors!$A$1:$R$1,0)),"")</f>
        <v/>
      </c>
      <c r="H615" s="23" t="str">
        <f>IFERROR(INDEX(vdata_regressors!$A$1:$L$2000,MATCH($A615,vdata_regressors!$A$2:$A$2000,0)+1,MATCH(H$2,vdata_regressors!$A$1:$R$1,0)),"")</f>
        <v/>
      </c>
      <c r="I615" s="23" t="str">
        <f>IFERROR(INDEX(vdata_regressors!$A$1:$L$2000,MATCH($A615,vdata_regressors!$A$2:$A$2000,0)+1,MATCH(I$2,vdata_regressors!$A$1:$R$1,0)),"")</f>
        <v/>
      </c>
      <c r="J615" s="23" t="str">
        <f>IFERROR(INDEX(vdata_regressors!$A$1:$L$2000,MATCH($A615,vdata_regressors!$A$2:$A$2000,0)+1,MATCH(J$2,vdata_regressors!$A$1:$R$1,0)),"")</f>
        <v/>
      </c>
      <c r="K615" s="23" t="str">
        <f>IFERROR(INDEX(vdata_regressors!$A$1:$L$2000,MATCH($A615,vdata_regressors!$A$2:$A$2000,0)+1,MATCH(K$2,vdata_regressors!$A$1:$R$1,0)),"")</f>
        <v/>
      </c>
      <c r="L615" s="23" t="str">
        <f>IFERROR(INDEX(vdata_regressors!$A$1:$L$2000,MATCH($A615,vdata_regressors!$A$2:$A$2000,0)+1,MATCH(L$2,vdata_regressors!$A$1:$R$1,0)),"")</f>
        <v/>
      </c>
      <c r="M615" s="23" t="str">
        <f>IFERROR(VLOOKUP(A615,vdata_hours!$A$2:$B$1000,2,FALSE),"")</f>
        <v/>
      </c>
    </row>
    <row r="616" spans="1:13" x14ac:dyDescent="0.25">
      <c r="A616" s="23" t="str">
        <f>IF(vdata_hours!A615=0,"",vdata_hours!A615)</f>
        <v/>
      </c>
      <c r="B616" s="23" t="str">
        <f>IFERROR(INDEX(vdata_regressors!$A$1:$L$2000,MATCH($A616,vdata_regressors!$A$2:$A$2000,0)+1,MATCH(B$2,vdata_regressors!$A$1:$R$1,0)),"")</f>
        <v/>
      </c>
      <c r="C616" s="23" t="str">
        <f>IFERROR(INDEX(vdata_regressors!$A$1:$L$2000,MATCH($A616,vdata_regressors!$A$2:$A$2000,0)+1,MATCH(C$2,vdata_regressors!$A$1:$R$1,0)),"")</f>
        <v/>
      </c>
      <c r="D616" s="23" t="str">
        <f>IFERROR(INDEX(vdata_regressors!$A$1:$L$2000,MATCH($A616,vdata_regressors!$A$2:$A$2000,0)+1,MATCH(D$2,vdata_regressors!$A$1:$R$1,0)),"")</f>
        <v/>
      </c>
      <c r="E616" s="23" t="str">
        <f>IFERROR(INDEX(vdata_regressors!$A$1:$L$2000,MATCH($A616,vdata_regressors!$A$2:$A$2000,0)+1,MATCH(E$2,vdata_regressors!$A$1:$R$1,0)),"")</f>
        <v/>
      </c>
      <c r="F616" s="23" t="str">
        <f>IFERROR(INDEX(vdata_regressors!$A$1:$L$2000,MATCH($A616,vdata_regressors!$A$2:$A$2000,0)+1,MATCH(F$2,vdata_regressors!$A$1:$R$1,0)),"")</f>
        <v/>
      </c>
      <c r="G616" s="23" t="str">
        <f>IFERROR(INDEX(vdata_regressors!$A$1:$L$2000,MATCH($A616,vdata_regressors!$A$2:$A$2000,0)+1,MATCH(G$2,vdata_regressors!$A$1:$R$1,0)),"")</f>
        <v/>
      </c>
      <c r="H616" s="23" t="str">
        <f>IFERROR(INDEX(vdata_regressors!$A$1:$L$2000,MATCH($A616,vdata_regressors!$A$2:$A$2000,0)+1,MATCH(H$2,vdata_regressors!$A$1:$R$1,0)),"")</f>
        <v/>
      </c>
      <c r="I616" s="23" t="str">
        <f>IFERROR(INDEX(vdata_regressors!$A$1:$L$2000,MATCH($A616,vdata_regressors!$A$2:$A$2000,0)+1,MATCH(I$2,vdata_regressors!$A$1:$R$1,0)),"")</f>
        <v/>
      </c>
      <c r="J616" s="23" t="str">
        <f>IFERROR(INDEX(vdata_regressors!$A$1:$L$2000,MATCH($A616,vdata_regressors!$A$2:$A$2000,0)+1,MATCH(J$2,vdata_regressors!$A$1:$R$1,0)),"")</f>
        <v/>
      </c>
      <c r="K616" s="23" t="str">
        <f>IFERROR(INDEX(vdata_regressors!$A$1:$L$2000,MATCH($A616,vdata_regressors!$A$2:$A$2000,0)+1,MATCH(K$2,vdata_regressors!$A$1:$R$1,0)),"")</f>
        <v/>
      </c>
      <c r="L616" s="23" t="str">
        <f>IFERROR(INDEX(vdata_regressors!$A$1:$L$2000,MATCH($A616,vdata_regressors!$A$2:$A$2000,0)+1,MATCH(L$2,vdata_regressors!$A$1:$R$1,0)),"")</f>
        <v/>
      </c>
      <c r="M616" s="23" t="str">
        <f>IFERROR(VLOOKUP(A616,vdata_hours!$A$2:$B$1000,2,FALSE),"")</f>
        <v/>
      </c>
    </row>
    <row r="617" spans="1:13" x14ac:dyDescent="0.25">
      <c r="A617" s="23" t="str">
        <f>IF(vdata_hours!A616=0,"",vdata_hours!A616)</f>
        <v/>
      </c>
      <c r="B617" s="23" t="str">
        <f>IFERROR(INDEX(vdata_regressors!$A$1:$L$2000,MATCH($A617,vdata_regressors!$A$2:$A$2000,0)+1,MATCH(B$2,vdata_regressors!$A$1:$R$1,0)),"")</f>
        <v/>
      </c>
      <c r="C617" s="23" t="str">
        <f>IFERROR(INDEX(vdata_regressors!$A$1:$L$2000,MATCH($A617,vdata_regressors!$A$2:$A$2000,0)+1,MATCH(C$2,vdata_regressors!$A$1:$R$1,0)),"")</f>
        <v/>
      </c>
      <c r="D617" s="23" t="str">
        <f>IFERROR(INDEX(vdata_regressors!$A$1:$L$2000,MATCH($A617,vdata_regressors!$A$2:$A$2000,0)+1,MATCH(D$2,vdata_regressors!$A$1:$R$1,0)),"")</f>
        <v/>
      </c>
      <c r="E617" s="23" t="str">
        <f>IFERROR(INDEX(vdata_regressors!$A$1:$L$2000,MATCH($A617,vdata_regressors!$A$2:$A$2000,0)+1,MATCH(E$2,vdata_regressors!$A$1:$R$1,0)),"")</f>
        <v/>
      </c>
      <c r="F617" s="23" t="str">
        <f>IFERROR(INDEX(vdata_regressors!$A$1:$L$2000,MATCH($A617,vdata_regressors!$A$2:$A$2000,0)+1,MATCH(F$2,vdata_regressors!$A$1:$R$1,0)),"")</f>
        <v/>
      </c>
      <c r="G617" s="23" t="str">
        <f>IFERROR(INDEX(vdata_regressors!$A$1:$L$2000,MATCH($A617,vdata_regressors!$A$2:$A$2000,0)+1,MATCH(G$2,vdata_regressors!$A$1:$R$1,0)),"")</f>
        <v/>
      </c>
      <c r="H617" s="23" t="str">
        <f>IFERROR(INDEX(vdata_regressors!$A$1:$L$2000,MATCH($A617,vdata_regressors!$A$2:$A$2000,0)+1,MATCH(H$2,vdata_regressors!$A$1:$R$1,0)),"")</f>
        <v/>
      </c>
      <c r="I617" s="23" t="str">
        <f>IFERROR(INDEX(vdata_regressors!$A$1:$L$2000,MATCH($A617,vdata_regressors!$A$2:$A$2000,0)+1,MATCH(I$2,vdata_regressors!$A$1:$R$1,0)),"")</f>
        <v/>
      </c>
      <c r="J617" s="23" t="str">
        <f>IFERROR(INDEX(vdata_regressors!$A$1:$L$2000,MATCH($A617,vdata_regressors!$A$2:$A$2000,0)+1,MATCH(J$2,vdata_regressors!$A$1:$R$1,0)),"")</f>
        <v/>
      </c>
      <c r="K617" s="23" t="str">
        <f>IFERROR(INDEX(vdata_regressors!$A$1:$L$2000,MATCH($A617,vdata_regressors!$A$2:$A$2000,0)+1,MATCH(K$2,vdata_regressors!$A$1:$R$1,0)),"")</f>
        <v/>
      </c>
      <c r="L617" s="23" t="str">
        <f>IFERROR(INDEX(vdata_regressors!$A$1:$L$2000,MATCH($A617,vdata_regressors!$A$2:$A$2000,0)+1,MATCH(L$2,vdata_regressors!$A$1:$R$1,0)),"")</f>
        <v/>
      </c>
      <c r="M617" s="23" t="str">
        <f>IFERROR(VLOOKUP(A617,vdata_hours!$A$2:$B$1000,2,FALSE),"")</f>
        <v/>
      </c>
    </row>
    <row r="618" spans="1:13" x14ac:dyDescent="0.25">
      <c r="A618" s="23" t="str">
        <f>IF(vdata_hours!A617=0,"",vdata_hours!A617)</f>
        <v/>
      </c>
      <c r="B618" s="23" t="str">
        <f>IFERROR(INDEX(vdata_regressors!$A$1:$L$2000,MATCH($A618,vdata_regressors!$A$2:$A$2000,0)+1,MATCH(B$2,vdata_regressors!$A$1:$R$1,0)),"")</f>
        <v/>
      </c>
      <c r="C618" s="23" t="str">
        <f>IFERROR(INDEX(vdata_regressors!$A$1:$L$2000,MATCH($A618,vdata_regressors!$A$2:$A$2000,0)+1,MATCH(C$2,vdata_regressors!$A$1:$R$1,0)),"")</f>
        <v/>
      </c>
      <c r="D618" s="23" t="str">
        <f>IFERROR(INDEX(vdata_regressors!$A$1:$L$2000,MATCH($A618,vdata_regressors!$A$2:$A$2000,0)+1,MATCH(D$2,vdata_regressors!$A$1:$R$1,0)),"")</f>
        <v/>
      </c>
      <c r="E618" s="23" t="str">
        <f>IFERROR(INDEX(vdata_regressors!$A$1:$L$2000,MATCH($A618,vdata_regressors!$A$2:$A$2000,0)+1,MATCH(E$2,vdata_regressors!$A$1:$R$1,0)),"")</f>
        <v/>
      </c>
      <c r="F618" s="23" t="str">
        <f>IFERROR(INDEX(vdata_regressors!$A$1:$L$2000,MATCH($A618,vdata_regressors!$A$2:$A$2000,0)+1,MATCH(F$2,vdata_regressors!$A$1:$R$1,0)),"")</f>
        <v/>
      </c>
      <c r="G618" s="23" t="str">
        <f>IFERROR(INDEX(vdata_regressors!$A$1:$L$2000,MATCH($A618,vdata_regressors!$A$2:$A$2000,0)+1,MATCH(G$2,vdata_regressors!$A$1:$R$1,0)),"")</f>
        <v/>
      </c>
      <c r="H618" s="23" t="str">
        <f>IFERROR(INDEX(vdata_regressors!$A$1:$L$2000,MATCH($A618,vdata_regressors!$A$2:$A$2000,0)+1,MATCH(H$2,vdata_regressors!$A$1:$R$1,0)),"")</f>
        <v/>
      </c>
      <c r="I618" s="23" t="str">
        <f>IFERROR(INDEX(vdata_regressors!$A$1:$L$2000,MATCH($A618,vdata_regressors!$A$2:$A$2000,0)+1,MATCH(I$2,vdata_regressors!$A$1:$R$1,0)),"")</f>
        <v/>
      </c>
      <c r="J618" s="23" t="str">
        <f>IFERROR(INDEX(vdata_regressors!$A$1:$L$2000,MATCH($A618,vdata_regressors!$A$2:$A$2000,0)+1,MATCH(J$2,vdata_regressors!$A$1:$R$1,0)),"")</f>
        <v/>
      </c>
      <c r="K618" s="23" t="str">
        <f>IFERROR(INDEX(vdata_regressors!$A$1:$L$2000,MATCH($A618,vdata_regressors!$A$2:$A$2000,0)+1,MATCH(K$2,vdata_regressors!$A$1:$R$1,0)),"")</f>
        <v/>
      </c>
      <c r="L618" s="23" t="str">
        <f>IFERROR(INDEX(vdata_regressors!$A$1:$L$2000,MATCH($A618,vdata_regressors!$A$2:$A$2000,0)+1,MATCH(L$2,vdata_regressors!$A$1:$R$1,0)),"")</f>
        <v/>
      </c>
      <c r="M618" s="23" t="str">
        <f>IFERROR(VLOOKUP(A618,vdata_hours!$A$2:$B$1000,2,FALSE),"")</f>
        <v/>
      </c>
    </row>
    <row r="619" spans="1:13" x14ac:dyDescent="0.25">
      <c r="A619" s="23" t="str">
        <f>IF(vdata_hours!A618=0,"",vdata_hours!A618)</f>
        <v/>
      </c>
      <c r="B619" s="23" t="str">
        <f>IFERROR(INDEX(vdata_regressors!$A$1:$L$2000,MATCH($A619,vdata_regressors!$A$2:$A$2000,0)+1,MATCH(B$2,vdata_regressors!$A$1:$R$1,0)),"")</f>
        <v/>
      </c>
      <c r="C619" s="23" t="str">
        <f>IFERROR(INDEX(vdata_regressors!$A$1:$L$2000,MATCH($A619,vdata_regressors!$A$2:$A$2000,0)+1,MATCH(C$2,vdata_regressors!$A$1:$R$1,0)),"")</f>
        <v/>
      </c>
      <c r="D619" s="23" t="str">
        <f>IFERROR(INDEX(vdata_regressors!$A$1:$L$2000,MATCH($A619,vdata_regressors!$A$2:$A$2000,0)+1,MATCH(D$2,vdata_regressors!$A$1:$R$1,0)),"")</f>
        <v/>
      </c>
      <c r="E619" s="23" t="str">
        <f>IFERROR(INDEX(vdata_regressors!$A$1:$L$2000,MATCH($A619,vdata_regressors!$A$2:$A$2000,0)+1,MATCH(E$2,vdata_regressors!$A$1:$R$1,0)),"")</f>
        <v/>
      </c>
      <c r="F619" s="23" t="str">
        <f>IFERROR(INDEX(vdata_regressors!$A$1:$L$2000,MATCH($A619,vdata_regressors!$A$2:$A$2000,0)+1,MATCH(F$2,vdata_regressors!$A$1:$R$1,0)),"")</f>
        <v/>
      </c>
      <c r="G619" s="23" t="str">
        <f>IFERROR(INDEX(vdata_regressors!$A$1:$L$2000,MATCH($A619,vdata_regressors!$A$2:$A$2000,0)+1,MATCH(G$2,vdata_regressors!$A$1:$R$1,0)),"")</f>
        <v/>
      </c>
      <c r="H619" s="23" t="str">
        <f>IFERROR(INDEX(vdata_regressors!$A$1:$L$2000,MATCH($A619,vdata_regressors!$A$2:$A$2000,0)+1,MATCH(H$2,vdata_regressors!$A$1:$R$1,0)),"")</f>
        <v/>
      </c>
      <c r="I619" s="23" t="str">
        <f>IFERROR(INDEX(vdata_regressors!$A$1:$L$2000,MATCH($A619,vdata_regressors!$A$2:$A$2000,0)+1,MATCH(I$2,vdata_regressors!$A$1:$R$1,0)),"")</f>
        <v/>
      </c>
      <c r="J619" s="23" t="str">
        <f>IFERROR(INDEX(vdata_regressors!$A$1:$L$2000,MATCH($A619,vdata_regressors!$A$2:$A$2000,0)+1,MATCH(J$2,vdata_regressors!$A$1:$R$1,0)),"")</f>
        <v/>
      </c>
      <c r="K619" s="23" t="str">
        <f>IFERROR(INDEX(vdata_regressors!$A$1:$L$2000,MATCH($A619,vdata_regressors!$A$2:$A$2000,0)+1,MATCH(K$2,vdata_regressors!$A$1:$R$1,0)),"")</f>
        <v/>
      </c>
      <c r="L619" s="23" t="str">
        <f>IFERROR(INDEX(vdata_regressors!$A$1:$L$2000,MATCH($A619,vdata_regressors!$A$2:$A$2000,0)+1,MATCH(L$2,vdata_regressors!$A$1:$R$1,0)),"")</f>
        <v/>
      </c>
      <c r="M619" s="23" t="str">
        <f>IFERROR(VLOOKUP(A619,vdata_hours!$A$2:$B$1000,2,FALSE),"")</f>
        <v/>
      </c>
    </row>
    <row r="620" spans="1:13" x14ac:dyDescent="0.25">
      <c r="A620" s="23" t="str">
        <f>IF(vdata_hours!A619=0,"",vdata_hours!A619)</f>
        <v/>
      </c>
      <c r="B620" s="23" t="str">
        <f>IFERROR(INDEX(vdata_regressors!$A$1:$L$2000,MATCH($A620,vdata_regressors!$A$2:$A$2000,0)+1,MATCH(B$2,vdata_regressors!$A$1:$R$1,0)),"")</f>
        <v/>
      </c>
      <c r="C620" s="23" t="str">
        <f>IFERROR(INDEX(vdata_regressors!$A$1:$L$2000,MATCH($A620,vdata_regressors!$A$2:$A$2000,0)+1,MATCH(C$2,vdata_regressors!$A$1:$R$1,0)),"")</f>
        <v/>
      </c>
      <c r="D620" s="23" t="str">
        <f>IFERROR(INDEX(vdata_regressors!$A$1:$L$2000,MATCH($A620,vdata_regressors!$A$2:$A$2000,0)+1,MATCH(D$2,vdata_regressors!$A$1:$R$1,0)),"")</f>
        <v/>
      </c>
      <c r="E620" s="23" t="str">
        <f>IFERROR(INDEX(vdata_regressors!$A$1:$L$2000,MATCH($A620,vdata_regressors!$A$2:$A$2000,0)+1,MATCH(E$2,vdata_regressors!$A$1:$R$1,0)),"")</f>
        <v/>
      </c>
      <c r="F620" s="23" t="str">
        <f>IFERROR(INDEX(vdata_regressors!$A$1:$L$2000,MATCH($A620,vdata_regressors!$A$2:$A$2000,0)+1,MATCH(F$2,vdata_regressors!$A$1:$R$1,0)),"")</f>
        <v/>
      </c>
      <c r="G620" s="23" t="str">
        <f>IFERROR(INDEX(vdata_regressors!$A$1:$L$2000,MATCH($A620,vdata_regressors!$A$2:$A$2000,0)+1,MATCH(G$2,vdata_regressors!$A$1:$R$1,0)),"")</f>
        <v/>
      </c>
      <c r="H620" s="23" t="str">
        <f>IFERROR(INDEX(vdata_regressors!$A$1:$L$2000,MATCH($A620,vdata_regressors!$A$2:$A$2000,0)+1,MATCH(H$2,vdata_regressors!$A$1:$R$1,0)),"")</f>
        <v/>
      </c>
      <c r="I620" s="23" t="str">
        <f>IFERROR(INDEX(vdata_regressors!$A$1:$L$2000,MATCH($A620,vdata_regressors!$A$2:$A$2000,0)+1,MATCH(I$2,vdata_regressors!$A$1:$R$1,0)),"")</f>
        <v/>
      </c>
      <c r="J620" s="23" t="str">
        <f>IFERROR(INDEX(vdata_regressors!$A$1:$L$2000,MATCH($A620,vdata_regressors!$A$2:$A$2000,0)+1,MATCH(J$2,vdata_regressors!$A$1:$R$1,0)),"")</f>
        <v/>
      </c>
      <c r="K620" s="23" t="str">
        <f>IFERROR(INDEX(vdata_regressors!$A$1:$L$2000,MATCH($A620,vdata_regressors!$A$2:$A$2000,0)+1,MATCH(K$2,vdata_regressors!$A$1:$R$1,0)),"")</f>
        <v/>
      </c>
      <c r="L620" s="23" t="str">
        <f>IFERROR(INDEX(vdata_regressors!$A$1:$L$2000,MATCH($A620,vdata_regressors!$A$2:$A$2000,0)+1,MATCH(L$2,vdata_regressors!$A$1:$R$1,0)),"")</f>
        <v/>
      </c>
      <c r="M620" s="23" t="str">
        <f>IFERROR(VLOOKUP(A620,vdata_hours!$A$2:$B$1000,2,FALSE),"")</f>
        <v/>
      </c>
    </row>
    <row r="621" spans="1:13" x14ac:dyDescent="0.25">
      <c r="A621" s="23" t="str">
        <f>IF(vdata_hours!A620=0,"",vdata_hours!A620)</f>
        <v/>
      </c>
      <c r="B621" s="23" t="str">
        <f>IFERROR(INDEX(vdata_regressors!$A$1:$L$2000,MATCH($A621,vdata_regressors!$A$2:$A$2000,0)+1,MATCH(B$2,vdata_regressors!$A$1:$R$1,0)),"")</f>
        <v/>
      </c>
      <c r="C621" s="23" t="str">
        <f>IFERROR(INDEX(vdata_regressors!$A$1:$L$2000,MATCH($A621,vdata_regressors!$A$2:$A$2000,0)+1,MATCH(C$2,vdata_regressors!$A$1:$R$1,0)),"")</f>
        <v/>
      </c>
      <c r="D621" s="23" t="str">
        <f>IFERROR(INDEX(vdata_regressors!$A$1:$L$2000,MATCH($A621,vdata_regressors!$A$2:$A$2000,0)+1,MATCH(D$2,vdata_regressors!$A$1:$R$1,0)),"")</f>
        <v/>
      </c>
      <c r="E621" s="23" t="str">
        <f>IFERROR(INDEX(vdata_regressors!$A$1:$L$2000,MATCH($A621,vdata_regressors!$A$2:$A$2000,0)+1,MATCH(E$2,vdata_regressors!$A$1:$R$1,0)),"")</f>
        <v/>
      </c>
      <c r="F621" s="23" t="str">
        <f>IFERROR(INDEX(vdata_regressors!$A$1:$L$2000,MATCH($A621,vdata_regressors!$A$2:$A$2000,0)+1,MATCH(F$2,vdata_regressors!$A$1:$R$1,0)),"")</f>
        <v/>
      </c>
      <c r="G621" s="23" t="str">
        <f>IFERROR(INDEX(vdata_regressors!$A$1:$L$2000,MATCH($A621,vdata_regressors!$A$2:$A$2000,0)+1,MATCH(G$2,vdata_regressors!$A$1:$R$1,0)),"")</f>
        <v/>
      </c>
      <c r="H621" s="23" t="str">
        <f>IFERROR(INDEX(vdata_regressors!$A$1:$L$2000,MATCH($A621,vdata_regressors!$A$2:$A$2000,0)+1,MATCH(H$2,vdata_regressors!$A$1:$R$1,0)),"")</f>
        <v/>
      </c>
      <c r="I621" s="23" t="str">
        <f>IFERROR(INDEX(vdata_regressors!$A$1:$L$2000,MATCH($A621,vdata_regressors!$A$2:$A$2000,0)+1,MATCH(I$2,vdata_regressors!$A$1:$R$1,0)),"")</f>
        <v/>
      </c>
      <c r="J621" s="23" t="str">
        <f>IFERROR(INDEX(vdata_regressors!$A$1:$L$2000,MATCH($A621,vdata_regressors!$A$2:$A$2000,0)+1,MATCH(J$2,vdata_regressors!$A$1:$R$1,0)),"")</f>
        <v/>
      </c>
      <c r="K621" s="23" t="str">
        <f>IFERROR(INDEX(vdata_regressors!$A$1:$L$2000,MATCH($A621,vdata_regressors!$A$2:$A$2000,0)+1,MATCH(K$2,vdata_regressors!$A$1:$R$1,0)),"")</f>
        <v/>
      </c>
      <c r="L621" s="23" t="str">
        <f>IFERROR(INDEX(vdata_regressors!$A$1:$L$2000,MATCH($A621,vdata_regressors!$A$2:$A$2000,0)+1,MATCH(L$2,vdata_regressors!$A$1:$R$1,0)),"")</f>
        <v/>
      </c>
      <c r="M621" s="23" t="str">
        <f>IFERROR(VLOOKUP(A621,vdata_hours!$A$2:$B$1000,2,FALSE),"")</f>
        <v/>
      </c>
    </row>
    <row r="622" spans="1:13" x14ac:dyDescent="0.25">
      <c r="A622" s="23" t="str">
        <f>IF(vdata_hours!A621=0,"",vdata_hours!A621)</f>
        <v/>
      </c>
      <c r="B622" s="23" t="str">
        <f>IFERROR(INDEX(vdata_regressors!$A$1:$L$2000,MATCH($A622,vdata_regressors!$A$2:$A$2000,0)+1,MATCH(B$2,vdata_regressors!$A$1:$R$1,0)),"")</f>
        <v/>
      </c>
      <c r="C622" s="23" t="str">
        <f>IFERROR(INDEX(vdata_regressors!$A$1:$L$2000,MATCH($A622,vdata_regressors!$A$2:$A$2000,0)+1,MATCH(C$2,vdata_regressors!$A$1:$R$1,0)),"")</f>
        <v/>
      </c>
      <c r="D622" s="23" t="str">
        <f>IFERROR(INDEX(vdata_regressors!$A$1:$L$2000,MATCH($A622,vdata_regressors!$A$2:$A$2000,0)+1,MATCH(D$2,vdata_regressors!$A$1:$R$1,0)),"")</f>
        <v/>
      </c>
      <c r="E622" s="23" t="str">
        <f>IFERROR(INDEX(vdata_regressors!$A$1:$L$2000,MATCH($A622,vdata_regressors!$A$2:$A$2000,0)+1,MATCH(E$2,vdata_regressors!$A$1:$R$1,0)),"")</f>
        <v/>
      </c>
      <c r="F622" s="23" t="str">
        <f>IFERROR(INDEX(vdata_regressors!$A$1:$L$2000,MATCH($A622,vdata_regressors!$A$2:$A$2000,0)+1,MATCH(F$2,vdata_regressors!$A$1:$R$1,0)),"")</f>
        <v/>
      </c>
      <c r="G622" s="23" t="str">
        <f>IFERROR(INDEX(vdata_regressors!$A$1:$L$2000,MATCH($A622,vdata_regressors!$A$2:$A$2000,0)+1,MATCH(G$2,vdata_regressors!$A$1:$R$1,0)),"")</f>
        <v/>
      </c>
      <c r="H622" s="23" t="str">
        <f>IFERROR(INDEX(vdata_regressors!$A$1:$L$2000,MATCH($A622,vdata_regressors!$A$2:$A$2000,0)+1,MATCH(H$2,vdata_regressors!$A$1:$R$1,0)),"")</f>
        <v/>
      </c>
      <c r="I622" s="23" t="str">
        <f>IFERROR(INDEX(vdata_regressors!$A$1:$L$2000,MATCH($A622,vdata_regressors!$A$2:$A$2000,0)+1,MATCH(I$2,vdata_regressors!$A$1:$R$1,0)),"")</f>
        <v/>
      </c>
      <c r="J622" s="23" t="str">
        <f>IFERROR(INDEX(vdata_regressors!$A$1:$L$2000,MATCH($A622,vdata_regressors!$A$2:$A$2000,0)+1,MATCH(J$2,vdata_regressors!$A$1:$R$1,0)),"")</f>
        <v/>
      </c>
      <c r="K622" s="23" t="str">
        <f>IFERROR(INDEX(vdata_regressors!$A$1:$L$2000,MATCH($A622,vdata_regressors!$A$2:$A$2000,0)+1,MATCH(K$2,vdata_regressors!$A$1:$R$1,0)),"")</f>
        <v/>
      </c>
      <c r="L622" s="23" t="str">
        <f>IFERROR(INDEX(vdata_regressors!$A$1:$L$2000,MATCH($A622,vdata_regressors!$A$2:$A$2000,0)+1,MATCH(L$2,vdata_regressors!$A$1:$R$1,0)),"")</f>
        <v/>
      </c>
      <c r="M622" s="23" t="str">
        <f>IFERROR(VLOOKUP(A622,vdata_hours!$A$2:$B$1000,2,FALSE),"")</f>
        <v/>
      </c>
    </row>
    <row r="623" spans="1:13" x14ac:dyDescent="0.25">
      <c r="A623" s="23" t="str">
        <f>IF(vdata_hours!A622=0,"",vdata_hours!A622)</f>
        <v/>
      </c>
      <c r="B623" s="23" t="str">
        <f>IFERROR(INDEX(vdata_regressors!$A$1:$L$2000,MATCH($A623,vdata_regressors!$A$2:$A$2000,0)+1,MATCH(B$2,vdata_regressors!$A$1:$R$1,0)),"")</f>
        <v/>
      </c>
      <c r="C623" s="23" t="str">
        <f>IFERROR(INDEX(vdata_regressors!$A$1:$L$2000,MATCH($A623,vdata_regressors!$A$2:$A$2000,0)+1,MATCH(C$2,vdata_regressors!$A$1:$R$1,0)),"")</f>
        <v/>
      </c>
      <c r="D623" s="23" t="str">
        <f>IFERROR(INDEX(vdata_regressors!$A$1:$L$2000,MATCH($A623,vdata_regressors!$A$2:$A$2000,0)+1,MATCH(D$2,vdata_regressors!$A$1:$R$1,0)),"")</f>
        <v/>
      </c>
      <c r="E623" s="23" t="str">
        <f>IFERROR(INDEX(vdata_regressors!$A$1:$L$2000,MATCH($A623,vdata_regressors!$A$2:$A$2000,0)+1,MATCH(E$2,vdata_regressors!$A$1:$R$1,0)),"")</f>
        <v/>
      </c>
      <c r="F623" s="23" t="str">
        <f>IFERROR(INDEX(vdata_regressors!$A$1:$L$2000,MATCH($A623,vdata_regressors!$A$2:$A$2000,0)+1,MATCH(F$2,vdata_regressors!$A$1:$R$1,0)),"")</f>
        <v/>
      </c>
      <c r="G623" s="23" t="str">
        <f>IFERROR(INDEX(vdata_regressors!$A$1:$L$2000,MATCH($A623,vdata_regressors!$A$2:$A$2000,0)+1,MATCH(G$2,vdata_regressors!$A$1:$R$1,0)),"")</f>
        <v/>
      </c>
      <c r="H623" s="23" t="str">
        <f>IFERROR(INDEX(vdata_regressors!$A$1:$L$2000,MATCH($A623,vdata_regressors!$A$2:$A$2000,0)+1,MATCH(H$2,vdata_regressors!$A$1:$R$1,0)),"")</f>
        <v/>
      </c>
      <c r="I623" s="23" t="str">
        <f>IFERROR(INDEX(vdata_regressors!$A$1:$L$2000,MATCH($A623,vdata_regressors!$A$2:$A$2000,0)+1,MATCH(I$2,vdata_regressors!$A$1:$R$1,0)),"")</f>
        <v/>
      </c>
      <c r="J623" s="23" t="str">
        <f>IFERROR(INDEX(vdata_regressors!$A$1:$L$2000,MATCH($A623,vdata_regressors!$A$2:$A$2000,0)+1,MATCH(J$2,vdata_regressors!$A$1:$R$1,0)),"")</f>
        <v/>
      </c>
      <c r="K623" s="23" t="str">
        <f>IFERROR(INDEX(vdata_regressors!$A$1:$L$2000,MATCH($A623,vdata_regressors!$A$2:$A$2000,0)+1,MATCH(K$2,vdata_regressors!$A$1:$R$1,0)),"")</f>
        <v/>
      </c>
      <c r="L623" s="23" t="str">
        <f>IFERROR(INDEX(vdata_regressors!$A$1:$L$2000,MATCH($A623,vdata_regressors!$A$2:$A$2000,0)+1,MATCH(L$2,vdata_regressors!$A$1:$R$1,0)),"")</f>
        <v/>
      </c>
      <c r="M623" s="23" t="str">
        <f>IFERROR(VLOOKUP(A623,vdata_hours!$A$2:$B$1000,2,FALSE),"")</f>
        <v/>
      </c>
    </row>
    <row r="624" spans="1:13" x14ac:dyDescent="0.25">
      <c r="A624" s="23" t="str">
        <f>IF(vdata_hours!A623=0,"",vdata_hours!A623)</f>
        <v/>
      </c>
      <c r="B624" s="23" t="str">
        <f>IFERROR(INDEX(vdata_regressors!$A$1:$L$2000,MATCH($A624,vdata_regressors!$A$2:$A$2000,0)+1,MATCH(B$2,vdata_regressors!$A$1:$R$1,0)),"")</f>
        <v/>
      </c>
      <c r="C624" s="23" t="str">
        <f>IFERROR(INDEX(vdata_regressors!$A$1:$L$2000,MATCH($A624,vdata_regressors!$A$2:$A$2000,0)+1,MATCH(C$2,vdata_regressors!$A$1:$R$1,0)),"")</f>
        <v/>
      </c>
      <c r="D624" s="23" t="str">
        <f>IFERROR(INDEX(vdata_regressors!$A$1:$L$2000,MATCH($A624,vdata_regressors!$A$2:$A$2000,0)+1,MATCH(D$2,vdata_regressors!$A$1:$R$1,0)),"")</f>
        <v/>
      </c>
      <c r="E624" s="23" t="str">
        <f>IFERROR(INDEX(vdata_regressors!$A$1:$L$2000,MATCH($A624,vdata_regressors!$A$2:$A$2000,0)+1,MATCH(E$2,vdata_regressors!$A$1:$R$1,0)),"")</f>
        <v/>
      </c>
      <c r="F624" s="23" t="str">
        <f>IFERROR(INDEX(vdata_regressors!$A$1:$L$2000,MATCH($A624,vdata_regressors!$A$2:$A$2000,0)+1,MATCH(F$2,vdata_regressors!$A$1:$R$1,0)),"")</f>
        <v/>
      </c>
      <c r="G624" s="23" t="str">
        <f>IFERROR(INDEX(vdata_regressors!$A$1:$L$2000,MATCH($A624,vdata_regressors!$A$2:$A$2000,0)+1,MATCH(G$2,vdata_regressors!$A$1:$R$1,0)),"")</f>
        <v/>
      </c>
      <c r="H624" s="23" t="str">
        <f>IFERROR(INDEX(vdata_regressors!$A$1:$L$2000,MATCH($A624,vdata_regressors!$A$2:$A$2000,0)+1,MATCH(H$2,vdata_regressors!$A$1:$R$1,0)),"")</f>
        <v/>
      </c>
      <c r="I624" s="23" t="str">
        <f>IFERROR(INDEX(vdata_regressors!$A$1:$L$2000,MATCH($A624,vdata_regressors!$A$2:$A$2000,0)+1,MATCH(I$2,vdata_regressors!$A$1:$R$1,0)),"")</f>
        <v/>
      </c>
      <c r="J624" s="23" t="str">
        <f>IFERROR(INDEX(vdata_regressors!$A$1:$L$2000,MATCH($A624,vdata_regressors!$A$2:$A$2000,0)+1,MATCH(J$2,vdata_regressors!$A$1:$R$1,0)),"")</f>
        <v/>
      </c>
      <c r="K624" s="23" t="str">
        <f>IFERROR(INDEX(vdata_regressors!$A$1:$L$2000,MATCH($A624,vdata_regressors!$A$2:$A$2000,0)+1,MATCH(K$2,vdata_regressors!$A$1:$R$1,0)),"")</f>
        <v/>
      </c>
      <c r="L624" s="23" t="str">
        <f>IFERROR(INDEX(vdata_regressors!$A$1:$L$2000,MATCH($A624,vdata_regressors!$A$2:$A$2000,0)+1,MATCH(L$2,vdata_regressors!$A$1:$R$1,0)),"")</f>
        <v/>
      </c>
      <c r="M624" s="23" t="str">
        <f>IFERROR(VLOOKUP(A624,vdata_hours!$A$2:$B$1000,2,FALSE),"")</f>
        <v/>
      </c>
    </row>
    <row r="625" spans="1:13" x14ac:dyDescent="0.25">
      <c r="A625" s="23" t="str">
        <f>IF(vdata_hours!A624=0,"",vdata_hours!A624)</f>
        <v/>
      </c>
      <c r="B625" s="23" t="str">
        <f>IFERROR(INDEX(vdata_regressors!$A$1:$L$2000,MATCH($A625,vdata_regressors!$A$2:$A$2000,0)+1,MATCH(B$2,vdata_regressors!$A$1:$R$1,0)),"")</f>
        <v/>
      </c>
      <c r="C625" s="23" t="str">
        <f>IFERROR(INDEX(vdata_regressors!$A$1:$L$2000,MATCH($A625,vdata_regressors!$A$2:$A$2000,0)+1,MATCH(C$2,vdata_regressors!$A$1:$R$1,0)),"")</f>
        <v/>
      </c>
      <c r="D625" s="23" t="str">
        <f>IFERROR(INDEX(vdata_regressors!$A$1:$L$2000,MATCH($A625,vdata_regressors!$A$2:$A$2000,0)+1,MATCH(D$2,vdata_regressors!$A$1:$R$1,0)),"")</f>
        <v/>
      </c>
      <c r="E625" s="23" t="str">
        <f>IFERROR(INDEX(vdata_regressors!$A$1:$L$2000,MATCH($A625,vdata_regressors!$A$2:$A$2000,0)+1,MATCH(E$2,vdata_regressors!$A$1:$R$1,0)),"")</f>
        <v/>
      </c>
      <c r="F625" s="23" t="str">
        <f>IFERROR(INDEX(vdata_regressors!$A$1:$L$2000,MATCH($A625,vdata_regressors!$A$2:$A$2000,0)+1,MATCH(F$2,vdata_regressors!$A$1:$R$1,0)),"")</f>
        <v/>
      </c>
      <c r="G625" s="23" t="str">
        <f>IFERROR(INDEX(vdata_regressors!$A$1:$L$2000,MATCH($A625,vdata_regressors!$A$2:$A$2000,0)+1,MATCH(G$2,vdata_regressors!$A$1:$R$1,0)),"")</f>
        <v/>
      </c>
      <c r="H625" s="23" t="str">
        <f>IFERROR(INDEX(vdata_regressors!$A$1:$L$2000,MATCH($A625,vdata_regressors!$A$2:$A$2000,0)+1,MATCH(H$2,vdata_regressors!$A$1:$R$1,0)),"")</f>
        <v/>
      </c>
      <c r="I625" s="23" t="str">
        <f>IFERROR(INDEX(vdata_regressors!$A$1:$L$2000,MATCH($A625,vdata_regressors!$A$2:$A$2000,0)+1,MATCH(I$2,vdata_regressors!$A$1:$R$1,0)),"")</f>
        <v/>
      </c>
      <c r="J625" s="23" t="str">
        <f>IFERROR(INDEX(vdata_regressors!$A$1:$L$2000,MATCH($A625,vdata_regressors!$A$2:$A$2000,0)+1,MATCH(J$2,vdata_regressors!$A$1:$R$1,0)),"")</f>
        <v/>
      </c>
      <c r="K625" s="23" t="str">
        <f>IFERROR(INDEX(vdata_regressors!$A$1:$L$2000,MATCH($A625,vdata_regressors!$A$2:$A$2000,0)+1,MATCH(K$2,vdata_regressors!$A$1:$R$1,0)),"")</f>
        <v/>
      </c>
      <c r="L625" s="23" t="str">
        <f>IFERROR(INDEX(vdata_regressors!$A$1:$L$2000,MATCH($A625,vdata_regressors!$A$2:$A$2000,0)+1,MATCH(L$2,vdata_regressors!$A$1:$R$1,0)),"")</f>
        <v/>
      </c>
      <c r="M625" s="23" t="str">
        <f>IFERROR(VLOOKUP(A625,vdata_hours!$A$2:$B$1000,2,FALSE),"")</f>
        <v/>
      </c>
    </row>
    <row r="626" spans="1:13" x14ac:dyDescent="0.25">
      <c r="A626" s="23" t="str">
        <f>IF(vdata_hours!A625=0,"",vdata_hours!A625)</f>
        <v/>
      </c>
      <c r="B626" s="23" t="str">
        <f>IFERROR(INDEX(vdata_regressors!$A$1:$L$2000,MATCH($A626,vdata_regressors!$A$2:$A$2000,0)+1,MATCH(B$2,vdata_regressors!$A$1:$R$1,0)),"")</f>
        <v/>
      </c>
      <c r="C626" s="23" t="str">
        <f>IFERROR(INDEX(vdata_regressors!$A$1:$L$2000,MATCH($A626,vdata_regressors!$A$2:$A$2000,0)+1,MATCH(C$2,vdata_regressors!$A$1:$R$1,0)),"")</f>
        <v/>
      </c>
      <c r="D626" s="23" t="str">
        <f>IFERROR(INDEX(vdata_regressors!$A$1:$L$2000,MATCH($A626,vdata_regressors!$A$2:$A$2000,0)+1,MATCH(D$2,vdata_regressors!$A$1:$R$1,0)),"")</f>
        <v/>
      </c>
      <c r="E626" s="23" t="str">
        <f>IFERROR(INDEX(vdata_regressors!$A$1:$L$2000,MATCH($A626,vdata_regressors!$A$2:$A$2000,0)+1,MATCH(E$2,vdata_regressors!$A$1:$R$1,0)),"")</f>
        <v/>
      </c>
      <c r="F626" s="23" t="str">
        <f>IFERROR(INDEX(vdata_regressors!$A$1:$L$2000,MATCH($A626,vdata_regressors!$A$2:$A$2000,0)+1,MATCH(F$2,vdata_regressors!$A$1:$R$1,0)),"")</f>
        <v/>
      </c>
      <c r="G626" s="23" t="str">
        <f>IFERROR(INDEX(vdata_regressors!$A$1:$L$2000,MATCH($A626,vdata_regressors!$A$2:$A$2000,0)+1,MATCH(G$2,vdata_regressors!$A$1:$R$1,0)),"")</f>
        <v/>
      </c>
      <c r="H626" s="23" t="str">
        <f>IFERROR(INDEX(vdata_regressors!$A$1:$L$2000,MATCH($A626,vdata_regressors!$A$2:$A$2000,0)+1,MATCH(H$2,vdata_regressors!$A$1:$R$1,0)),"")</f>
        <v/>
      </c>
      <c r="I626" s="23" t="str">
        <f>IFERROR(INDEX(vdata_regressors!$A$1:$L$2000,MATCH($A626,vdata_regressors!$A$2:$A$2000,0)+1,MATCH(I$2,vdata_regressors!$A$1:$R$1,0)),"")</f>
        <v/>
      </c>
      <c r="J626" s="23" t="str">
        <f>IFERROR(INDEX(vdata_regressors!$A$1:$L$2000,MATCH($A626,vdata_regressors!$A$2:$A$2000,0)+1,MATCH(J$2,vdata_regressors!$A$1:$R$1,0)),"")</f>
        <v/>
      </c>
      <c r="K626" s="23" t="str">
        <f>IFERROR(INDEX(vdata_regressors!$A$1:$L$2000,MATCH($A626,vdata_regressors!$A$2:$A$2000,0)+1,MATCH(K$2,vdata_regressors!$A$1:$R$1,0)),"")</f>
        <v/>
      </c>
      <c r="L626" s="23" t="str">
        <f>IFERROR(INDEX(vdata_regressors!$A$1:$L$2000,MATCH($A626,vdata_regressors!$A$2:$A$2000,0)+1,MATCH(L$2,vdata_regressors!$A$1:$R$1,0)),"")</f>
        <v/>
      </c>
      <c r="M626" s="23" t="str">
        <f>IFERROR(VLOOKUP(A626,vdata_hours!$A$2:$B$1000,2,FALSE),"")</f>
        <v/>
      </c>
    </row>
    <row r="627" spans="1:13" x14ac:dyDescent="0.25">
      <c r="A627" s="23" t="str">
        <f>IF(vdata_hours!A626=0,"",vdata_hours!A626)</f>
        <v/>
      </c>
      <c r="B627" s="23" t="str">
        <f>IFERROR(INDEX(vdata_regressors!$A$1:$L$2000,MATCH($A627,vdata_regressors!$A$2:$A$2000,0)+1,MATCH(B$2,vdata_regressors!$A$1:$R$1,0)),"")</f>
        <v/>
      </c>
      <c r="C627" s="23" t="str">
        <f>IFERROR(INDEX(vdata_regressors!$A$1:$L$2000,MATCH($A627,vdata_regressors!$A$2:$A$2000,0)+1,MATCH(C$2,vdata_regressors!$A$1:$R$1,0)),"")</f>
        <v/>
      </c>
      <c r="D627" s="23" t="str">
        <f>IFERROR(INDEX(vdata_regressors!$A$1:$L$2000,MATCH($A627,vdata_regressors!$A$2:$A$2000,0)+1,MATCH(D$2,vdata_regressors!$A$1:$R$1,0)),"")</f>
        <v/>
      </c>
      <c r="E627" s="23" t="str">
        <f>IFERROR(INDEX(vdata_regressors!$A$1:$L$2000,MATCH($A627,vdata_regressors!$A$2:$A$2000,0)+1,MATCH(E$2,vdata_regressors!$A$1:$R$1,0)),"")</f>
        <v/>
      </c>
      <c r="F627" s="23" t="str">
        <f>IFERROR(INDEX(vdata_regressors!$A$1:$L$2000,MATCH($A627,vdata_regressors!$A$2:$A$2000,0)+1,MATCH(F$2,vdata_regressors!$A$1:$R$1,0)),"")</f>
        <v/>
      </c>
      <c r="G627" s="23" t="str">
        <f>IFERROR(INDEX(vdata_regressors!$A$1:$L$2000,MATCH($A627,vdata_regressors!$A$2:$A$2000,0)+1,MATCH(G$2,vdata_regressors!$A$1:$R$1,0)),"")</f>
        <v/>
      </c>
      <c r="H627" s="23" t="str">
        <f>IFERROR(INDEX(vdata_regressors!$A$1:$L$2000,MATCH($A627,vdata_regressors!$A$2:$A$2000,0)+1,MATCH(H$2,vdata_regressors!$A$1:$R$1,0)),"")</f>
        <v/>
      </c>
      <c r="I627" s="23" t="str">
        <f>IFERROR(INDEX(vdata_regressors!$A$1:$L$2000,MATCH($A627,vdata_regressors!$A$2:$A$2000,0)+1,MATCH(I$2,vdata_regressors!$A$1:$R$1,0)),"")</f>
        <v/>
      </c>
      <c r="J627" s="23" t="str">
        <f>IFERROR(INDEX(vdata_regressors!$A$1:$L$2000,MATCH($A627,vdata_regressors!$A$2:$A$2000,0)+1,MATCH(J$2,vdata_regressors!$A$1:$R$1,0)),"")</f>
        <v/>
      </c>
      <c r="K627" s="23" t="str">
        <f>IFERROR(INDEX(vdata_regressors!$A$1:$L$2000,MATCH($A627,vdata_regressors!$A$2:$A$2000,0)+1,MATCH(K$2,vdata_regressors!$A$1:$R$1,0)),"")</f>
        <v/>
      </c>
      <c r="L627" s="23" t="str">
        <f>IFERROR(INDEX(vdata_regressors!$A$1:$L$2000,MATCH($A627,vdata_regressors!$A$2:$A$2000,0)+1,MATCH(L$2,vdata_regressors!$A$1:$R$1,0)),"")</f>
        <v/>
      </c>
      <c r="M627" s="23" t="str">
        <f>IFERROR(VLOOKUP(A627,vdata_hours!$A$2:$B$1000,2,FALSE),"")</f>
        <v/>
      </c>
    </row>
    <row r="628" spans="1:13" x14ac:dyDescent="0.25">
      <c r="A628" s="23" t="str">
        <f>IF(vdata_hours!A627=0,"",vdata_hours!A627)</f>
        <v/>
      </c>
      <c r="B628" s="23" t="str">
        <f>IFERROR(INDEX(vdata_regressors!$A$1:$L$2000,MATCH($A628,vdata_regressors!$A$2:$A$2000,0)+1,MATCH(B$2,vdata_regressors!$A$1:$R$1,0)),"")</f>
        <v/>
      </c>
      <c r="C628" s="23" t="str">
        <f>IFERROR(INDEX(vdata_regressors!$A$1:$L$2000,MATCH($A628,vdata_regressors!$A$2:$A$2000,0)+1,MATCH(C$2,vdata_regressors!$A$1:$R$1,0)),"")</f>
        <v/>
      </c>
      <c r="D628" s="23" t="str">
        <f>IFERROR(INDEX(vdata_regressors!$A$1:$L$2000,MATCH($A628,vdata_regressors!$A$2:$A$2000,0)+1,MATCH(D$2,vdata_regressors!$A$1:$R$1,0)),"")</f>
        <v/>
      </c>
      <c r="E628" s="23" t="str">
        <f>IFERROR(INDEX(vdata_regressors!$A$1:$L$2000,MATCH($A628,vdata_regressors!$A$2:$A$2000,0)+1,MATCH(E$2,vdata_regressors!$A$1:$R$1,0)),"")</f>
        <v/>
      </c>
      <c r="F628" s="23" t="str">
        <f>IFERROR(INDEX(vdata_regressors!$A$1:$L$2000,MATCH($A628,vdata_regressors!$A$2:$A$2000,0)+1,MATCH(F$2,vdata_regressors!$A$1:$R$1,0)),"")</f>
        <v/>
      </c>
      <c r="G628" s="23" t="str">
        <f>IFERROR(INDEX(vdata_regressors!$A$1:$L$2000,MATCH($A628,vdata_regressors!$A$2:$A$2000,0)+1,MATCH(G$2,vdata_regressors!$A$1:$R$1,0)),"")</f>
        <v/>
      </c>
      <c r="H628" s="23" t="str">
        <f>IFERROR(INDEX(vdata_regressors!$A$1:$L$2000,MATCH($A628,vdata_regressors!$A$2:$A$2000,0)+1,MATCH(H$2,vdata_regressors!$A$1:$R$1,0)),"")</f>
        <v/>
      </c>
      <c r="I628" s="23" t="str">
        <f>IFERROR(INDEX(vdata_regressors!$A$1:$L$2000,MATCH($A628,vdata_regressors!$A$2:$A$2000,0)+1,MATCH(I$2,vdata_regressors!$A$1:$R$1,0)),"")</f>
        <v/>
      </c>
      <c r="J628" s="23" t="str">
        <f>IFERROR(INDEX(vdata_regressors!$A$1:$L$2000,MATCH($A628,vdata_regressors!$A$2:$A$2000,0)+1,MATCH(J$2,vdata_regressors!$A$1:$R$1,0)),"")</f>
        <v/>
      </c>
      <c r="K628" s="23" t="str">
        <f>IFERROR(INDEX(vdata_regressors!$A$1:$L$2000,MATCH($A628,vdata_regressors!$A$2:$A$2000,0)+1,MATCH(K$2,vdata_regressors!$A$1:$R$1,0)),"")</f>
        <v/>
      </c>
      <c r="L628" s="23" t="str">
        <f>IFERROR(INDEX(vdata_regressors!$A$1:$L$2000,MATCH($A628,vdata_regressors!$A$2:$A$2000,0)+1,MATCH(L$2,vdata_regressors!$A$1:$R$1,0)),"")</f>
        <v/>
      </c>
      <c r="M628" s="23" t="str">
        <f>IFERROR(VLOOKUP(A628,vdata_hours!$A$2:$B$1000,2,FALSE),"")</f>
        <v/>
      </c>
    </row>
    <row r="629" spans="1:13" x14ac:dyDescent="0.25">
      <c r="A629" s="23" t="str">
        <f>IF(vdata_hours!A628=0,"",vdata_hours!A628)</f>
        <v/>
      </c>
      <c r="B629" s="23" t="str">
        <f>IFERROR(INDEX(vdata_regressors!$A$1:$L$2000,MATCH($A629,vdata_regressors!$A$2:$A$2000,0)+1,MATCH(B$2,vdata_regressors!$A$1:$R$1,0)),"")</f>
        <v/>
      </c>
      <c r="C629" s="23" t="str">
        <f>IFERROR(INDEX(vdata_regressors!$A$1:$L$2000,MATCH($A629,vdata_regressors!$A$2:$A$2000,0)+1,MATCH(C$2,vdata_regressors!$A$1:$R$1,0)),"")</f>
        <v/>
      </c>
      <c r="D629" s="23" t="str">
        <f>IFERROR(INDEX(vdata_regressors!$A$1:$L$2000,MATCH($A629,vdata_regressors!$A$2:$A$2000,0)+1,MATCH(D$2,vdata_regressors!$A$1:$R$1,0)),"")</f>
        <v/>
      </c>
      <c r="E629" s="23" t="str">
        <f>IFERROR(INDEX(vdata_regressors!$A$1:$L$2000,MATCH($A629,vdata_regressors!$A$2:$A$2000,0)+1,MATCH(E$2,vdata_regressors!$A$1:$R$1,0)),"")</f>
        <v/>
      </c>
      <c r="F629" s="23" t="str">
        <f>IFERROR(INDEX(vdata_regressors!$A$1:$L$2000,MATCH($A629,vdata_regressors!$A$2:$A$2000,0)+1,MATCH(F$2,vdata_regressors!$A$1:$R$1,0)),"")</f>
        <v/>
      </c>
      <c r="G629" s="23" t="str">
        <f>IFERROR(INDEX(vdata_regressors!$A$1:$L$2000,MATCH($A629,vdata_regressors!$A$2:$A$2000,0)+1,MATCH(G$2,vdata_regressors!$A$1:$R$1,0)),"")</f>
        <v/>
      </c>
      <c r="H629" s="23" t="str">
        <f>IFERROR(INDEX(vdata_regressors!$A$1:$L$2000,MATCH($A629,vdata_regressors!$A$2:$A$2000,0)+1,MATCH(H$2,vdata_regressors!$A$1:$R$1,0)),"")</f>
        <v/>
      </c>
      <c r="I629" s="23" t="str">
        <f>IFERROR(INDEX(vdata_regressors!$A$1:$L$2000,MATCH($A629,vdata_regressors!$A$2:$A$2000,0)+1,MATCH(I$2,vdata_regressors!$A$1:$R$1,0)),"")</f>
        <v/>
      </c>
      <c r="J629" s="23" t="str">
        <f>IFERROR(INDEX(vdata_regressors!$A$1:$L$2000,MATCH($A629,vdata_regressors!$A$2:$A$2000,0)+1,MATCH(J$2,vdata_regressors!$A$1:$R$1,0)),"")</f>
        <v/>
      </c>
      <c r="K629" s="23" t="str">
        <f>IFERROR(INDEX(vdata_regressors!$A$1:$L$2000,MATCH($A629,vdata_regressors!$A$2:$A$2000,0)+1,MATCH(K$2,vdata_regressors!$A$1:$R$1,0)),"")</f>
        <v/>
      </c>
      <c r="L629" s="23" t="str">
        <f>IFERROR(INDEX(vdata_regressors!$A$1:$L$2000,MATCH($A629,vdata_regressors!$A$2:$A$2000,0)+1,MATCH(L$2,vdata_regressors!$A$1:$R$1,0)),"")</f>
        <v/>
      </c>
      <c r="M629" s="23" t="str">
        <f>IFERROR(VLOOKUP(A629,vdata_hours!$A$2:$B$1000,2,FALSE),"")</f>
        <v/>
      </c>
    </row>
    <row r="630" spans="1:13" x14ac:dyDescent="0.25">
      <c r="A630" s="23" t="str">
        <f>IF(vdata_hours!A629=0,"",vdata_hours!A629)</f>
        <v/>
      </c>
      <c r="B630" s="23" t="str">
        <f>IFERROR(INDEX(vdata_regressors!$A$1:$L$2000,MATCH($A630,vdata_regressors!$A$2:$A$2000,0)+1,MATCH(B$2,vdata_regressors!$A$1:$R$1,0)),"")</f>
        <v/>
      </c>
      <c r="C630" s="23" t="str">
        <f>IFERROR(INDEX(vdata_regressors!$A$1:$L$2000,MATCH($A630,vdata_regressors!$A$2:$A$2000,0)+1,MATCH(C$2,vdata_regressors!$A$1:$R$1,0)),"")</f>
        <v/>
      </c>
      <c r="D630" s="23" t="str">
        <f>IFERROR(INDEX(vdata_regressors!$A$1:$L$2000,MATCH($A630,vdata_regressors!$A$2:$A$2000,0)+1,MATCH(D$2,vdata_regressors!$A$1:$R$1,0)),"")</f>
        <v/>
      </c>
      <c r="E630" s="23" t="str">
        <f>IFERROR(INDEX(vdata_regressors!$A$1:$L$2000,MATCH($A630,vdata_regressors!$A$2:$A$2000,0)+1,MATCH(E$2,vdata_regressors!$A$1:$R$1,0)),"")</f>
        <v/>
      </c>
      <c r="F630" s="23" t="str">
        <f>IFERROR(INDEX(vdata_regressors!$A$1:$L$2000,MATCH($A630,vdata_regressors!$A$2:$A$2000,0)+1,MATCH(F$2,vdata_regressors!$A$1:$R$1,0)),"")</f>
        <v/>
      </c>
      <c r="G630" s="23" t="str">
        <f>IFERROR(INDEX(vdata_regressors!$A$1:$L$2000,MATCH($A630,vdata_regressors!$A$2:$A$2000,0)+1,MATCH(G$2,vdata_regressors!$A$1:$R$1,0)),"")</f>
        <v/>
      </c>
      <c r="H630" s="23" t="str">
        <f>IFERROR(INDEX(vdata_regressors!$A$1:$L$2000,MATCH($A630,vdata_regressors!$A$2:$A$2000,0)+1,MATCH(H$2,vdata_regressors!$A$1:$R$1,0)),"")</f>
        <v/>
      </c>
      <c r="I630" s="23" t="str">
        <f>IFERROR(INDEX(vdata_regressors!$A$1:$L$2000,MATCH($A630,vdata_regressors!$A$2:$A$2000,0)+1,MATCH(I$2,vdata_regressors!$A$1:$R$1,0)),"")</f>
        <v/>
      </c>
      <c r="J630" s="23" t="str">
        <f>IFERROR(INDEX(vdata_regressors!$A$1:$L$2000,MATCH($A630,vdata_regressors!$A$2:$A$2000,0)+1,MATCH(J$2,vdata_regressors!$A$1:$R$1,0)),"")</f>
        <v/>
      </c>
      <c r="K630" s="23" t="str">
        <f>IFERROR(INDEX(vdata_regressors!$A$1:$L$2000,MATCH($A630,vdata_regressors!$A$2:$A$2000,0)+1,MATCH(K$2,vdata_regressors!$A$1:$R$1,0)),"")</f>
        <v/>
      </c>
      <c r="L630" s="23" t="str">
        <f>IFERROR(INDEX(vdata_regressors!$A$1:$L$2000,MATCH($A630,vdata_regressors!$A$2:$A$2000,0)+1,MATCH(L$2,vdata_regressors!$A$1:$R$1,0)),"")</f>
        <v/>
      </c>
      <c r="M630" s="23" t="str">
        <f>IFERROR(VLOOKUP(A630,vdata_hours!$A$2:$B$1000,2,FALSE),"")</f>
        <v/>
      </c>
    </row>
    <row r="631" spans="1:13" x14ac:dyDescent="0.25">
      <c r="A631" s="23" t="str">
        <f>IF(vdata_hours!A630=0,"",vdata_hours!A630)</f>
        <v/>
      </c>
      <c r="B631" s="23" t="str">
        <f>IFERROR(INDEX(vdata_regressors!$A$1:$L$2000,MATCH($A631,vdata_regressors!$A$2:$A$2000,0)+1,MATCH(B$2,vdata_regressors!$A$1:$R$1,0)),"")</f>
        <v/>
      </c>
      <c r="C631" s="23" t="str">
        <f>IFERROR(INDEX(vdata_regressors!$A$1:$L$2000,MATCH($A631,vdata_regressors!$A$2:$A$2000,0)+1,MATCH(C$2,vdata_regressors!$A$1:$R$1,0)),"")</f>
        <v/>
      </c>
      <c r="D631" s="23" t="str">
        <f>IFERROR(INDEX(vdata_regressors!$A$1:$L$2000,MATCH($A631,vdata_regressors!$A$2:$A$2000,0)+1,MATCH(D$2,vdata_regressors!$A$1:$R$1,0)),"")</f>
        <v/>
      </c>
      <c r="E631" s="23" t="str">
        <f>IFERROR(INDEX(vdata_regressors!$A$1:$L$2000,MATCH($A631,vdata_regressors!$A$2:$A$2000,0)+1,MATCH(E$2,vdata_regressors!$A$1:$R$1,0)),"")</f>
        <v/>
      </c>
      <c r="F631" s="23" t="str">
        <f>IFERROR(INDEX(vdata_regressors!$A$1:$L$2000,MATCH($A631,vdata_regressors!$A$2:$A$2000,0)+1,MATCH(F$2,vdata_regressors!$A$1:$R$1,0)),"")</f>
        <v/>
      </c>
      <c r="G631" s="23" t="str">
        <f>IFERROR(INDEX(vdata_regressors!$A$1:$L$2000,MATCH($A631,vdata_regressors!$A$2:$A$2000,0)+1,MATCH(G$2,vdata_regressors!$A$1:$R$1,0)),"")</f>
        <v/>
      </c>
      <c r="H631" s="23" t="str">
        <f>IFERROR(INDEX(vdata_regressors!$A$1:$L$2000,MATCH($A631,vdata_regressors!$A$2:$A$2000,0)+1,MATCH(H$2,vdata_regressors!$A$1:$R$1,0)),"")</f>
        <v/>
      </c>
      <c r="I631" s="23" t="str">
        <f>IFERROR(INDEX(vdata_regressors!$A$1:$L$2000,MATCH($A631,vdata_regressors!$A$2:$A$2000,0)+1,MATCH(I$2,vdata_regressors!$A$1:$R$1,0)),"")</f>
        <v/>
      </c>
      <c r="J631" s="23" t="str">
        <f>IFERROR(INDEX(vdata_regressors!$A$1:$L$2000,MATCH($A631,vdata_regressors!$A$2:$A$2000,0)+1,MATCH(J$2,vdata_regressors!$A$1:$R$1,0)),"")</f>
        <v/>
      </c>
      <c r="K631" s="23" t="str">
        <f>IFERROR(INDEX(vdata_regressors!$A$1:$L$2000,MATCH($A631,vdata_regressors!$A$2:$A$2000,0)+1,MATCH(K$2,vdata_regressors!$A$1:$R$1,0)),"")</f>
        <v/>
      </c>
      <c r="L631" s="23" t="str">
        <f>IFERROR(INDEX(vdata_regressors!$A$1:$L$2000,MATCH($A631,vdata_regressors!$A$2:$A$2000,0)+1,MATCH(L$2,vdata_regressors!$A$1:$R$1,0)),"")</f>
        <v/>
      </c>
      <c r="M631" s="23" t="str">
        <f>IFERROR(VLOOKUP(A631,vdata_hours!$A$2:$B$1000,2,FALSE),"")</f>
        <v/>
      </c>
    </row>
    <row r="632" spans="1:13" x14ac:dyDescent="0.25">
      <c r="A632" s="23" t="str">
        <f>IF(vdata_hours!A631=0,"",vdata_hours!A631)</f>
        <v/>
      </c>
      <c r="B632" s="23" t="str">
        <f>IFERROR(INDEX(vdata_regressors!$A$1:$L$2000,MATCH($A632,vdata_regressors!$A$2:$A$2000,0)+1,MATCH(B$2,vdata_regressors!$A$1:$R$1,0)),"")</f>
        <v/>
      </c>
      <c r="C632" s="23" t="str">
        <f>IFERROR(INDEX(vdata_regressors!$A$1:$L$2000,MATCH($A632,vdata_regressors!$A$2:$A$2000,0)+1,MATCH(C$2,vdata_regressors!$A$1:$R$1,0)),"")</f>
        <v/>
      </c>
      <c r="D632" s="23" t="str">
        <f>IFERROR(INDEX(vdata_regressors!$A$1:$L$2000,MATCH($A632,vdata_regressors!$A$2:$A$2000,0)+1,MATCH(D$2,vdata_regressors!$A$1:$R$1,0)),"")</f>
        <v/>
      </c>
      <c r="E632" s="23" t="str">
        <f>IFERROR(INDEX(vdata_regressors!$A$1:$L$2000,MATCH($A632,vdata_regressors!$A$2:$A$2000,0)+1,MATCH(E$2,vdata_regressors!$A$1:$R$1,0)),"")</f>
        <v/>
      </c>
      <c r="F632" s="23" t="str">
        <f>IFERROR(INDEX(vdata_regressors!$A$1:$L$2000,MATCH($A632,vdata_regressors!$A$2:$A$2000,0)+1,MATCH(F$2,vdata_regressors!$A$1:$R$1,0)),"")</f>
        <v/>
      </c>
      <c r="G632" s="23" t="str">
        <f>IFERROR(INDEX(vdata_regressors!$A$1:$L$2000,MATCH($A632,vdata_regressors!$A$2:$A$2000,0)+1,MATCH(G$2,vdata_regressors!$A$1:$R$1,0)),"")</f>
        <v/>
      </c>
      <c r="H632" s="23" t="str">
        <f>IFERROR(INDEX(vdata_regressors!$A$1:$L$2000,MATCH($A632,vdata_regressors!$A$2:$A$2000,0)+1,MATCH(H$2,vdata_regressors!$A$1:$R$1,0)),"")</f>
        <v/>
      </c>
      <c r="I632" s="23" t="str">
        <f>IFERROR(INDEX(vdata_regressors!$A$1:$L$2000,MATCH($A632,vdata_regressors!$A$2:$A$2000,0)+1,MATCH(I$2,vdata_regressors!$A$1:$R$1,0)),"")</f>
        <v/>
      </c>
      <c r="J632" s="23" t="str">
        <f>IFERROR(INDEX(vdata_regressors!$A$1:$L$2000,MATCH($A632,vdata_regressors!$A$2:$A$2000,0)+1,MATCH(J$2,vdata_regressors!$A$1:$R$1,0)),"")</f>
        <v/>
      </c>
      <c r="K632" s="23" t="str">
        <f>IFERROR(INDEX(vdata_regressors!$A$1:$L$2000,MATCH($A632,vdata_regressors!$A$2:$A$2000,0)+1,MATCH(K$2,vdata_regressors!$A$1:$R$1,0)),"")</f>
        <v/>
      </c>
      <c r="L632" s="23" t="str">
        <f>IFERROR(INDEX(vdata_regressors!$A$1:$L$2000,MATCH($A632,vdata_regressors!$A$2:$A$2000,0)+1,MATCH(L$2,vdata_regressors!$A$1:$R$1,0)),"")</f>
        <v/>
      </c>
      <c r="M632" s="23" t="str">
        <f>IFERROR(VLOOKUP(A632,vdata_hours!$A$2:$B$1000,2,FALSE),"")</f>
        <v/>
      </c>
    </row>
    <row r="633" spans="1:13" x14ac:dyDescent="0.25">
      <c r="A633" s="23" t="str">
        <f>IF(vdata_hours!A632=0,"",vdata_hours!A632)</f>
        <v/>
      </c>
      <c r="B633" s="23" t="str">
        <f>IFERROR(INDEX(vdata_regressors!$A$1:$L$2000,MATCH($A633,vdata_regressors!$A$2:$A$2000,0)+1,MATCH(B$2,vdata_regressors!$A$1:$R$1,0)),"")</f>
        <v/>
      </c>
      <c r="C633" s="23" t="str">
        <f>IFERROR(INDEX(vdata_regressors!$A$1:$L$2000,MATCH($A633,vdata_regressors!$A$2:$A$2000,0)+1,MATCH(C$2,vdata_regressors!$A$1:$R$1,0)),"")</f>
        <v/>
      </c>
      <c r="D633" s="23" t="str">
        <f>IFERROR(INDEX(vdata_regressors!$A$1:$L$2000,MATCH($A633,vdata_regressors!$A$2:$A$2000,0)+1,MATCH(D$2,vdata_regressors!$A$1:$R$1,0)),"")</f>
        <v/>
      </c>
      <c r="E633" s="23" t="str">
        <f>IFERROR(INDEX(vdata_regressors!$A$1:$L$2000,MATCH($A633,vdata_regressors!$A$2:$A$2000,0)+1,MATCH(E$2,vdata_regressors!$A$1:$R$1,0)),"")</f>
        <v/>
      </c>
      <c r="F633" s="23" t="str">
        <f>IFERROR(INDEX(vdata_regressors!$A$1:$L$2000,MATCH($A633,vdata_regressors!$A$2:$A$2000,0)+1,MATCH(F$2,vdata_regressors!$A$1:$R$1,0)),"")</f>
        <v/>
      </c>
      <c r="G633" s="23" t="str">
        <f>IFERROR(INDEX(vdata_regressors!$A$1:$L$2000,MATCH($A633,vdata_regressors!$A$2:$A$2000,0)+1,MATCH(G$2,vdata_regressors!$A$1:$R$1,0)),"")</f>
        <v/>
      </c>
      <c r="H633" s="23" t="str">
        <f>IFERROR(INDEX(vdata_regressors!$A$1:$L$2000,MATCH($A633,vdata_regressors!$A$2:$A$2000,0)+1,MATCH(H$2,vdata_regressors!$A$1:$R$1,0)),"")</f>
        <v/>
      </c>
      <c r="I633" s="23" t="str">
        <f>IFERROR(INDEX(vdata_regressors!$A$1:$L$2000,MATCH($A633,vdata_regressors!$A$2:$A$2000,0)+1,MATCH(I$2,vdata_regressors!$A$1:$R$1,0)),"")</f>
        <v/>
      </c>
      <c r="J633" s="23" t="str">
        <f>IFERROR(INDEX(vdata_regressors!$A$1:$L$2000,MATCH($A633,vdata_regressors!$A$2:$A$2000,0)+1,MATCH(J$2,vdata_regressors!$A$1:$R$1,0)),"")</f>
        <v/>
      </c>
      <c r="K633" s="23" t="str">
        <f>IFERROR(INDEX(vdata_regressors!$A$1:$L$2000,MATCH($A633,vdata_regressors!$A$2:$A$2000,0)+1,MATCH(K$2,vdata_regressors!$A$1:$R$1,0)),"")</f>
        <v/>
      </c>
      <c r="L633" s="23" t="str">
        <f>IFERROR(INDEX(vdata_regressors!$A$1:$L$2000,MATCH($A633,vdata_regressors!$A$2:$A$2000,0)+1,MATCH(L$2,vdata_regressors!$A$1:$R$1,0)),"")</f>
        <v/>
      </c>
      <c r="M633" s="23" t="str">
        <f>IFERROR(VLOOKUP(A633,vdata_hours!$A$2:$B$1000,2,FALSE),"")</f>
        <v/>
      </c>
    </row>
    <row r="634" spans="1:13" x14ac:dyDescent="0.25">
      <c r="A634" s="23" t="str">
        <f>IF(vdata_hours!A633=0,"",vdata_hours!A633)</f>
        <v/>
      </c>
      <c r="B634" s="23" t="str">
        <f>IFERROR(INDEX(vdata_regressors!$A$1:$L$2000,MATCH($A634,vdata_regressors!$A$2:$A$2000,0)+1,MATCH(B$2,vdata_regressors!$A$1:$R$1,0)),"")</f>
        <v/>
      </c>
      <c r="C634" s="23" t="str">
        <f>IFERROR(INDEX(vdata_regressors!$A$1:$L$2000,MATCH($A634,vdata_regressors!$A$2:$A$2000,0)+1,MATCH(C$2,vdata_regressors!$A$1:$R$1,0)),"")</f>
        <v/>
      </c>
      <c r="D634" s="23" t="str">
        <f>IFERROR(INDEX(vdata_regressors!$A$1:$L$2000,MATCH($A634,vdata_regressors!$A$2:$A$2000,0)+1,MATCH(D$2,vdata_regressors!$A$1:$R$1,0)),"")</f>
        <v/>
      </c>
      <c r="E634" s="23" t="str">
        <f>IFERROR(INDEX(vdata_regressors!$A$1:$L$2000,MATCH($A634,vdata_regressors!$A$2:$A$2000,0)+1,MATCH(E$2,vdata_regressors!$A$1:$R$1,0)),"")</f>
        <v/>
      </c>
      <c r="F634" s="23" t="str">
        <f>IFERROR(INDEX(vdata_regressors!$A$1:$L$2000,MATCH($A634,vdata_regressors!$A$2:$A$2000,0)+1,MATCH(F$2,vdata_regressors!$A$1:$R$1,0)),"")</f>
        <v/>
      </c>
      <c r="G634" s="23" t="str">
        <f>IFERROR(INDEX(vdata_regressors!$A$1:$L$2000,MATCH($A634,vdata_regressors!$A$2:$A$2000,0)+1,MATCH(G$2,vdata_regressors!$A$1:$R$1,0)),"")</f>
        <v/>
      </c>
      <c r="H634" s="23" t="str">
        <f>IFERROR(INDEX(vdata_regressors!$A$1:$L$2000,MATCH($A634,vdata_regressors!$A$2:$A$2000,0)+1,MATCH(H$2,vdata_regressors!$A$1:$R$1,0)),"")</f>
        <v/>
      </c>
      <c r="I634" s="23" t="str">
        <f>IFERROR(INDEX(vdata_regressors!$A$1:$L$2000,MATCH($A634,vdata_regressors!$A$2:$A$2000,0)+1,MATCH(I$2,vdata_regressors!$A$1:$R$1,0)),"")</f>
        <v/>
      </c>
      <c r="J634" s="23" t="str">
        <f>IFERROR(INDEX(vdata_regressors!$A$1:$L$2000,MATCH($A634,vdata_regressors!$A$2:$A$2000,0)+1,MATCH(J$2,vdata_regressors!$A$1:$R$1,0)),"")</f>
        <v/>
      </c>
      <c r="K634" s="23" t="str">
        <f>IFERROR(INDEX(vdata_regressors!$A$1:$L$2000,MATCH($A634,vdata_regressors!$A$2:$A$2000,0)+1,MATCH(K$2,vdata_regressors!$A$1:$R$1,0)),"")</f>
        <v/>
      </c>
      <c r="L634" s="23" t="str">
        <f>IFERROR(INDEX(vdata_regressors!$A$1:$L$2000,MATCH($A634,vdata_regressors!$A$2:$A$2000,0)+1,MATCH(L$2,vdata_regressors!$A$1:$R$1,0)),"")</f>
        <v/>
      </c>
      <c r="M634" s="23" t="str">
        <f>IFERROR(VLOOKUP(A634,vdata_hours!$A$2:$B$1000,2,FALSE),"")</f>
        <v/>
      </c>
    </row>
    <row r="635" spans="1:13" x14ac:dyDescent="0.25">
      <c r="A635" s="23" t="str">
        <f>IF(vdata_hours!A634=0,"",vdata_hours!A634)</f>
        <v/>
      </c>
      <c r="B635" s="23" t="str">
        <f>IFERROR(INDEX(vdata_regressors!$A$1:$L$2000,MATCH($A635,vdata_regressors!$A$2:$A$2000,0)+1,MATCH(B$2,vdata_regressors!$A$1:$R$1,0)),"")</f>
        <v/>
      </c>
      <c r="C635" s="23" t="str">
        <f>IFERROR(INDEX(vdata_regressors!$A$1:$L$2000,MATCH($A635,vdata_regressors!$A$2:$A$2000,0)+1,MATCH(C$2,vdata_regressors!$A$1:$R$1,0)),"")</f>
        <v/>
      </c>
      <c r="D635" s="23" t="str">
        <f>IFERROR(INDEX(vdata_regressors!$A$1:$L$2000,MATCH($A635,vdata_regressors!$A$2:$A$2000,0)+1,MATCH(D$2,vdata_regressors!$A$1:$R$1,0)),"")</f>
        <v/>
      </c>
      <c r="E635" s="23" t="str">
        <f>IFERROR(INDEX(vdata_regressors!$A$1:$L$2000,MATCH($A635,vdata_regressors!$A$2:$A$2000,0)+1,MATCH(E$2,vdata_regressors!$A$1:$R$1,0)),"")</f>
        <v/>
      </c>
      <c r="F635" s="23" t="str">
        <f>IFERROR(INDEX(vdata_regressors!$A$1:$L$2000,MATCH($A635,vdata_regressors!$A$2:$A$2000,0)+1,MATCH(F$2,vdata_regressors!$A$1:$R$1,0)),"")</f>
        <v/>
      </c>
      <c r="G635" s="23" t="str">
        <f>IFERROR(INDEX(vdata_regressors!$A$1:$L$2000,MATCH($A635,vdata_regressors!$A$2:$A$2000,0)+1,MATCH(G$2,vdata_regressors!$A$1:$R$1,0)),"")</f>
        <v/>
      </c>
      <c r="H635" s="23" t="str">
        <f>IFERROR(INDEX(vdata_regressors!$A$1:$L$2000,MATCH($A635,vdata_regressors!$A$2:$A$2000,0)+1,MATCH(H$2,vdata_regressors!$A$1:$R$1,0)),"")</f>
        <v/>
      </c>
      <c r="I635" s="23" t="str">
        <f>IFERROR(INDEX(vdata_regressors!$A$1:$L$2000,MATCH($A635,vdata_regressors!$A$2:$A$2000,0)+1,MATCH(I$2,vdata_regressors!$A$1:$R$1,0)),"")</f>
        <v/>
      </c>
      <c r="J635" s="23" t="str">
        <f>IFERROR(INDEX(vdata_regressors!$A$1:$L$2000,MATCH($A635,vdata_regressors!$A$2:$A$2000,0)+1,MATCH(J$2,vdata_regressors!$A$1:$R$1,0)),"")</f>
        <v/>
      </c>
      <c r="K635" s="23" t="str">
        <f>IFERROR(INDEX(vdata_regressors!$A$1:$L$2000,MATCH($A635,vdata_regressors!$A$2:$A$2000,0)+1,MATCH(K$2,vdata_regressors!$A$1:$R$1,0)),"")</f>
        <v/>
      </c>
      <c r="L635" s="23" t="str">
        <f>IFERROR(INDEX(vdata_regressors!$A$1:$L$2000,MATCH($A635,vdata_regressors!$A$2:$A$2000,0)+1,MATCH(L$2,vdata_regressors!$A$1:$R$1,0)),"")</f>
        <v/>
      </c>
      <c r="M635" s="23" t="str">
        <f>IFERROR(VLOOKUP(A635,vdata_hours!$A$2:$B$1000,2,FALSE),"")</f>
        <v/>
      </c>
    </row>
    <row r="636" spans="1:13" x14ac:dyDescent="0.25">
      <c r="A636" s="23" t="str">
        <f>IF(vdata_hours!A635=0,"",vdata_hours!A635)</f>
        <v/>
      </c>
      <c r="B636" s="23" t="str">
        <f>IFERROR(INDEX(vdata_regressors!$A$1:$L$2000,MATCH($A636,vdata_regressors!$A$2:$A$2000,0)+1,MATCH(B$2,vdata_regressors!$A$1:$R$1,0)),"")</f>
        <v/>
      </c>
      <c r="C636" s="23" t="str">
        <f>IFERROR(INDEX(vdata_regressors!$A$1:$L$2000,MATCH($A636,vdata_regressors!$A$2:$A$2000,0)+1,MATCH(C$2,vdata_regressors!$A$1:$R$1,0)),"")</f>
        <v/>
      </c>
      <c r="D636" s="23" t="str">
        <f>IFERROR(INDEX(vdata_regressors!$A$1:$L$2000,MATCH($A636,vdata_regressors!$A$2:$A$2000,0)+1,MATCH(D$2,vdata_regressors!$A$1:$R$1,0)),"")</f>
        <v/>
      </c>
      <c r="E636" s="23" t="str">
        <f>IFERROR(INDEX(vdata_regressors!$A$1:$L$2000,MATCH($A636,vdata_regressors!$A$2:$A$2000,0)+1,MATCH(E$2,vdata_regressors!$A$1:$R$1,0)),"")</f>
        <v/>
      </c>
      <c r="F636" s="23" t="str">
        <f>IFERROR(INDEX(vdata_regressors!$A$1:$L$2000,MATCH($A636,vdata_regressors!$A$2:$A$2000,0)+1,MATCH(F$2,vdata_regressors!$A$1:$R$1,0)),"")</f>
        <v/>
      </c>
      <c r="G636" s="23" t="str">
        <f>IFERROR(INDEX(vdata_regressors!$A$1:$L$2000,MATCH($A636,vdata_regressors!$A$2:$A$2000,0)+1,MATCH(G$2,vdata_regressors!$A$1:$R$1,0)),"")</f>
        <v/>
      </c>
      <c r="H636" s="23" t="str">
        <f>IFERROR(INDEX(vdata_regressors!$A$1:$L$2000,MATCH($A636,vdata_regressors!$A$2:$A$2000,0)+1,MATCH(H$2,vdata_regressors!$A$1:$R$1,0)),"")</f>
        <v/>
      </c>
      <c r="I636" s="23" t="str">
        <f>IFERROR(INDEX(vdata_regressors!$A$1:$L$2000,MATCH($A636,vdata_regressors!$A$2:$A$2000,0)+1,MATCH(I$2,vdata_regressors!$A$1:$R$1,0)),"")</f>
        <v/>
      </c>
      <c r="J636" s="23" t="str">
        <f>IFERROR(INDEX(vdata_regressors!$A$1:$L$2000,MATCH($A636,vdata_regressors!$A$2:$A$2000,0)+1,MATCH(J$2,vdata_regressors!$A$1:$R$1,0)),"")</f>
        <v/>
      </c>
      <c r="K636" s="23" t="str">
        <f>IFERROR(INDEX(vdata_regressors!$A$1:$L$2000,MATCH($A636,vdata_regressors!$A$2:$A$2000,0)+1,MATCH(K$2,vdata_regressors!$A$1:$R$1,0)),"")</f>
        <v/>
      </c>
      <c r="L636" s="23" t="str">
        <f>IFERROR(INDEX(vdata_regressors!$A$1:$L$2000,MATCH($A636,vdata_regressors!$A$2:$A$2000,0)+1,MATCH(L$2,vdata_regressors!$A$1:$R$1,0)),"")</f>
        <v/>
      </c>
      <c r="M636" s="23" t="str">
        <f>IFERROR(VLOOKUP(A636,vdata_hours!$A$2:$B$1000,2,FALSE),"")</f>
        <v/>
      </c>
    </row>
    <row r="637" spans="1:13" x14ac:dyDescent="0.25">
      <c r="A637" s="23" t="str">
        <f>IF(vdata_hours!A636=0,"",vdata_hours!A636)</f>
        <v/>
      </c>
      <c r="B637" s="23" t="str">
        <f>IFERROR(INDEX(vdata_regressors!$A$1:$L$2000,MATCH($A637,vdata_regressors!$A$2:$A$2000,0)+1,MATCH(B$2,vdata_regressors!$A$1:$R$1,0)),"")</f>
        <v/>
      </c>
      <c r="C637" s="23" t="str">
        <f>IFERROR(INDEX(vdata_regressors!$A$1:$L$2000,MATCH($A637,vdata_regressors!$A$2:$A$2000,0)+1,MATCH(C$2,vdata_regressors!$A$1:$R$1,0)),"")</f>
        <v/>
      </c>
      <c r="D637" s="23" t="str">
        <f>IFERROR(INDEX(vdata_regressors!$A$1:$L$2000,MATCH($A637,vdata_regressors!$A$2:$A$2000,0)+1,MATCH(D$2,vdata_regressors!$A$1:$R$1,0)),"")</f>
        <v/>
      </c>
      <c r="E637" s="23" t="str">
        <f>IFERROR(INDEX(vdata_regressors!$A$1:$L$2000,MATCH($A637,vdata_regressors!$A$2:$A$2000,0)+1,MATCH(E$2,vdata_regressors!$A$1:$R$1,0)),"")</f>
        <v/>
      </c>
      <c r="F637" s="23" t="str">
        <f>IFERROR(INDEX(vdata_regressors!$A$1:$L$2000,MATCH($A637,vdata_regressors!$A$2:$A$2000,0)+1,MATCH(F$2,vdata_regressors!$A$1:$R$1,0)),"")</f>
        <v/>
      </c>
      <c r="G637" s="23" t="str">
        <f>IFERROR(INDEX(vdata_regressors!$A$1:$L$2000,MATCH($A637,vdata_regressors!$A$2:$A$2000,0)+1,MATCH(G$2,vdata_regressors!$A$1:$R$1,0)),"")</f>
        <v/>
      </c>
      <c r="H637" s="23" t="str">
        <f>IFERROR(INDEX(vdata_regressors!$A$1:$L$2000,MATCH($A637,vdata_regressors!$A$2:$A$2000,0)+1,MATCH(H$2,vdata_regressors!$A$1:$R$1,0)),"")</f>
        <v/>
      </c>
      <c r="I637" s="23" t="str">
        <f>IFERROR(INDEX(vdata_regressors!$A$1:$L$2000,MATCH($A637,vdata_regressors!$A$2:$A$2000,0)+1,MATCH(I$2,vdata_regressors!$A$1:$R$1,0)),"")</f>
        <v/>
      </c>
      <c r="J637" s="23" t="str">
        <f>IFERROR(INDEX(vdata_regressors!$A$1:$L$2000,MATCH($A637,vdata_regressors!$A$2:$A$2000,0)+1,MATCH(J$2,vdata_regressors!$A$1:$R$1,0)),"")</f>
        <v/>
      </c>
      <c r="K637" s="23" t="str">
        <f>IFERROR(INDEX(vdata_regressors!$A$1:$L$2000,MATCH($A637,vdata_regressors!$A$2:$A$2000,0)+1,MATCH(K$2,vdata_regressors!$A$1:$R$1,0)),"")</f>
        <v/>
      </c>
      <c r="L637" s="23" t="str">
        <f>IFERROR(INDEX(vdata_regressors!$A$1:$L$2000,MATCH($A637,vdata_regressors!$A$2:$A$2000,0)+1,MATCH(L$2,vdata_regressors!$A$1:$R$1,0)),"")</f>
        <v/>
      </c>
      <c r="M637" s="23" t="str">
        <f>IFERROR(VLOOKUP(A637,vdata_hours!$A$2:$B$1000,2,FALSE),"")</f>
        <v/>
      </c>
    </row>
    <row r="638" spans="1:13" x14ac:dyDescent="0.25">
      <c r="A638" s="23" t="str">
        <f>IF(vdata_hours!A637=0,"",vdata_hours!A637)</f>
        <v/>
      </c>
      <c r="B638" s="23" t="str">
        <f>IFERROR(INDEX(vdata_regressors!$A$1:$L$2000,MATCH($A638,vdata_regressors!$A$2:$A$2000,0)+1,MATCH(B$2,vdata_regressors!$A$1:$R$1,0)),"")</f>
        <v/>
      </c>
      <c r="C638" s="23" t="str">
        <f>IFERROR(INDEX(vdata_regressors!$A$1:$L$2000,MATCH($A638,vdata_regressors!$A$2:$A$2000,0)+1,MATCH(C$2,vdata_regressors!$A$1:$R$1,0)),"")</f>
        <v/>
      </c>
      <c r="D638" s="23" t="str">
        <f>IFERROR(INDEX(vdata_regressors!$A$1:$L$2000,MATCH($A638,vdata_regressors!$A$2:$A$2000,0)+1,MATCH(D$2,vdata_regressors!$A$1:$R$1,0)),"")</f>
        <v/>
      </c>
      <c r="E638" s="23" t="str">
        <f>IFERROR(INDEX(vdata_regressors!$A$1:$L$2000,MATCH($A638,vdata_regressors!$A$2:$A$2000,0)+1,MATCH(E$2,vdata_regressors!$A$1:$R$1,0)),"")</f>
        <v/>
      </c>
      <c r="F638" s="23" t="str">
        <f>IFERROR(INDEX(vdata_regressors!$A$1:$L$2000,MATCH($A638,vdata_regressors!$A$2:$A$2000,0)+1,MATCH(F$2,vdata_regressors!$A$1:$R$1,0)),"")</f>
        <v/>
      </c>
      <c r="G638" s="23" t="str">
        <f>IFERROR(INDEX(vdata_regressors!$A$1:$L$2000,MATCH($A638,vdata_regressors!$A$2:$A$2000,0)+1,MATCH(G$2,vdata_regressors!$A$1:$R$1,0)),"")</f>
        <v/>
      </c>
      <c r="H638" s="23" t="str">
        <f>IFERROR(INDEX(vdata_regressors!$A$1:$L$2000,MATCH($A638,vdata_regressors!$A$2:$A$2000,0)+1,MATCH(H$2,vdata_regressors!$A$1:$R$1,0)),"")</f>
        <v/>
      </c>
      <c r="I638" s="23" t="str">
        <f>IFERROR(INDEX(vdata_regressors!$A$1:$L$2000,MATCH($A638,vdata_regressors!$A$2:$A$2000,0)+1,MATCH(I$2,vdata_regressors!$A$1:$R$1,0)),"")</f>
        <v/>
      </c>
      <c r="J638" s="23" t="str">
        <f>IFERROR(INDEX(vdata_regressors!$A$1:$L$2000,MATCH($A638,vdata_regressors!$A$2:$A$2000,0)+1,MATCH(J$2,vdata_regressors!$A$1:$R$1,0)),"")</f>
        <v/>
      </c>
      <c r="K638" s="23" t="str">
        <f>IFERROR(INDEX(vdata_regressors!$A$1:$L$2000,MATCH($A638,vdata_regressors!$A$2:$A$2000,0)+1,MATCH(K$2,vdata_regressors!$A$1:$R$1,0)),"")</f>
        <v/>
      </c>
      <c r="L638" s="23" t="str">
        <f>IFERROR(INDEX(vdata_regressors!$A$1:$L$2000,MATCH($A638,vdata_regressors!$A$2:$A$2000,0)+1,MATCH(L$2,vdata_regressors!$A$1:$R$1,0)),"")</f>
        <v/>
      </c>
      <c r="M638" s="23" t="str">
        <f>IFERROR(VLOOKUP(A638,vdata_hours!$A$2:$B$1000,2,FALSE),"")</f>
        <v/>
      </c>
    </row>
    <row r="639" spans="1:13" x14ac:dyDescent="0.25">
      <c r="A639" s="23" t="str">
        <f>IF(vdata_hours!A638=0,"",vdata_hours!A638)</f>
        <v/>
      </c>
      <c r="B639" s="23" t="str">
        <f>IFERROR(INDEX(vdata_regressors!$A$1:$L$2000,MATCH($A639,vdata_regressors!$A$2:$A$2000,0)+1,MATCH(B$2,vdata_regressors!$A$1:$R$1,0)),"")</f>
        <v/>
      </c>
      <c r="C639" s="23" t="str">
        <f>IFERROR(INDEX(vdata_regressors!$A$1:$L$2000,MATCH($A639,vdata_regressors!$A$2:$A$2000,0)+1,MATCH(C$2,vdata_regressors!$A$1:$R$1,0)),"")</f>
        <v/>
      </c>
      <c r="D639" s="23" t="str">
        <f>IFERROR(INDEX(vdata_regressors!$A$1:$L$2000,MATCH($A639,vdata_regressors!$A$2:$A$2000,0)+1,MATCH(D$2,vdata_regressors!$A$1:$R$1,0)),"")</f>
        <v/>
      </c>
      <c r="E639" s="23" t="str">
        <f>IFERROR(INDEX(vdata_regressors!$A$1:$L$2000,MATCH($A639,vdata_regressors!$A$2:$A$2000,0)+1,MATCH(E$2,vdata_regressors!$A$1:$R$1,0)),"")</f>
        <v/>
      </c>
      <c r="F639" s="23" t="str">
        <f>IFERROR(INDEX(vdata_regressors!$A$1:$L$2000,MATCH($A639,vdata_regressors!$A$2:$A$2000,0)+1,MATCH(F$2,vdata_regressors!$A$1:$R$1,0)),"")</f>
        <v/>
      </c>
      <c r="G639" s="23" t="str">
        <f>IFERROR(INDEX(vdata_regressors!$A$1:$L$2000,MATCH($A639,vdata_regressors!$A$2:$A$2000,0)+1,MATCH(G$2,vdata_regressors!$A$1:$R$1,0)),"")</f>
        <v/>
      </c>
      <c r="H639" s="23" t="str">
        <f>IFERROR(INDEX(vdata_regressors!$A$1:$L$2000,MATCH($A639,vdata_regressors!$A$2:$A$2000,0)+1,MATCH(H$2,vdata_regressors!$A$1:$R$1,0)),"")</f>
        <v/>
      </c>
      <c r="I639" s="23" t="str">
        <f>IFERROR(INDEX(vdata_regressors!$A$1:$L$2000,MATCH($A639,vdata_regressors!$A$2:$A$2000,0)+1,MATCH(I$2,vdata_regressors!$A$1:$R$1,0)),"")</f>
        <v/>
      </c>
      <c r="J639" s="23" t="str">
        <f>IFERROR(INDEX(vdata_regressors!$A$1:$L$2000,MATCH($A639,vdata_regressors!$A$2:$A$2000,0)+1,MATCH(J$2,vdata_regressors!$A$1:$R$1,0)),"")</f>
        <v/>
      </c>
      <c r="K639" s="23" t="str">
        <f>IFERROR(INDEX(vdata_regressors!$A$1:$L$2000,MATCH($A639,vdata_regressors!$A$2:$A$2000,0)+1,MATCH(K$2,vdata_regressors!$A$1:$R$1,0)),"")</f>
        <v/>
      </c>
      <c r="L639" s="23" t="str">
        <f>IFERROR(INDEX(vdata_regressors!$A$1:$L$2000,MATCH($A639,vdata_regressors!$A$2:$A$2000,0)+1,MATCH(L$2,vdata_regressors!$A$1:$R$1,0)),"")</f>
        <v/>
      </c>
      <c r="M639" s="23" t="str">
        <f>IFERROR(VLOOKUP(A639,vdata_hours!$A$2:$B$1000,2,FALSE),"")</f>
        <v/>
      </c>
    </row>
    <row r="640" spans="1:13" x14ac:dyDescent="0.25">
      <c r="A640" s="23" t="str">
        <f>IF(vdata_hours!A639=0,"",vdata_hours!A639)</f>
        <v/>
      </c>
      <c r="B640" s="23" t="str">
        <f>IFERROR(INDEX(vdata_regressors!$A$1:$L$2000,MATCH($A640,vdata_regressors!$A$2:$A$2000,0)+1,MATCH(B$2,vdata_regressors!$A$1:$R$1,0)),"")</f>
        <v/>
      </c>
      <c r="C640" s="23" t="str">
        <f>IFERROR(INDEX(vdata_regressors!$A$1:$L$2000,MATCH($A640,vdata_regressors!$A$2:$A$2000,0)+1,MATCH(C$2,vdata_regressors!$A$1:$R$1,0)),"")</f>
        <v/>
      </c>
      <c r="D640" s="23" t="str">
        <f>IFERROR(INDEX(vdata_regressors!$A$1:$L$2000,MATCH($A640,vdata_regressors!$A$2:$A$2000,0)+1,MATCH(D$2,vdata_regressors!$A$1:$R$1,0)),"")</f>
        <v/>
      </c>
      <c r="E640" s="23" t="str">
        <f>IFERROR(INDEX(vdata_regressors!$A$1:$L$2000,MATCH($A640,vdata_regressors!$A$2:$A$2000,0)+1,MATCH(E$2,vdata_regressors!$A$1:$R$1,0)),"")</f>
        <v/>
      </c>
      <c r="F640" s="23" t="str">
        <f>IFERROR(INDEX(vdata_regressors!$A$1:$L$2000,MATCH($A640,vdata_regressors!$A$2:$A$2000,0)+1,MATCH(F$2,vdata_regressors!$A$1:$R$1,0)),"")</f>
        <v/>
      </c>
      <c r="G640" s="23" t="str">
        <f>IFERROR(INDEX(vdata_regressors!$A$1:$L$2000,MATCH($A640,vdata_regressors!$A$2:$A$2000,0)+1,MATCH(G$2,vdata_regressors!$A$1:$R$1,0)),"")</f>
        <v/>
      </c>
      <c r="H640" s="23" t="str">
        <f>IFERROR(INDEX(vdata_regressors!$A$1:$L$2000,MATCH($A640,vdata_regressors!$A$2:$A$2000,0)+1,MATCH(H$2,vdata_regressors!$A$1:$R$1,0)),"")</f>
        <v/>
      </c>
      <c r="I640" s="23" t="str">
        <f>IFERROR(INDEX(vdata_regressors!$A$1:$L$2000,MATCH($A640,vdata_regressors!$A$2:$A$2000,0)+1,MATCH(I$2,vdata_regressors!$A$1:$R$1,0)),"")</f>
        <v/>
      </c>
      <c r="J640" s="23" t="str">
        <f>IFERROR(INDEX(vdata_regressors!$A$1:$L$2000,MATCH($A640,vdata_regressors!$A$2:$A$2000,0)+1,MATCH(J$2,vdata_regressors!$A$1:$R$1,0)),"")</f>
        <v/>
      </c>
      <c r="K640" s="23" t="str">
        <f>IFERROR(INDEX(vdata_regressors!$A$1:$L$2000,MATCH($A640,vdata_regressors!$A$2:$A$2000,0)+1,MATCH(K$2,vdata_regressors!$A$1:$R$1,0)),"")</f>
        <v/>
      </c>
      <c r="L640" s="23" t="str">
        <f>IFERROR(INDEX(vdata_regressors!$A$1:$L$2000,MATCH($A640,vdata_regressors!$A$2:$A$2000,0)+1,MATCH(L$2,vdata_regressors!$A$1:$R$1,0)),"")</f>
        <v/>
      </c>
      <c r="M640" s="23" t="str">
        <f>IFERROR(VLOOKUP(A640,vdata_hours!$A$2:$B$1000,2,FALSE),"")</f>
        <v/>
      </c>
    </row>
    <row r="641" spans="1:13" x14ac:dyDescent="0.25">
      <c r="A641" s="23" t="str">
        <f>IF(vdata_hours!A640=0,"",vdata_hours!A640)</f>
        <v/>
      </c>
      <c r="B641" s="23" t="str">
        <f>IFERROR(INDEX(vdata_regressors!$A$1:$L$2000,MATCH($A641,vdata_regressors!$A$2:$A$2000,0)+1,MATCH(B$2,vdata_regressors!$A$1:$R$1,0)),"")</f>
        <v/>
      </c>
      <c r="C641" s="23" t="str">
        <f>IFERROR(INDEX(vdata_regressors!$A$1:$L$2000,MATCH($A641,vdata_regressors!$A$2:$A$2000,0)+1,MATCH(C$2,vdata_regressors!$A$1:$R$1,0)),"")</f>
        <v/>
      </c>
      <c r="D641" s="23" t="str">
        <f>IFERROR(INDEX(vdata_regressors!$A$1:$L$2000,MATCH($A641,vdata_regressors!$A$2:$A$2000,0)+1,MATCH(D$2,vdata_regressors!$A$1:$R$1,0)),"")</f>
        <v/>
      </c>
      <c r="E641" s="23" t="str">
        <f>IFERROR(INDEX(vdata_regressors!$A$1:$L$2000,MATCH($A641,vdata_regressors!$A$2:$A$2000,0)+1,MATCH(E$2,vdata_regressors!$A$1:$R$1,0)),"")</f>
        <v/>
      </c>
      <c r="F641" s="23" t="str">
        <f>IFERROR(INDEX(vdata_regressors!$A$1:$L$2000,MATCH($A641,vdata_regressors!$A$2:$A$2000,0)+1,MATCH(F$2,vdata_regressors!$A$1:$R$1,0)),"")</f>
        <v/>
      </c>
      <c r="G641" s="23" t="str">
        <f>IFERROR(INDEX(vdata_regressors!$A$1:$L$2000,MATCH($A641,vdata_regressors!$A$2:$A$2000,0)+1,MATCH(G$2,vdata_regressors!$A$1:$R$1,0)),"")</f>
        <v/>
      </c>
      <c r="H641" s="23" t="str">
        <f>IFERROR(INDEX(vdata_regressors!$A$1:$L$2000,MATCH($A641,vdata_regressors!$A$2:$A$2000,0)+1,MATCH(H$2,vdata_regressors!$A$1:$R$1,0)),"")</f>
        <v/>
      </c>
      <c r="I641" s="23" t="str">
        <f>IFERROR(INDEX(vdata_regressors!$A$1:$L$2000,MATCH($A641,vdata_regressors!$A$2:$A$2000,0)+1,MATCH(I$2,vdata_regressors!$A$1:$R$1,0)),"")</f>
        <v/>
      </c>
      <c r="J641" s="23" t="str">
        <f>IFERROR(INDEX(vdata_regressors!$A$1:$L$2000,MATCH($A641,vdata_regressors!$A$2:$A$2000,0)+1,MATCH(J$2,vdata_regressors!$A$1:$R$1,0)),"")</f>
        <v/>
      </c>
      <c r="K641" s="23" t="str">
        <f>IFERROR(INDEX(vdata_regressors!$A$1:$L$2000,MATCH($A641,vdata_regressors!$A$2:$A$2000,0)+1,MATCH(K$2,vdata_regressors!$A$1:$R$1,0)),"")</f>
        <v/>
      </c>
      <c r="L641" s="23" t="str">
        <f>IFERROR(INDEX(vdata_regressors!$A$1:$L$2000,MATCH($A641,vdata_regressors!$A$2:$A$2000,0)+1,MATCH(L$2,vdata_regressors!$A$1:$R$1,0)),"")</f>
        <v/>
      </c>
      <c r="M641" s="23" t="str">
        <f>IFERROR(VLOOKUP(A641,vdata_hours!$A$2:$B$1000,2,FALSE),"")</f>
        <v/>
      </c>
    </row>
    <row r="642" spans="1:13" x14ac:dyDescent="0.25">
      <c r="A642" s="23" t="str">
        <f>IF(vdata_hours!A641=0,"",vdata_hours!A641)</f>
        <v/>
      </c>
      <c r="B642" s="23" t="str">
        <f>IFERROR(INDEX(vdata_regressors!$A$1:$L$2000,MATCH($A642,vdata_regressors!$A$2:$A$2000,0)+1,MATCH(B$2,vdata_regressors!$A$1:$R$1,0)),"")</f>
        <v/>
      </c>
      <c r="C642" s="23" t="str">
        <f>IFERROR(INDEX(vdata_regressors!$A$1:$L$2000,MATCH($A642,vdata_regressors!$A$2:$A$2000,0)+1,MATCH(C$2,vdata_regressors!$A$1:$R$1,0)),"")</f>
        <v/>
      </c>
      <c r="D642" s="23" t="str">
        <f>IFERROR(INDEX(vdata_regressors!$A$1:$L$2000,MATCH($A642,vdata_regressors!$A$2:$A$2000,0)+1,MATCH(D$2,vdata_regressors!$A$1:$R$1,0)),"")</f>
        <v/>
      </c>
      <c r="E642" s="23" t="str">
        <f>IFERROR(INDEX(vdata_regressors!$A$1:$L$2000,MATCH($A642,vdata_regressors!$A$2:$A$2000,0)+1,MATCH(E$2,vdata_regressors!$A$1:$R$1,0)),"")</f>
        <v/>
      </c>
      <c r="F642" s="23" t="str">
        <f>IFERROR(INDEX(vdata_regressors!$A$1:$L$2000,MATCH($A642,vdata_regressors!$A$2:$A$2000,0)+1,MATCH(F$2,vdata_regressors!$A$1:$R$1,0)),"")</f>
        <v/>
      </c>
      <c r="G642" s="23" t="str">
        <f>IFERROR(INDEX(vdata_regressors!$A$1:$L$2000,MATCH($A642,vdata_regressors!$A$2:$A$2000,0)+1,MATCH(G$2,vdata_regressors!$A$1:$R$1,0)),"")</f>
        <v/>
      </c>
      <c r="H642" s="23" t="str">
        <f>IFERROR(INDEX(vdata_regressors!$A$1:$L$2000,MATCH($A642,vdata_regressors!$A$2:$A$2000,0)+1,MATCH(H$2,vdata_regressors!$A$1:$R$1,0)),"")</f>
        <v/>
      </c>
      <c r="I642" s="23" t="str">
        <f>IFERROR(INDEX(vdata_regressors!$A$1:$L$2000,MATCH($A642,vdata_regressors!$A$2:$A$2000,0)+1,MATCH(I$2,vdata_regressors!$A$1:$R$1,0)),"")</f>
        <v/>
      </c>
      <c r="J642" s="23" t="str">
        <f>IFERROR(INDEX(vdata_regressors!$A$1:$L$2000,MATCH($A642,vdata_regressors!$A$2:$A$2000,0)+1,MATCH(J$2,vdata_regressors!$A$1:$R$1,0)),"")</f>
        <v/>
      </c>
      <c r="K642" s="23" t="str">
        <f>IFERROR(INDEX(vdata_regressors!$A$1:$L$2000,MATCH($A642,vdata_regressors!$A$2:$A$2000,0)+1,MATCH(K$2,vdata_regressors!$A$1:$R$1,0)),"")</f>
        <v/>
      </c>
      <c r="L642" s="23" t="str">
        <f>IFERROR(INDEX(vdata_regressors!$A$1:$L$2000,MATCH($A642,vdata_regressors!$A$2:$A$2000,0)+1,MATCH(L$2,vdata_regressors!$A$1:$R$1,0)),"")</f>
        <v/>
      </c>
      <c r="M642" s="23" t="str">
        <f>IFERROR(VLOOKUP(A642,vdata_hours!$A$2:$B$1000,2,FALSE),"")</f>
        <v/>
      </c>
    </row>
    <row r="643" spans="1:13" x14ac:dyDescent="0.25">
      <c r="A643" s="23" t="str">
        <f>IF(vdata_hours!A642=0,"",vdata_hours!A642)</f>
        <v/>
      </c>
      <c r="B643" s="23" t="str">
        <f>IFERROR(INDEX(vdata_regressors!$A$1:$L$2000,MATCH($A643,vdata_regressors!$A$2:$A$2000,0)+1,MATCH(B$2,vdata_regressors!$A$1:$R$1,0)),"")</f>
        <v/>
      </c>
      <c r="C643" s="23" t="str">
        <f>IFERROR(INDEX(vdata_regressors!$A$1:$L$2000,MATCH($A643,vdata_regressors!$A$2:$A$2000,0)+1,MATCH(C$2,vdata_regressors!$A$1:$R$1,0)),"")</f>
        <v/>
      </c>
      <c r="D643" s="23" t="str">
        <f>IFERROR(INDEX(vdata_regressors!$A$1:$L$2000,MATCH($A643,vdata_regressors!$A$2:$A$2000,0)+1,MATCH(D$2,vdata_regressors!$A$1:$R$1,0)),"")</f>
        <v/>
      </c>
      <c r="E643" s="23" t="str">
        <f>IFERROR(INDEX(vdata_regressors!$A$1:$L$2000,MATCH($A643,vdata_regressors!$A$2:$A$2000,0)+1,MATCH(E$2,vdata_regressors!$A$1:$R$1,0)),"")</f>
        <v/>
      </c>
      <c r="F643" s="23" t="str">
        <f>IFERROR(INDEX(vdata_regressors!$A$1:$L$2000,MATCH($A643,vdata_regressors!$A$2:$A$2000,0)+1,MATCH(F$2,vdata_regressors!$A$1:$R$1,0)),"")</f>
        <v/>
      </c>
      <c r="G643" s="23" t="str">
        <f>IFERROR(INDEX(vdata_regressors!$A$1:$L$2000,MATCH($A643,vdata_regressors!$A$2:$A$2000,0)+1,MATCH(G$2,vdata_regressors!$A$1:$R$1,0)),"")</f>
        <v/>
      </c>
      <c r="H643" s="23" t="str">
        <f>IFERROR(INDEX(vdata_regressors!$A$1:$L$2000,MATCH($A643,vdata_regressors!$A$2:$A$2000,0)+1,MATCH(H$2,vdata_regressors!$A$1:$R$1,0)),"")</f>
        <v/>
      </c>
      <c r="I643" s="23" t="str">
        <f>IFERROR(INDEX(vdata_regressors!$A$1:$L$2000,MATCH($A643,vdata_regressors!$A$2:$A$2000,0)+1,MATCH(I$2,vdata_regressors!$A$1:$R$1,0)),"")</f>
        <v/>
      </c>
      <c r="J643" s="23" t="str">
        <f>IFERROR(INDEX(vdata_regressors!$A$1:$L$2000,MATCH($A643,vdata_regressors!$A$2:$A$2000,0)+1,MATCH(J$2,vdata_regressors!$A$1:$R$1,0)),"")</f>
        <v/>
      </c>
      <c r="K643" s="23" t="str">
        <f>IFERROR(INDEX(vdata_regressors!$A$1:$L$2000,MATCH($A643,vdata_regressors!$A$2:$A$2000,0)+1,MATCH(K$2,vdata_regressors!$A$1:$R$1,0)),"")</f>
        <v/>
      </c>
      <c r="L643" s="23" t="str">
        <f>IFERROR(INDEX(vdata_regressors!$A$1:$L$2000,MATCH($A643,vdata_regressors!$A$2:$A$2000,0)+1,MATCH(L$2,vdata_regressors!$A$1:$R$1,0)),"")</f>
        <v/>
      </c>
      <c r="M643" s="23" t="str">
        <f>IFERROR(VLOOKUP(A643,vdata_hours!$A$2:$B$1000,2,FALSE),"")</f>
        <v/>
      </c>
    </row>
    <row r="644" spans="1:13" x14ac:dyDescent="0.25">
      <c r="A644" s="23" t="str">
        <f>IF(vdata_hours!A643=0,"",vdata_hours!A643)</f>
        <v/>
      </c>
      <c r="B644" s="23" t="str">
        <f>IFERROR(INDEX(vdata_regressors!$A$1:$L$2000,MATCH($A644,vdata_regressors!$A$2:$A$2000,0)+1,MATCH(B$2,vdata_regressors!$A$1:$R$1,0)),"")</f>
        <v/>
      </c>
      <c r="C644" s="23" t="str">
        <f>IFERROR(INDEX(vdata_regressors!$A$1:$L$2000,MATCH($A644,vdata_regressors!$A$2:$A$2000,0)+1,MATCH(C$2,vdata_regressors!$A$1:$R$1,0)),"")</f>
        <v/>
      </c>
      <c r="D644" s="23" t="str">
        <f>IFERROR(INDEX(vdata_regressors!$A$1:$L$2000,MATCH($A644,vdata_regressors!$A$2:$A$2000,0)+1,MATCH(D$2,vdata_regressors!$A$1:$R$1,0)),"")</f>
        <v/>
      </c>
      <c r="E644" s="23" t="str">
        <f>IFERROR(INDEX(vdata_regressors!$A$1:$L$2000,MATCH($A644,vdata_regressors!$A$2:$A$2000,0)+1,MATCH(E$2,vdata_regressors!$A$1:$R$1,0)),"")</f>
        <v/>
      </c>
      <c r="F644" s="23" t="str">
        <f>IFERROR(INDEX(vdata_regressors!$A$1:$L$2000,MATCH($A644,vdata_regressors!$A$2:$A$2000,0)+1,MATCH(F$2,vdata_regressors!$A$1:$R$1,0)),"")</f>
        <v/>
      </c>
      <c r="G644" s="23" t="str">
        <f>IFERROR(INDEX(vdata_regressors!$A$1:$L$2000,MATCH($A644,vdata_regressors!$A$2:$A$2000,0)+1,MATCH(G$2,vdata_regressors!$A$1:$R$1,0)),"")</f>
        <v/>
      </c>
      <c r="H644" s="23" t="str">
        <f>IFERROR(INDEX(vdata_regressors!$A$1:$L$2000,MATCH($A644,vdata_regressors!$A$2:$A$2000,0)+1,MATCH(H$2,vdata_regressors!$A$1:$R$1,0)),"")</f>
        <v/>
      </c>
      <c r="I644" s="23" t="str">
        <f>IFERROR(INDEX(vdata_regressors!$A$1:$L$2000,MATCH($A644,vdata_regressors!$A$2:$A$2000,0)+1,MATCH(I$2,vdata_regressors!$A$1:$R$1,0)),"")</f>
        <v/>
      </c>
      <c r="J644" s="23" t="str">
        <f>IFERROR(INDEX(vdata_regressors!$A$1:$L$2000,MATCH($A644,vdata_regressors!$A$2:$A$2000,0)+1,MATCH(J$2,vdata_regressors!$A$1:$R$1,0)),"")</f>
        <v/>
      </c>
      <c r="K644" s="23" t="str">
        <f>IFERROR(INDEX(vdata_regressors!$A$1:$L$2000,MATCH($A644,vdata_regressors!$A$2:$A$2000,0)+1,MATCH(K$2,vdata_regressors!$A$1:$R$1,0)),"")</f>
        <v/>
      </c>
      <c r="L644" s="23" t="str">
        <f>IFERROR(INDEX(vdata_regressors!$A$1:$L$2000,MATCH($A644,vdata_regressors!$A$2:$A$2000,0)+1,MATCH(L$2,vdata_regressors!$A$1:$R$1,0)),"")</f>
        <v/>
      </c>
      <c r="M644" s="23" t="str">
        <f>IFERROR(VLOOKUP(A644,vdata_hours!$A$2:$B$1000,2,FALSE),"")</f>
        <v/>
      </c>
    </row>
    <row r="645" spans="1:13" x14ac:dyDescent="0.25">
      <c r="A645" s="23" t="str">
        <f>IF(vdata_hours!A644=0,"",vdata_hours!A644)</f>
        <v/>
      </c>
      <c r="B645" s="23" t="str">
        <f>IFERROR(INDEX(vdata_regressors!$A$1:$L$2000,MATCH($A645,vdata_regressors!$A$2:$A$2000,0)+1,MATCH(B$2,vdata_regressors!$A$1:$R$1,0)),"")</f>
        <v/>
      </c>
      <c r="C645" s="23" t="str">
        <f>IFERROR(INDEX(vdata_regressors!$A$1:$L$2000,MATCH($A645,vdata_regressors!$A$2:$A$2000,0)+1,MATCH(C$2,vdata_regressors!$A$1:$R$1,0)),"")</f>
        <v/>
      </c>
      <c r="D645" s="23" t="str">
        <f>IFERROR(INDEX(vdata_regressors!$A$1:$L$2000,MATCH($A645,vdata_regressors!$A$2:$A$2000,0)+1,MATCH(D$2,vdata_regressors!$A$1:$R$1,0)),"")</f>
        <v/>
      </c>
      <c r="E645" s="23" t="str">
        <f>IFERROR(INDEX(vdata_regressors!$A$1:$L$2000,MATCH($A645,vdata_regressors!$A$2:$A$2000,0)+1,MATCH(E$2,vdata_regressors!$A$1:$R$1,0)),"")</f>
        <v/>
      </c>
      <c r="F645" s="23" t="str">
        <f>IFERROR(INDEX(vdata_regressors!$A$1:$L$2000,MATCH($A645,vdata_regressors!$A$2:$A$2000,0)+1,MATCH(F$2,vdata_regressors!$A$1:$R$1,0)),"")</f>
        <v/>
      </c>
      <c r="G645" s="23" t="str">
        <f>IFERROR(INDEX(vdata_regressors!$A$1:$L$2000,MATCH($A645,vdata_regressors!$A$2:$A$2000,0)+1,MATCH(G$2,vdata_regressors!$A$1:$R$1,0)),"")</f>
        <v/>
      </c>
      <c r="H645" s="23" t="str">
        <f>IFERROR(INDEX(vdata_regressors!$A$1:$L$2000,MATCH($A645,vdata_regressors!$A$2:$A$2000,0)+1,MATCH(H$2,vdata_regressors!$A$1:$R$1,0)),"")</f>
        <v/>
      </c>
      <c r="I645" s="23" t="str">
        <f>IFERROR(INDEX(vdata_regressors!$A$1:$L$2000,MATCH($A645,vdata_regressors!$A$2:$A$2000,0)+1,MATCH(I$2,vdata_regressors!$A$1:$R$1,0)),"")</f>
        <v/>
      </c>
      <c r="J645" s="23" t="str">
        <f>IFERROR(INDEX(vdata_regressors!$A$1:$L$2000,MATCH($A645,vdata_regressors!$A$2:$A$2000,0)+1,MATCH(J$2,vdata_regressors!$A$1:$R$1,0)),"")</f>
        <v/>
      </c>
      <c r="K645" s="23" t="str">
        <f>IFERROR(INDEX(vdata_regressors!$A$1:$L$2000,MATCH($A645,vdata_regressors!$A$2:$A$2000,0)+1,MATCH(K$2,vdata_regressors!$A$1:$R$1,0)),"")</f>
        <v/>
      </c>
      <c r="L645" s="23" t="str">
        <f>IFERROR(INDEX(vdata_regressors!$A$1:$L$2000,MATCH($A645,vdata_regressors!$A$2:$A$2000,0)+1,MATCH(L$2,vdata_regressors!$A$1:$R$1,0)),"")</f>
        <v/>
      </c>
      <c r="M645" s="23" t="str">
        <f>IFERROR(VLOOKUP(A645,vdata_hours!$A$2:$B$1000,2,FALSE),"")</f>
        <v/>
      </c>
    </row>
    <row r="646" spans="1:13" x14ac:dyDescent="0.25">
      <c r="A646" s="23" t="str">
        <f>IF(vdata_hours!A645=0,"",vdata_hours!A645)</f>
        <v/>
      </c>
      <c r="B646" s="23" t="str">
        <f>IFERROR(INDEX(vdata_regressors!$A$1:$L$2000,MATCH($A646,vdata_regressors!$A$2:$A$2000,0)+1,MATCH(B$2,vdata_regressors!$A$1:$R$1,0)),"")</f>
        <v/>
      </c>
      <c r="C646" s="23" t="str">
        <f>IFERROR(INDEX(vdata_regressors!$A$1:$L$2000,MATCH($A646,vdata_regressors!$A$2:$A$2000,0)+1,MATCH(C$2,vdata_regressors!$A$1:$R$1,0)),"")</f>
        <v/>
      </c>
      <c r="D646" s="23" t="str">
        <f>IFERROR(INDEX(vdata_regressors!$A$1:$L$2000,MATCH($A646,vdata_regressors!$A$2:$A$2000,0)+1,MATCH(D$2,vdata_regressors!$A$1:$R$1,0)),"")</f>
        <v/>
      </c>
      <c r="E646" s="23" t="str">
        <f>IFERROR(INDEX(vdata_regressors!$A$1:$L$2000,MATCH($A646,vdata_regressors!$A$2:$A$2000,0)+1,MATCH(E$2,vdata_regressors!$A$1:$R$1,0)),"")</f>
        <v/>
      </c>
      <c r="F646" s="23" t="str">
        <f>IFERROR(INDEX(vdata_regressors!$A$1:$L$2000,MATCH($A646,vdata_regressors!$A$2:$A$2000,0)+1,MATCH(F$2,vdata_regressors!$A$1:$R$1,0)),"")</f>
        <v/>
      </c>
      <c r="G646" s="23" t="str">
        <f>IFERROR(INDEX(vdata_regressors!$A$1:$L$2000,MATCH($A646,vdata_regressors!$A$2:$A$2000,0)+1,MATCH(G$2,vdata_regressors!$A$1:$R$1,0)),"")</f>
        <v/>
      </c>
      <c r="H646" s="23" t="str">
        <f>IFERROR(INDEX(vdata_regressors!$A$1:$L$2000,MATCH($A646,vdata_regressors!$A$2:$A$2000,0)+1,MATCH(H$2,vdata_regressors!$A$1:$R$1,0)),"")</f>
        <v/>
      </c>
      <c r="I646" s="23" t="str">
        <f>IFERROR(INDEX(vdata_regressors!$A$1:$L$2000,MATCH($A646,vdata_regressors!$A$2:$A$2000,0)+1,MATCH(I$2,vdata_regressors!$A$1:$R$1,0)),"")</f>
        <v/>
      </c>
      <c r="J646" s="23" t="str">
        <f>IFERROR(INDEX(vdata_regressors!$A$1:$L$2000,MATCH($A646,vdata_regressors!$A$2:$A$2000,0)+1,MATCH(J$2,vdata_regressors!$A$1:$R$1,0)),"")</f>
        <v/>
      </c>
      <c r="K646" s="23" t="str">
        <f>IFERROR(INDEX(vdata_regressors!$A$1:$L$2000,MATCH($A646,vdata_regressors!$A$2:$A$2000,0)+1,MATCH(K$2,vdata_regressors!$A$1:$R$1,0)),"")</f>
        <v/>
      </c>
      <c r="L646" s="23" t="str">
        <f>IFERROR(INDEX(vdata_regressors!$A$1:$L$2000,MATCH($A646,vdata_regressors!$A$2:$A$2000,0)+1,MATCH(L$2,vdata_regressors!$A$1:$R$1,0)),"")</f>
        <v/>
      </c>
      <c r="M646" s="23" t="str">
        <f>IFERROR(VLOOKUP(A646,vdata_hours!$A$2:$B$1000,2,FALSE),"")</f>
        <v/>
      </c>
    </row>
    <row r="647" spans="1:13" x14ac:dyDescent="0.25">
      <c r="A647" s="23" t="str">
        <f>IF(vdata_hours!A646=0,"",vdata_hours!A646)</f>
        <v/>
      </c>
      <c r="B647" s="23" t="str">
        <f>IFERROR(INDEX(vdata_regressors!$A$1:$L$2000,MATCH($A647,vdata_regressors!$A$2:$A$2000,0)+1,MATCH(B$2,vdata_regressors!$A$1:$R$1,0)),"")</f>
        <v/>
      </c>
      <c r="C647" s="23" t="str">
        <f>IFERROR(INDEX(vdata_regressors!$A$1:$L$2000,MATCH($A647,vdata_regressors!$A$2:$A$2000,0)+1,MATCH(C$2,vdata_regressors!$A$1:$R$1,0)),"")</f>
        <v/>
      </c>
      <c r="D647" s="23" t="str">
        <f>IFERROR(INDEX(vdata_regressors!$A$1:$L$2000,MATCH($A647,vdata_regressors!$A$2:$A$2000,0)+1,MATCH(D$2,vdata_regressors!$A$1:$R$1,0)),"")</f>
        <v/>
      </c>
      <c r="E647" s="23" t="str">
        <f>IFERROR(INDEX(vdata_regressors!$A$1:$L$2000,MATCH($A647,vdata_regressors!$A$2:$A$2000,0)+1,MATCH(E$2,vdata_regressors!$A$1:$R$1,0)),"")</f>
        <v/>
      </c>
      <c r="F647" s="23" t="str">
        <f>IFERROR(INDEX(vdata_regressors!$A$1:$L$2000,MATCH($A647,vdata_regressors!$A$2:$A$2000,0)+1,MATCH(F$2,vdata_regressors!$A$1:$R$1,0)),"")</f>
        <v/>
      </c>
      <c r="G647" s="23" t="str">
        <f>IFERROR(INDEX(vdata_regressors!$A$1:$L$2000,MATCH($A647,vdata_regressors!$A$2:$A$2000,0)+1,MATCH(G$2,vdata_regressors!$A$1:$R$1,0)),"")</f>
        <v/>
      </c>
      <c r="H647" s="23" t="str">
        <f>IFERROR(INDEX(vdata_regressors!$A$1:$L$2000,MATCH($A647,vdata_regressors!$A$2:$A$2000,0)+1,MATCH(H$2,vdata_regressors!$A$1:$R$1,0)),"")</f>
        <v/>
      </c>
      <c r="I647" s="23" t="str">
        <f>IFERROR(INDEX(vdata_regressors!$A$1:$L$2000,MATCH($A647,vdata_regressors!$A$2:$A$2000,0)+1,MATCH(I$2,vdata_regressors!$A$1:$R$1,0)),"")</f>
        <v/>
      </c>
      <c r="J647" s="23" t="str">
        <f>IFERROR(INDEX(vdata_regressors!$A$1:$L$2000,MATCH($A647,vdata_regressors!$A$2:$A$2000,0)+1,MATCH(J$2,vdata_regressors!$A$1:$R$1,0)),"")</f>
        <v/>
      </c>
      <c r="K647" s="23" t="str">
        <f>IFERROR(INDEX(vdata_regressors!$A$1:$L$2000,MATCH($A647,vdata_regressors!$A$2:$A$2000,0)+1,MATCH(K$2,vdata_regressors!$A$1:$R$1,0)),"")</f>
        <v/>
      </c>
      <c r="L647" s="23" t="str">
        <f>IFERROR(INDEX(vdata_regressors!$A$1:$L$2000,MATCH($A647,vdata_regressors!$A$2:$A$2000,0)+1,MATCH(L$2,vdata_regressors!$A$1:$R$1,0)),"")</f>
        <v/>
      </c>
      <c r="M647" s="23" t="str">
        <f>IFERROR(VLOOKUP(A647,vdata_hours!$A$2:$B$1000,2,FALSE),"")</f>
        <v/>
      </c>
    </row>
    <row r="648" spans="1:13" x14ac:dyDescent="0.25">
      <c r="A648" s="23" t="str">
        <f>IF(vdata_hours!A647=0,"",vdata_hours!A647)</f>
        <v/>
      </c>
      <c r="B648" s="23" t="str">
        <f>IFERROR(INDEX(vdata_regressors!$A$1:$L$2000,MATCH($A648,vdata_regressors!$A$2:$A$2000,0)+1,MATCH(B$2,vdata_regressors!$A$1:$R$1,0)),"")</f>
        <v/>
      </c>
      <c r="C648" s="23" t="str">
        <f>IFERROR(INDEX(vdata_regressors!$A$1:$L$2000,MATCH($A648,vdata_regressors!$A$2:$A$2000,0)+1,MATCH(C$2,vdata_regressors!$A$1:$R$1,0)),"")</f>
        <v/>
      </c>
      <c r="D648" s="23" t="str">
        <f>IFERROR(INDEX(vdata_regressors!$A$1:$L$2000,MATCH($A648,vdata_regressors!$A$2:$A$2000,0)+1,MATCH(D$2,vdata_regressors!$A$1:$R$1,0)),"")</f>
        <v/>
      </c>
      <c r="E648" s="23" t="str">
        <f>IFERROR(INDEX(vdata_regressors!$A$1:$L$2000,MATCH($A648,vdata_regressors!$A$2:$A$2000,0)+1,MATCH(E$2,vdata_regressors!$A$1:$R$1,0)),"")</f>
        <v/>
      </c>
      <c r="F648" s="23" t="str">
        <f>IFERROR(INDEX(vdata_regressors!$A$1:$L$2000,MATCH($A648,vdata_regressors!$A$2:$A$2000,0)+1,MATCH(F$2,vdata_regressors!$A$1:$R$1,0)),"")</f>
        <v/>
      </c>
      <c r="G648" s="23" t="str">
        <f>IFERROR(INDEX(vdata_regressors!$A$1:$L$2000,MATCH($A648,vdata_regressors!$A$2:$A$2000,0)+1,MATCH(G$2,vdata_regressors!$A$1:$R$1,0)),"")</f>
        <v/>
      </c>
      <c r="H648" s="23" t="str">
        <f>IFERROR(INDEX(vdata_regressors!$A$1:$L$2000,MATCH($A648,vdata_regressors!$A$2:$A$2000,0)+1,MATCH(H$2,vdata_regressors!$A$1:$R$1,0)),"")</f>
        <v/>
      </c>
      <c r="I648" s="23" t="str">
        <f>IFERROR(INDEX(vdata_regressors!$A$1:$L$2000,MATCH($A648,vdata_regressors!$A$2:$A$2000,0)+1,MATCH(I$2,vdata_regressors!$A$1:$R$1,0)),"")</f>
        <v/>
      </c>
      <c r="J648" s="23" t="str">
        <f>IFERROR(INDEX(vdata_regressors!$A$1:$L$2000,MATCH($A648,vdata_regressors!$A$2:$A$2000,0)+1,MATCH(J$2,vdata_regressors!$A$1:$R$1,0)),"")</f>
        <v/>
      </c>
      <c r="K648" s="23" t="str">
        <f>IFERROR(INDEX(vdata_regressors!$A$1:$L$2000,MATCH($A648,vdata_regressors!$A$2:$A$2000,0)+1,MATCH(K$2,vdata_regressors!$A$1:$R$1,0)),"")</f>
        <v/>
      </c>
      <c r="L648" s="23" t="str">
        <f>IFERROR(INDEX(vdata_regressors!$A$1:$L$2000,MATCH($A648,vdata_regressors!$A$2:$A$2000,0)+1,MATCH(L$2,vdata_regressors!$A$1:$R$1,0)),"")</f>
        <v/>
      </c>
      <c r="M648" s="23" t="str">
        <f>IFERROR(VLOOKUP(A648,vdata_hours!$A$2:$B$1000,2,FALSE),"")</f>
        <v/>
      </c>
    </row>
    <row r="649" spans="1:13" x14ac:dyDescent="0.25">
      <c r="A649" s="23" t="str">
        <f>IF(vdata_hours!A648=0,"",vdata_hours!A648)</f>
        <v/>
      </c>
      <c r="B649" s="23" t="str">
        <f>IFERROR(INDEX(vdata_regressors!$A$1:$L$2000,MATCH($A649,vdata_regressors!$A$2:$A$2000,0)+1,MATCH(B$2,vdata_regressors!$A$1:$R$1,0)),"")</f>
        <v/>
      </c>
      <c r="C649" s="23" t="str">
        <f>IFERROR(INDEX(vdata_regressors!$A$1:$L$2000,MATCH($A649,vdata_regressors!$A$2:$A$2000,0)+1,MATCH(C$2,vdata_regressors!$A$1:$R$1,0)),"")</f>
        <v/>
      </c>
      <c r="D649" s="23" t="str">
        <f>IFERROR(INDEX(vdata_regressors!$A$1:$L$2000,MATCH($A649,vdata_regressors!$A$2:$A$2000,0)+1,MATCH(D$2,vdata_regressors!$A$1:$R$1,0)),"")</f>
        <v/>
      </c>
      <c r="E649" s="23" t="str">
        <f>IFERROR(INDEX(vdata_regressors!$A$1:$L$2000,MATCH($A649,vdata_regressors!$A$2:$A$2000,0)+1,MATCH(E$2,vdata_regressors!$A$1:$R$1,0)),"")</f>
        <v/>
      </c>
      <c r="F649" s="23" t="str">
        <f>IFERROR(INDEX(vdata_regressors!$A$1:$L$2000,MATCH($A649,vdata_regressors!$A$2:$A$2000,0)+1,MATCH(F$2,vdata_regressors!$A$1:$R$1,0)),"")</f>
        <v/>
      </c>
      <c r="G649" s="23" t="str">
        <f>IFERROR(INDEX(vdata_regressors!$A$1:$L$2000,MATCH($A649,vdata_regressors!$A$2:$A$2000,0)+1,MATCH(G$2,vdata_regressors!$A$1:$R$1,0)),"")</f>
        <v/>
      </c>
      <c r="H649" s="23" t="str">
        <f>IFERROR(INDEX(vdata_regressors!$A$1:$L$2000,MATCH($A649,vdata_regressors!$A$2:$A$2000,0)+1,MATCH(H$2,vdata_regressors!$A$1:$R$1,0)),"")</f>
        <v/>
      </c>
      <c r="I649" s="23" t="str">
        <f>IFERROR(INDEX(vdata_regressors!$A$1:$L$2000,MATCH($A649,vdata_regressors!$A$2:$A$2000,0)+1,MATCH(I$2,vdata_regressors!$A$1:$R$1,0)),"")</f>
        <v/>
      </c>
      <c r="J649" s="23" t="str">
        <f>IFERROR(INDEX(vdata_regressors!$A$1:$L$2000,MATCH($A649,vdata_regressors!$A$2:$A$2000,0)+1,MATCH(J$2,vdata_regressors!$A$1:$R$1,0)),"")</f>
        <v/>
      </c>
      <c r="K649" s="23" t="str">
        <f>IFERROR(INDEX(vdata_regressors!$A$1:$L$2000,MATCH($A649,vdata_regressors!$A$2:$A$2000,0)+1,MATCH(K$2,vdata_regressors!$A$1:$R$1,0)),"")</f>
        <v/>
      </c>
      <c r="L649" s="23" t="str">
        <f>IFERROR(INDEX(vdata_regressors!$A$1:$L$2000,MATCH($A649,vdata_regressors!$A$2:$A$2000,0)+1,MATCH(L$2,vdata_regressors!$A$1:$R$1,0)),"")</f>
        <v/>
      </c>
      <c r="M649" s="23" t="str">
        <f>IFERROR(VLOOKUP(A649,vdata_hours!$A$2:$B$1000,2,FALSE),"")</f>
        <v/>
      </c>
    </row>
    <row r="650" spans="1:13" x14ac:dyDescent="0.25">
      <c r="A650" s="23" t="str">
        <f>IF(vdata_hours!A649=0,"",vdata_hours!A649)</f>
        <v/>
      </c>
      <c r="B650" s="23" t="str">
        <f>IFERROR(INDEX(vdata_regressors!$A$1:$L$2000,MATCH($A650,vdata_regressors!$A$2:$A$2000,0)+1,MATCH(B$2,vdata_regressors!$A$1:$R$1,0)),"")</f>
        <v/>
      </c>
      <c r="C650" s="23" t="str">
        <f>IFERROR(INDEX(vdata_regressors!$A$1:$L$2000,MATCH($A650,vdata_regressors!$A$2:$A$2000,0)+1,MATCH(C$2,vdata_regressors!$A$1:$R$1,0)),"")</f>
        <v/>
      </c>
      <c r="D650" s="23" t="str">
        <f>IFERROR(INDEX(vdata_regressors!$A$1:$L$2000,MATCH($A650,vdata_regressors!$A$2:$A$2000,0)+1,MATCH(D$2,vdata_regressors!$A$1:$R$1,0)),"")</f>
        <v/>
      </c>
      <c r="E650" s="23" t="str">
        <f>IFERROR(INDEX(vdata_regressors!$A$1:$L$2000,MATCH($A650,vdata_regressors!$A$2:$A$2000,0)+1,MATCH(E$2,vdata_regressors!$A$1:$R$1,0)),"")</f>
        <v/>
      </c>
      <c r="F650" s="23" t="str">
        <f>IFERROR(INDEX(vdata_regressors!$A$1:$L$2000,MATCH($A650,vdata_regressors!$A$2:$A$2000,0)+1,MATCH(F$2,vdata_regressors!$A$1:$R$1,0)),"")</f>
        <v/>
      </c>
      <c r="G650" s="23" t="str">
        <f>IFERROR(INDEX(vdata_regressors!$A$1:$L$2000,MATCH($A650,vdata_regressors!$A$2:$A$2000,0)+1,MATCH(G$2,vdata_regressors!$A$1:$R$1,0)),"")</f>
        <v/>
      </c>
      <c r="H650" s="23" t="str">
        <f>IFERROR(INDEX(vdata_regressors!$A$1:$L$2000,MATCH($A650,vdata_regressors!$A$2:$A$2000,0)+1,MATCH(H$2,vdata_regressors!$A$1:$R$1,0)),"")</f>
        <v/>
      </c>
      <c r="I650" s="23" t="str">
        <f>IFERROR(INDEX(vdata_regressors!$A$1:$L$2000,MATCH($A650,vdata_regressors!$A$2:$A$2000,0)+1,MATCH(I$2,vdata_regressors!$A$1:$R$1,0)),"")</f>
        <v/>
      </c>
      <c r="J650" s="23" t="str">
        <f>IFERROR(INDEX(vdata_regressors!$A$1:$L$2000,MATCH($A650,vdata_regressors!$A$2:$A$2000,0)+1,MATCH(J$2,vdata_regressors!$A$1:$R$1,0)),"")</f>
        <v/>
      </c>
      <c r="K650" s="23" t="str">
        <f>IFERROR(INDEX(vdata_regressors!$A$1:$L$2000,MATCH($A650,vdata_regressors!$A$2:$A$2000,0)+1,MATCH(K$2,vdata_regressors!$A$1:$R$1,0)),"")</f>
        <v/>
      </c>
      <c r="L650" s="23" t="str">
        <f>IFERROR(INDEX(vdata_regressors!$A$1:$L$2000,MATCH($A650,vdata_regressors!$A$2:$A$2000,0)+1,MATCH(L$2,vdata_regressors!$A$1:$R$1,0)),"")</f>
        <v/>
      </c>
      <c r="M650" s="23" t="str">
        <f>IFERROR(VLOOKUP(A650,vdata_hours!$A$2:$B$1000,2,FALSE),"")</f>
        <v/>
      </c>
    </row>
    <row r="651" spans="1:13" x14ac:dyDescent="0.25">
      <c r="A651" s="23" t="str">
        <f>IF(vdata_hours!A650=0,"",vdata_hours!A650)</f>
        <v/>
      </c>
      <c r="B651" s="23" t="str">
        <f>IFERROR(INDEX(vdata_regressors!$A$1:$L$2000,MATCH($A651,vdata_regressors!$A$2:$A$2000,0)+1,MATCH(B$2,vdata_regressors!$A$1:$R$1,0)),"")</f>
        <v/>
      </c>
      <c r="C651" s="23" t="str">
        <f>IFERROR(INDEX(vdata_regressors!$A$1:$L$2000,MATCH($A651,vdata_regressors!$A$2:$A$2000,0)+1,MATCH(C$2,vdata_regressors!$A$1:$R$1,0)),"")</f>
        <v/>
      </c>
      <c r="D651" s="23" t="str">
        <f>IFERROR(INDEX(vdata_regressors!$A$1:$L$2000,MATCH($A651,vdata_regressors!$A$2:$A$2000,0)+1,MATCH(D$2,vdata_regressors!$A$1:$R$1,0)),"")</f>
        <v/>
      </c>
      <c r="E651" s="23" t="str">
        <f>IFERROR(INDEX(vdata_regressors!$A$1:$L$2000,MATCH($A651,vdata_regressors!$A$2:$A$2000,0)+1,MATCH(E$2,vdata_regressors!$A$1:$R$1,0)),"")</f>
        <v/>
      </c>
      <c r="F651" s="23" t="str">
        <f>IFERROR(INDEX(vdata_regressors!$A$1:$L$2000,MATCH($A651,vdata_regressors!$A$2:$A$2000,0)+1,MATCH(F$2,vdata_regressors!$A$1:$R$1,0)),"")</f>
        <v/>
      </c>
      <c r="G651" s="23" t="str">
        <f>IFERROR(INDEX(vdata_regressors!$A$1:$L$2000,MATCH($A651,vdata_regressors!$A$2:$A$2000,0)+1,MATCH(G$2,vdata_regressors!$A$1:$R$1,0)),"")</f>
        <v/>
      </c>
      <c r="H651" s="23" t="str">
        <f>IFERROR(INDEX(vdata_regressors!$A$1:$L$2000,MATCH($A651,vdata_regressors!$A$2:$A$2000,0)+1,MATCH(H$2,vdata_regressors!$A$1:$R$1,0)),"")</f>
        <v/>
      </c>
      <c r="I651" s="23" t="str">
        <f>IFERROR(INDEX(vdata_regressors!$A$1:$L$2000,MATCH($A651,vdata_regressors!$A$2:$A$2000,0)+1,MATCH(I$2,vdata_regressors!$A$1:$R$1,0)),"")</f>
        <v/>
      </c>
      <c r="J651" s="23" t="str">
        <f>IFERROR(INDEX(vdata_regressors!$A$1:$L$2000,MATCH($A651,vdata_regressors!$A$2:$A$2000,0)+1,MATCH(J$2,vdata_regressors!$A$1:$R$1,0)),"")</f>
        <v/>
      </c>
      <c r="K651" s="23" t="str">
        <f>IFERROR(INDEX(vdata_regressors!$A$1:$L$2000,MATCH($A651,vdata_regressors!$A$2:$A$2000,0)+1,MATCH(K$2,vdata_regressors!$A$1:$R$1,0)),"")</f>
        <v/>
      </c>
      <c r="L651" s="23" t="str">
        <f>IFERROR(INDEX(vdata_regressors!$A$1:$L$2000,MATCH($A651,vdata_regressors!$A$2:$A$2000,0)+1,MATCH(L$2,vdata_regressors!$A$1:$R$1,0)),"")</f>
        <v/>
      </c>
      <c r="M651" s="23" t="str">
        <f>IFERROR(VLOOKUP(A651,vdata_hours!$A$2:$B$1000,2,FALSE),"")</f>
        <v/>
      </c>
    </row>
    <row r="652" spans="1:13" x14ac:dyDescent="0.25">
      <c r="A652" s="23" t="str">
        <f>IF(vdata_hours!A651=0,"",vdata_hours!A651)</f>
        <v/>
      </c>
      <c r="B652" s="23" t="str">
        <f>IFERROR(INDEX(vdata_regressors!$A$1:$L$2000,MATCH($A652,vdata_regressors!$A$2:$A$2000,0)+1,MATCH(B$2,vdata_regressors!$A$1:$R$1,0)),"")</f>
        <v/>
      </c>
      <c r="C652" s="23" t="str">
        <f>IFERROR(INDEX(vdata_regressors!$A$1:$L$2000,MATCH($A652,vdata_regressors!$A$2:$A$2000,0)+1,MATCH(C$2,vdata_regressors!$A$1:$R$1,0)),"")</f>
        <v/>
      </c>
      <c r="D652" s="23" t="str">
        <f>IFERROR(INDEX(vdata_regressors!$A$1:$L$2000,MATCH($A652,vdata_regressors!$A$2:$A$2000,0)+1,MATCH(D$2,vdata_regressors!$A$1:$R$1,0)),"")</f>
        <v/>
      </c>
      <c r="E652" s="23" t="str">
        <f>IFERROR(INDEX(vdata_regressors!$A$1:$L$2000,MATCH($A652,vdata_regressors!$A$2:$A$2000,0)+1,MATCH(E$2,vdata_regressors!$A$1:$R$1,0)),"")</f>
        <v/>
      </c>
      <c r="F652" s="23" t="str">
        <f>IFERROR(INDEX(vdata_regressors!$A$1:$L$2000,MATCH($A652,vdata_regressors!$A$2:$A$2000,0)+1,MATCH(F$2,vdata_regressors!$A$1:$R$1,0)),"")</f>
        <v/>
      </c>
      <c r="G652" s="23" t="str">
        <f>IFERROR(INDEX(vdata_regressors!$A$1:$L$2000,MATCH($A652,vdata_regressors!$A$2:$A$2000,0)+1,MATCH(G$2,vdata_regressors!$A$1:$R$1,0)),"")</f>
        <v/>
      </c>
      <c r="H652" s="23" t="str">
        <f>IFERROR(INDEX(vdata_regressors!$A$1:$L$2000,MATCH($A652,vdata_regressors!$A$2:$A$2000,0)+1,MATCH(H$2,vdata_regressors!$A$1:$R$1,0)),"")</f>
        <v/>
      </c>
      <c r="I652" s="23" t="str">
        <f>IFERROR(INDEX(vdata_regressors!$A$1:$L$2000,MATCH($A652,vdata_regressors!$A$2:$A$2000,0)+1,MATCH(I$2,vdata_regressors!$A$1:$R$1,0)),"")</f>
        <v/>
      </c>
      <c r="J652" s="23" t="str">
        <f>IFERROR(INDEX(vdata_regressors!$A$1:$L$2000,MATCH($A652,vdata_regressors!$A$2:$A$2000,0)+1,MATCH(J$2,vdata_regressors!$A$1:$R$1,0)),"")</f>
        <v/>
      </c>
      <c r="K652" s="23" t="str">
        <f>IFERROR(INDEX(vdata_regressors!$A$1:$L$2000,MATCH($A652,vdata_regressors!$A$2:$A$2000,0)+1,MATCH(K$2,vdata_regressors!$A$1:$R$1,0)),"")</f>
        <v/>
      </c>
      <c r="L652" s="23" t="str">
        <f>IFERROR(INDEX(vdata_regressors!$A$1:$L$2000,MATCH($A652,vdata_regressors!$A$2:$A$2000,0)+1,MATCH(L$2,vdata_regressors!$A$1:$R$1,0)),"")</f>
        <v/>
      </c>
      <c r="M652" s="23" t="str">
        <f>IFERROR(VLOOKUP(A652,vdata_hours!$A$2:$B$1000,2,FALSE),"")</f>
        <v/>
      </c>
    </row>
    <row r="653" spans="1:13" x14ac:dyDescent="0.25">
      <c r="A653" s="23" t="str">
        <f>IF(vdata_hours!A652=0,"",vdata_hours!A652)</f>
        <v/>
      </c>
      <c r="B653" s="23" t="str">
        <f>IFERROR(INDEX(vdata_regressors!$A$1:$L$2000,MATCH($A653,vdata_regressors!$A$2:$A$2000,0)+1,MATCH(B$2,vdata_regressors!$A$1:$R$1,0)),"")</f>
        <v/>
      </c>
      <c r="C653" s="23" t="str">
        <f>IFERROR(INDEX(vdata_regressors!$A$1:$L$2000,MATCH($A653,vdata_regressors!$A$2:$A$2000,0)+1,MATCH(C$2,vdata_regressors!$A$1:$R$1,0)),"")</f>
        <v/>
      </c>
      <c r="D653" s="23" t="str">
        <f>IFERROR(INDEX(vdata_regressors!$A$1:$L$2000,MATCH($A653,vdata_regressors!$A$2:$A$2000,0)+1,MATCH(D$2,vdata_regressors!$A$1:$R$1,0)),"")</f>
        <v/>
      </c>
      <c r="E653" s="23" t="str">
        <f>IFERROR(INDEX(vdata_regressors!$A$1:$L$2000,MATCH($A653,vdata_regressors!$A$2:$A$2000,0)+1,MATCH(E$2,vdata_regressors!$A$1:$R$1,0)),"")</f>
        <v/>
      </c>
      <c r="F653" s="23" t="str">
        <f>IFERROR(INDEX(vdata_regressors!$A$1:$L$2000,MATCH($A653,vdata_regressors!$A$2:$A$2000,0)+1,MATCH(F$2,vdata_regressors!$A$1:$R$1,0)),"")</f>
        <v/>
      </c>
      <c r="G653" s="23" t="str">
        <f>IFERROR(INDEX(vdata_regressors!$A$1:$L$2000,MATCH($A653,vdata_regressors!$A$2:$A$2000,0)+1,MATCH(G$2,vdata_regressors!$A$1:$R$1,0)),"")</f>
        <v/>
      </c>
      <c r="H653" s="23" t="str">
        <f>IFERROR(INDEX(vdata_regressors!$A$1:$L$2000,MATCH($A653,vdata_regressors!$A$2:$A$2000,0)+1,MATCH(H$2,vdata_regressors!$A$1:$R$1,0)),"")</f>
        <v/>
      </c>
      <c r="I653" s="23" t="str">
        <f>IFERROR(INDEX(vdata_regressors!$A$1:$L$2000,MATCH($A653,vdata_regressors!$A$2:$A$2000,0)+1,MATCH(I$2,vdata_regressors!$A$1:$R$1,0)),"")</f>
        <v/>
      </c>
      <c r="J653" s="23" t="str">
        <f>IFERROR(INDEX(vdata_regressors!$A$1:$L$2000,MATCH($A653,vdata_regressors!$A$2:$A$2000,0)+1,MATCH(J$2,vdata_regressors!$A$1:$R$1,0)),"")</f>
        <v/>
      </c>
      <c r="K653" s="23" t="str">
        <f>IFERROR(INDEX(vdata_regressors!$A$1:$L$2000,MATCH($A653,vdata_regressors!$A$2:$A$2000,0)+1,MATCH(K$2,vdata_regressors!$A$1:$R$1,0)),"")</f>
        <v/>
      </c>
      <c r="L653" s="23" t="str">
        <f>IFERROR(INDEX(vdata_regressors!$A$1:$L$2000,MATCH($A653,vdata_regressors!$A$2:$A$2000,0)+1,MATCH(L$2,vdata_regressors!$A$1:$R$1,0)),"")</f>
        <v/>
      </c>
      <c r="M653" s="23" t="str">
        <f>IFERROR(VLOOKUP(A653,vdata_hours!$A$2:$B$1000,2,FALSE),"")</f>
        <v/>
      </c>
    </row>
    <row r="654" spans="1:13" x14ac:dyDescent="0.25">
      <c r="A654" s="23" t="str">
        <f>IF(vdata_hours!A653=0,"",vdata_hours!A653)</f>
        <v/>
      </c>
      <c r="B654" s="23" t="str">
        <f>IFERROR(INDEX(vdata_regressors!$A$1:$L$2000,MATCH($A654,vdata_regressors!$A$2:$A$2000,0)+1,MATCH(B$2,vdata_regressors!$A$1:$R$1,0)),"")</f>
        <v/>
      </c>
      <c r="C654" s="23" t="str">
        <f>IFERROR(INDEX(vdata_regressors!$A$1:$L$2000,MATCH($A654,vdata_regressors!$A$2:$A$2000,0)+1,MATCH(C$2,vdata_regressors!$A$1:$R$1,0)),"")</f>
        <v/>
      </c>
      <c r="D654" s="23" t="str">
        <f>IFERROR(INDEX(vdata_regressors!$A$1:$L$2000,MATCH($A654,vdata_regressors!$A$2:$A$2000,0)+1,MATCH(D$2,vdata_regressors!$A$1:$R$1,0)),"")</f>
        <v/>
      </c>
      <c r="E654" s="23" t="str">
        <f>IFERROR(INDEX(vdata_regressors!$A$1:$L$2000,MATCH($A654,vdata_regressors!$A$2:$A$2000,0)+1,MATCH(E$2,vdata_regressors!$A$1:$R$1,0)),"")</f>
        <v/>
      </c>
      <c r="F654" s="23" t="str">
        <f>IFERROR(INDEX(vdata_regressors!$A$1:$L$2000,MATCH($A654,vdata_regressors!$A$2:$A$2000,0)+1,MATCH(F$2,vdata_regressors!$A$1:$R$1,0)),"")</f>
        <v/>
      </c>
      <c r="G654" s="23" t="str">
        <f>IFERROR(INDEX(vdata_regressors!$A$1:$L$2000,MATCH($A654,vdata_regressors!$A$2:$A$2000,0)+1,MATCH(G$2,vdata_regressors!$A$1:$R$1,0)),"")</f>
        <v/>
      </c>
      <c r="H654" s="23" t="str">
        <f>IFERROR(INDEX(vdata_regressors!$A$1:$L$2000,MATCH($A654,vdata_regressors!$A$2:$A$2000,0)+1,MATCH(H$2,vdata_regressors!$A$1:$R$1,0)),"")</f>
        <v/>
      </c>
      <c r="I654" s="23" t="str">
        <f>IFERROR(INDEX(vdata_regressors!$A$1:$L$2000,MATCH($A654,vdata_regressors!$A$2:$A$2000,0)+1,MATCH(I$2,vdata_regressors!$A$1:$R$1,0)),"")</f>
        <v/>
      </c>
      <c r="J654" s="23" t="str">
        <f>IFERROR(INDEX(vdata_regressors!$A$1:$L$2000,MATCH($A654,vdata_regressors!$A$2:$A$2000,0)+1,MATCH(J$2,vdata_regressors!$A$1:$R$1,0)),"")</f>
        <v/>
      </c>
      <c r="K654" s="23" t="str">
        <f>IFERROR(INDEX(vdata_regressors!$A$1:$L$2000,MATCH($A654,vdata_regressors!$A$2:$A$2000,0)+1,MATCH(K$2,vdata_regressors!$A$1:$R$1,0)),"")</f>
        <v/>
      </c>
      <c r="L654" s="23" t="str">
        <f>IFERROR(INDEX(vdata_regressors!$A$1:$L$2000,MATCH($A654,vdata_regressors!$A$2:$A$2000,0)+1,MATCH(L$2,vdata_regressors!$A$1:$R$1,0)),"")</f>
        <v/>
      </c>
      <c r="M654" s="23" t="str">
        <f>IFERROR(VLOOKUP(A654,vdata_hours!$A$2:$B$1000,2,FALSE),"")</f>
        <v/>
      </c>
    </row>
    <row r="655" spans="1:13" x14ac:dyDescent="0.25">
      <c r="A655" s="23" t="str">
        <f>IF(vdata_hours!A654=0,"",vdata_hours!A654)</f>
        <v/>
      </c>
      <c r="B655" s="23" t="str">
        <f>IFERROR(INDEX(vdata_regressors!$A$1:$L$2000,MATCH($A655,vdata_regressors!$A$2:$A$2000,0)+1,MATCH(B$2,vdata_regressors!$A$1:$R$1,0)),"")</f>
        <v/>
      </c>
      <c r="C655" s="23" t="str">
        <f>IFERROR(INDEX(vdata_regressors!$A$1:$L$2000,MATCH($A655,vdata_regressors!$A$2:$A$2000,0)+1,MATCH(C$2,vdata_regressors!$A$1:$R$1,0)),"")</f>
        <v/>
      </c>
      <c r="D655" s="23" t="str">
        <f>IFERROR(INDEX(vdata_regressors!$A$1:$L$2000,MATCH($A655,vdata_regressors!$A$2:$A$2000,0)+1,MATCH(D$2,vdata_regressors!$A$1:$R$1,0)),"")</f>
        <v/>
      </c>
      <c r="E655" s="23" t="str">
        <f>IFERROR(INDEX(vdata_regressors!$A$1:$L$2000,MATCH($A655,vdata_regressors!$A$2:$A$2000,0)+1,MATCH(E$2,vdata_regressors!$A$1:$R$1,0)),"")</f>
        <v/>
      </c>
      <c r="F655" s="23" t="str">
        <f>IFERROR(INDEX(vdata_regressors!$A$1:$L$2000,MATCH($A655,vdata_regressors!$A$2:$A$2000,0)+1,MATCH(F$2,vdata_regressors!$A$1:$R$1,0)),"")</f>
        <v/>
      </c>
      <c r="G655" s="23" t="str">
        <f>IFERROR(INDEX(vdata_regressors!$A$1:$L$2000,MATCH($A655,vdata_regressors!$A$2:$A$2000,0)+1,MATCH(G$2,vdata_regressors!$A$1:$R$1,0)),"")</f>
        <v/>
      </c>
      <c r="H655" s="23" t="str">
        <f>IFERROR(INDEX(vdata_regressors!$A$1:$L$2000,MATCH($A655,vdata_regressors!$A$2:$A$2000,0)+1,MATCH(H$2,vdata_regressors!$A$1:$R$1,0)),"")</f>
        <v/>
      </c>
      <c r="I655" s="23" t="str">
        <f>IFERROR(INDEX(vdata_regressors!$A$1:$L$2000,MATCH($A655,vdata_regressors!$A$2:$A$2000,0)+1,MATCH(I$2,vdata_regressors!$A$1:$R$1,0)),"")</f>
        <v/>
      </c>
      <c r="J655" s="23" t="str">
        <f>IFERROR(INDEX(vdata_regressors!$A$1:$L$2000,MATCH($A655,vdata_regressors!$A$2:$A$2000,0)+1,MATCH(J$2,vdata_regressors!$A$1:$R$1,0)),"")</f>
        <v/>
      </c>
      <c r="K655" s="23" t="str">
        <f>IFERROR(INDEX(vdata_regressors!$A$1:$L$2000,MATCH($A655,vdata_regressors!$A$2:$A$2000,0)+1,MATCH(K$2,vdata_regressors!$A$1:$R$1,0)),"")</f>
        <v/>
      </c>
      <c r="L655" s="23" t="str">
        <f>IFERROR(INDEX(vdata_regressors!$A$1:$L$2000,MATCH($A655,vdata_regressors!$A$2:$A$2000,0)+1,MATCH(L$2,vdata_regressors!$A$1:$R$1,0)),"")</f>
        <v/>
      </c>
      <c r="M655" s="23" t="str">
        <f>IFERROR(VLOOKUP(A655,vdata_hours!$A$2:$B$1000,2,FALSE),"")</f>
        <v/>
      </c>
    </row>
    <row r="656" spans="1:13" x14ac:dyDescent="0.25">
      <c r="A656" s="23" t="str">
        <f>IF(vdata_hours!A655=0,"",vdata_hours!A655)</f>
        <v/>
      </c>
      <c r="B656" s="23" t="str">
        <f>IFERROR(INDEX(vdata_regressors!$A$1:$L$2000,MATCH($A656,vdata_regressors!$A$2:$A$2000,0)+1,MATCH(B$2,vdata_regressors!$A$1:$R$1,0)),"")</f>
        <v/>
      </c>
      <c r="C656" s="23" t="str">
        <f>IFERROR(INDEX(vdata_regressors!$A$1:$L$2000,MATCH($A656,vdata_regressors!$A$2:$A$2000,0)+1,MATCH(C$2,vdata_regressors!$A$1:$R$1,0)),"")</f>
        <v/>
      </c>
      <c r="D656" s="23" t="str">
        <f>IFERROR(INDEX(vdata_regressors!$A$1:$L$2000,MATCH($A656,vdata_regressors!$A$2:$A$2000,0)+1,MATCH(D$2,vdata_regressors!$A$1:$R$1,0)),"")</f>
        <v/>
      </c>
      <c r="E656" s="23" t="str">
        <f>IFERROR(INDEX(vdata_regressors!$A$1:$L$2000,MATCH($A656,vdata_regressors!$A$2:$A$2000,0)+1,MATCH(E$2,vdata_regressors!$A$1:$R$1,0)),"")</f>
        <v/>
      </c>
      <c r="F656" s="23" t="str">
        <f>IFERROR(INDEX(vdata_regressors!$A$1:$L$2000,MATCH($A656,vdata_regressors!$A$2:$A$2000,0)+1,MATCH(F$2,vdata_regressors!$A$1:$R$1,0)),"")</f>
        <v/>
      </c>
      <c r="G656" s="23" t="str">
        <f>IFERROR(INDEX(vdata_regressors!$A$1:$L$2000,MATCH($A656,vdata_regressors!$A$2:$A$2000,0)+1,MATCH(G$2,vdata_regressors!$A$1:$R$1,0)),"")</f>
        <v/>
      </c>
      <c r="H656" s="23" t="str">
        <f>IFERROR(INDEX(vdata_regressors!$A$1:$L$2000,MATCH($A656,vdata_regressors!$A$2:$A$2000,0)+1,MATCH(H$2,vdata_regressors!$A$1:$R$1,0)),"")</f>
        <v/>
      </c>
      <c r="I656" s="23" t="str">
        <f>IFERROR(INDEX(vdata_regressors!$A$1:$L$2000,MATCH($A656,vdata_regressors!$A$2:$A$2000,0)+1,MATCH(I$2,vdata_regressors!$A$1:$R$1,0)),"")</f>
        <v/>
      </c>
      <c r="J656" s="23" t="str">
        <f>IFERROR(INDEX(vdata_regressors!$A$1:$L$2000,MATCH($A656,vdata_regressors!$A$2:$A$2000,0)+1,MATCH(J$2,vdata_regressors!$A$1:$R$1,0)),"")</f>
        <v/>
      </c>
      <c r="K656" s="23" t="str">
        <f>IFERROR(INDEX(vdata_regressors!$A$1:$L$2000,MATCH($A656,vdata_regressors!$A$2:$A$2000,0)+1,MATCH(K$2,vdata_regressors!$A$1:$R$1,0)),"")</f>
        <v/>
      </c>
      <c r="L656" s="23" t="str">
        <f>IFERROR(INDEX(vdata_regressors!$A$1:$L$2000,MATCH($A656,vdata_regressors!$A$2:$A$2000,0)+1,MATCH(L$2,vdata_regressors!$A$1:$R$1,0)),"")</f>
        <v/>
      </c>
      <c r="M656" s="23" t="str">
        <f>IFERROR(VLOOKUP(A656,vdata_hours!$A$2:$B$1000,2,FALSE),"")</f>
        <v/>
      </c>
    </row>
    <row r="657" spans="1:13" x14ac:dyDescent="0.25">
      <c r="A657" s="23" t="str">
        <f>IF(vdata_hours!A656=0,"",vdata_hours!A656)</f>
        <v/>
      </c>
      <c r="B657" s="23" t="str">
        <f>IFERROR(INDEX(vdata_regressors!$A$1:$L$2000,MATCH($A657,vdata_regressors!$A$2:$A$2000,0)+1,MATCH(B$2,vdata_regressors!$A$1:$R$1,0)),"")</f>
        <v/>
      </c>
      <c r="C657" s="23" t="str">
        <f>IFERROR(INDEX(vdata_regressors!$A$1:$L$2000,MATCH($A657,vdata_regressors!$A$2:$A$2000,0)+1,MATCH(C$2,vdata_regressors!$A$1:$R$1,0)),"")</f>
        <v/>
      </c>
      <c r="D657" s="23" t="str">
        <f>IFERROR(INDEX(vdata_regressors!$A$1:$L$2000,MATCH($A657,vdata_regressors!$A$2:$A$2000,0)+1,MATCH(D$2,vdata_regressors!$A$1:$R$1,0)),"")</f>
        <v/>
      </c>
      <c r="E657" s="23" t="str">
        <f>IFERROR(INDEX(vdata_regressors!$A$1:$L$2000,MATCH($A657,vdata_regressors!$A$2:$A$2000,0)+1,MATCH(E$2,vdata_regressors!$A$1:$R$1,0)),"")</f>
        <v/>
      </c>
      <c r="F657" s="23" t="str">
        <f>IFERROR(INDEX(vdata_regressors!$A$1:$L$2000,MATCH($A657,vdata_regressors!$A$2:$A$2000,0)+1,MATCH(F$2,vdata_regressors!$A$1:$R$1,0)),"")</f>
        <v/>
      </c>
      <c r="G657" s="23" t="str">
        <f>IFERROR(INDEX(vdata_regressors!$A$1:$L$2000,MATCH($A657,vdata_regressors!$A$2:$A$2000,0)+1,MATCH(G$2,vdata_regressors!$A$1:$R$1,0)),"")</f>
        <v/>
      </c>
      <c r="H657" s="23" t="str">
        <f>IFERROR(INDEX(vdata_regressors!$A$1:$L$2000,MATCH($A657,vdata_regressors!$A$2:$A$2000,0)+1,MATCH(H$2,vdata_regressors!$A$1:$R$1,0)),"")</f>
        <v/>
      </c>
      <c r="I657" s="23" t="str">
        <f>IFERROR(INDEX(vdata_regressors!$A$1:$L$2000,MATCH($A657,vdata_regressors!$A$2:$A$2000,0)+1,MATCH(I$2,vdata_regressors!$A$1:$R$1,0)),"")</f>
        <v/>
      </c>
      <c r="J657" s="23" t="str">
        <f>IFERROR(INDEX(vdata_regressors!$A$1:$L$2000,MATCH($A657,vdata_regressors!$A$2:$A$2000,0)+1,MATCH(J$2,vdata_regressors!$A$1:$R$1,0)),"")</f>
        <v/>
      </c>
      <c r="K657" s="23" t="str">
        <f>IFERROR(INDEX(vdata_regressors!$A$1:$L$2000,MATCH($A657,vdata_regressors!$A$2:$A$2000,0)+1,MATCH(K$2,vdata_regressors!$A$1:$R$1,0)),"")</f>
        <v/>
      </c>
      <c r="L657" s="23" t="str">
        <f>IFERROR(INDEX(vdata_regressors!$A$1:$L$2000,MATCH($A657,vdata_regressors!$A$2:$A$2000,0)+1,MATCH(L$2,vdata_regressors!$A$1:$R$1,0)),"")</f>
        <v/>
      </c>
      <c r="M657" s="23" t="str">
        <f>IFERROR(VLOOKUP(A657,vdata_hours!$A$2:$B$1000,2,FALSE),"")</f>
        <v/>
      </c>
    </row>
    <row r="658" spans="1:13" x14ac:dyDescent="0.25">
      <c r="A658" s="23" t="str">
        <f>IF(vdata_hours!A657=0,"",vdata_hours!A657)</f>
        <v/>
      </c>
      <c r="B658" s="23" t="str">
        <f>IFERROR(INDEX(vdata_regressors!$A$1:$L$2000,MATCH($A658,vdata_regressors!$A$2:$A$2000,0)+1,MATCH(B$2,vdata_regressors!$A$1:$R$1,0)),"")</f>
        <v/>
      </c>
      <c r="C658" s="23" t="str">
        <f>IFERROR(INDEX(vdata_regressors!$A$1:$L$2000,MATCH($A658,vdata_regressors!$A$2:$A$2000,0)+1,MATCH(C$2,vdata_regressors!$A$1:$R$1,0)),"")</f>
        <v/>
      </c>
      <c r="D658" s="23" t="str">
        <f>IFERROR(INDEX(vdata_regressors!$A$1:$L$2000,MATCH($A658,vdata_regressors!$A$2:$A$2000,0)+1,MATCH(D$2,vdata_regressors!$A$1:$R$1,0)),"")</f>
        <v/>
      </c>
      <c r="E658" s="23" t="str">
        <f>IFERROR(INDEX(vdata_regressors!$A$1:$L$2000,MATCH($A658,vdata_regressors!$A$2:$A$2000,0)+1,MATCH(E$2,vdata_regressors!$A$1:$R$1,0)),"")</f>
        <v/>
      </c>
      <c r="F658" s="23" t="str">
        <f>IFERROR(INDEX(vdata_regressors!$A$1:$L$2000,MATCH($A658,vdata_regressors!$A$2:$A$2000,0)+1,MATCH(F$2,vdata_regressors!$A$1:$R$1,0)),"")</f>
        <v/>
      </c>
      <c r="G658" s="23" t="str">
        <f>IFERROR(INDEX(vdata_regressors!$A$1:$L$2000,MATCH($A658,vdata_regressors!$A$2:$A$2000,0)+1,MATCH(G$2,vdata_regressors!$A$1:$R$1,0)),"")</f>
        <v/>
      </c>
      <c r="H658" s="23" t="str">
        <f>IFERROR(INDEX(vdata_regressors!$A$1:$L$2000,MATCH($A658,vdata_regressors!$A$2:$A$2000,0)+1,MATCH(H$2,vdata_regressors!$A$1:$R$1,0)),"")</f>
        <v/>
      </c>
      <c r="I658" s="23" t="str">
        <f>IFERROR(INDEX(vdata_regressors!$A$1:$L$2000,MATCH($A658,vdata_regressors!$A$2:$A$2000,0)+1,MATCH(I$2,vdata_regressors!$A$1:$R$1,0)),"")</f>
        <v/>
      </c>
      <c r="J658" s="23" t="str">
        <f>IFERROR(INDEX(vdata_regressors!$A$1:$L$2000,MATCH($A658,vdata_regressors!$A$2:$A$2000,0)+1,MATCH(J$2,vdata_regressors!$A$1:$R$1,0)),"")</f>
        <v/>
      </c>
      <c r="K658" s="23" t="str">
        <f>IFERROR(INDEX(vdata_regressors!$A$1:$L$2000,MATCH($A658,vdata_regressors!$A$2:$A$2000,0)+1,MATCH(K$2,vdata_regressors!$A$1:$R$1,0)),"")</f>
        <v/>
      </c>
      <c r="L658" s="23" t="str">
        <f>IFERROR(INDEX(vdata_regressors!$A$1:$L$2000,MATCH($A658,vdata_regressors!$A$2:$A$2000,0)+1,MATCH(L$2,vdata_regressors!$A$1:$R$1,0)),"")</f>
        <v/>
      </c>
      <c r="M658" s="23" t="str">
        <f>IFERROR(VLOOKUP(A658,vdata_hours!$A$2:$B$1000,2,FALSE),"")</f>
        <v/>
      </c>
    </row>
    <row r="659" spans="1:13" x14ac:dyDescent="0.25">
      <c r="A659" s="23" t="str">
        <f>IF(vdata_hours!A658=0,"",vdata_hours!A658)</f>
        <v/>
      </c>
      <c r="B659" s="23" t="str">
        <f>IFERROR(INDEX(vdata_regressors!$A$1:$L$2000,MATCH($A659,vdata_regressors!$A$2:$A$2000,0)+1,MATCH(B$2,vdata_regressors!$A$1:$R$1,0)),"")</f>
        <v/>
      </c>
      <c r="C659" s="23" t="str">
        <f>IFERROR(INDEX(vdata_regressors!$A$1:$L$2000,MATCH($A659,vdata_regressors!$A$2:$A$2000,0)+1,MATCH(C$2,vdata_regressors!$A$1:$R$1,0)),"")</f>
        <v/>
      </c>
      <c r="D659" s="23" t="str">
        <f>IFERROR(INDEX(vdata_regressors!$A$1:$L$2000,MATCH($A659,vdata_regressors!$A$2:$A$2000,0)+1,MATCH(D$2,vdata_regressors!$A$1:$R$1,0)),"")</f>
        <v/>
      </c>
      <c r="E659" s="23" t="str">
        <f>IFERROR(INDEX(vdata_regressors!$A$1:$L$2000,MATCH($A659,vdata_regressors!$A$2:$A$2000,0)+1,MATCH(E$2,vdata_regressors!$A$1:$R$1,0)),"")</f>
        <v/>
      </c>
      <c r="F659" s="23" t="str">
        <f>IFERROR(INDEX(vdata_regressors!$A$1:$L$2000,MATCH($A659,vdata_regressors!$A$2:$A$2000,0)+1,MATCH(F$2,vdata_regressors!$A$1:$R$1,0)),"")</f>
        <v/>
      </c>
      <c r="G659" s="23" t="str">
        <f>IFERROR(INDEX(vdata_regressors!$A$1:$L$2000,MATCH($A659,vdata_regressors!$A$2:$A$2000,0)+1,MATCH(G$2,vdata_regressors!$A$1:$R$1,0)),"")</f>
        <v/>
      </c>
      <c r="H659" s="23" t="str">
        <f>IFERROR(INDEX(vdata_regressors!$A$1:$L$2000,MATCH($A659,vdata_regressors!$A$2:$A$2000,0)+1,MATCH(H$2,vdata_regressors!$A$1:$R$1,0)),"")</f>
        <v/>
      </c>
      <c r="I659" s="23" t="str">
        <f>IFERROR(INDEX(vdata_regressors!$A$1:$L$2000,MATCH($A659,vdata_regressors!$A$2:$A$2000,0)+1,MATCH(I$2,vdata_regressors!$A$1:$R$1,0)),"")</f>
        <v/>
      </c>
      <c r="J659" s="23" t="str">
        <f>IFERROR(INDEX(vdata_regressors!$A$1:$L$2000,MATCH($A659,vdata_regressors!$A$2:$A$2000,0)+1,MATCH(J$2,vdata_regressors!$A$1:$R$1,0)),"")</f>
        <v/>
      </c>
      <c r="K659" s="23" t="str">
        <f>IFERROR(INDEX(vdata_regressors!$A$1:$L$2000,MATCH($A659,vdata_regressors!$A$2:$A$2000,0)+1,MATCH(K$2,vdata_regressors!$A$1:$R$1,0)),"")</f>
        <v/>
      </c>
      <c r="L659" s="23" t="str">
        <f>IFERROR(INDEX(vdata_regressors!$A$1:$L$2000,MATCH($A659,vdata_regressors!$A$2:$A$2000,0)+1,MATCH(L$2,vdata_regressors!$A$1:$R$1,0)),"")</f>
        <v/>
      </c>
      <c r="M659" s="23" t="str">
        <f>IFERROR(VLOOKUP(A659,vdata_hours!$A$2:$B$1000,2,FALSE),"")</f>
        <v/>
      </c>
    </row>
    <row r="660" spans="1:13" x14ac:dyDescent="0.25">
      <c r="A660" s="23" t="str">
        <f>IF(vdata_hours!A659=0,"",vdata_hours!A659)</f>
        <v/>
      </c>
      <c r="B660" s="23" t="str">
        <f>IFERROR(INDEX(vdata_regressors!$A$1:$L$2000,MATCH($A660,vdata_regressors!$A$2:$A$2000,0)+1,MATCH(B$2,vdata_regressors!$A$1:$R$1,0)),"")</f>
        <v/>
      </c>
      <c r="C660" s="23" t="str">
        <f>IFERROR(INDEX(vdata_regressors!$A$1:$L$2000,MATCH($A660,vdata_regressors!$A$2:$A$2000,0)+1,MATCH(C$2,vdata_regressors!$A$1:$R$1,0)),"")</f>
        <v/>
      </c>
      <c r="D660" s="23" t="str">
        <f>IFERROR(INDEX(vdata_regressors!$A$1:$L$2000,MATCH($A660,vdata_regressors!$A$2:$A$2000,0)+1,MATCH(D$2,vdata_regressors!$A$1:$R$1,0)),"")</f>
        <v/>
      </c>
      <c r="E660" s="23" t="str">
        <f>IFERROR(INDEX(vdata_regressors!$A$1:$L$2000,MATCH($A660,vdata_regressors!$A$2:$A$2000,0)+1,MATCH(E$2,vdata_regressors!$A$1:$R$1,0)),"")</f>
        <v/>
      </c>
      <c r="F660" s="23" t="str">
        <f>IFERROR(INDEX(vdata_regressors!$A$1:$L$2000,MATCH($A660,vdata_regressors!$A$2:$A$2000,0)+1,MATCH(F$2,vdata_regressors!$A$1:$R$1,0)),"")</f>
        <v/>
      </c>
      <c r="G660" s="23" t="str">
        <f>IFERROR(INDEX(vdata_regressors!$A$1:$L$2000,MATCH($A660,vdata_regressors!$A$2:$A$2000,0)+1,MATCH(G$2,vdata_regressors!$A$1:$R$1,0)),"")</f>
        <v/>
      </c>
      <c r="H660" s="23" t="str">
        <f>IFERROR(INDEX(vdata_regressors!$A$1:$L$2000,MATCH($A660,vdata_regressors!$A$2:$A$2000,0)+1,MATCH(H$2,vdata_regressors!$A$1:$R$1,0)),"")</f>
        <v/>
      </c>
      <c r="I660" s="23" t="str">
        <f>IFERROR(INDEX(vdata_regressors!$A$1:$L$2000,MATCH($A660,vdata_regressors!$A$2:$A$2000,0)+1,MATCH(I$2,vdata_regressors!$A$1:$R$1,0)),"")</f>
        <v/>
      </c>
      <c r="J660" s="23" t="str">
        <f>IFERROR(INDEX(vdata_regressors!$A$1:$L$2000,MATCH($A660,vdata_regressors!$A$2:$A$2000,0)+1,MATCH(J$2,vdata_regressors!$A$1:$R$1,0)),"")</f>
        <v/>
      </c>
      <c r="K660" s="23" t="str">
        <f>IFERROR(INDEX(vdata_regressors!$A$1:$L$2000,MATCH($A660,vdata_regressors!$A$2:$A$2000,0)+1,MATCH(K$2,vdata_regressors!$A$1:$R$1,0)),"")</f>
        <v/>
      </c>
      <c r="L660" s="23" t="str">
        <f>IFERROR(INDEX(vdata_regressors!$A$1:$L$2000,MATCH($A660,vdata_regressors!$A$2:$A$2000,0)+1,MATCH(L$2,vdata_regressors!$A$1:$R$1,0)),"")</f>
        <v/>
      </c>
      <c r="M660" s="23" t="str">
        <f>IFERROR(VLOOKUP(A660,vdata_hours!$A$2:$B$1000,2,FALSE),"")</f>
        <v/>
      </c>
    </row>
    <row r="661" spans="1:13" x14ac:dyDescent="0.25">
      <c r="A661" s="23" t="str">
        <f>IF(vdata_hours!A660=0,"",vdata_hours!A660)</f>
        <v/>
      </c>
      <c r="B661" s="23" t="str">
        <f>IFERROR(INDEX(vdata_regressors!$A$1:$L$2000,MATCH($A661,vdata_regressors!$A$2:$A$2000,0)+1,MATCH(B$2,vdata_regressors!$A$1:$R$1,0)),"")</f>
        <v/>
      </c>
      <c r="C661" s="23" t="str">
        <f>IFERROR(INDEX(vdata_regressors!$A$1:$L$2000,MATCH($A661,vdata_regressors!$A$2:$A$2000,0)+1,MATCH(C$2,vdata_regressors!$A$1:$R$1,0)),"")</f>
        <v/>
      </c>
      <c r="D661" s="23" t="str">
        <f>IFERROR(INDEX(vdata_regressors!$A$1:$L$2000,MATCH($A661,vdata_regressors!$A$2:$A$2000,0)+1,MATCH(D$2,vdata_regressors!$A$1:$R$1,0)),"")</f>
        <v/>
      </c>
      <c r="E661" s="23" t="str">
        <f>IFERROR(INDEX(vdata_regressors!$A$1:$L$2000,MATCH($A661,vdata_regressors!$A$2:$A$2000,0)+1,MATCH(E$2,vdata_regressors!$A$1:$R$1,0)),"")</f>
        <v/>
      </c>
      <c r="F661" s="23" t="str">
        <f>IFERROR(INDEX(vdata_regressors!$A$1:$L$2000,MATCH($A661,vdata_regressors!$A$2:$A$2000,0)+1,MATCH(F$2,vdata_regressors!$A$1:$R$1,0)),"")</f>
        <v/>
      </c>
      <c r="G661" s="23" t="str">
        <f>IFERROR(INDEX(vdata_regressors!$A$1:$L$2000,MATCH($A661,vdata_regressors!$A$2:$A$2000,0)+1,MATCH(G$2,vdata_regressors!$A$1:$R$1,0)),"")</f>
        <v/>
      </c>
      <c r="H661" s="23" t="str">
        <f>IFERROR(INDEX(vdata_regressors!$A$1:$L$2000,MATCH($A661,vdata_regressors!$A$2:$A$2000,0)+1,MATCH(H$2,vdata_regressors!$A$1:$R$1,0)),"")</f>
        <v/>
      </c>
      <c r="I661" s="23" t="str">
        <f>IFERROR(INDEX(vdata_regressors!$A$1:$L$2000,MATCH($A661,vdata_regressors!$A$2:$A$2000,0)+1,MATCH(I$2,vdata_regressors!$A$1:$R$1,0)),"")</f>
        <v/>
      </c>
      <c r="J661" s="23" t="str">
        <f>IFERROR(INDEX(vdata_regressors!$A$1:$L$2000,MATCH($A661,vdata_regressors!$A$2:$A$2000,0)+1,MATCH(J$2,vdata_regressors!$A$1:$R$1,0)),"")</f>
        <v/>
      </c>
      <c r="K661" s="23" t="str">
        <f>IFERROR(INDEX(vdata_regressors!$A$1:$L$2000,MATCH($A661,vdata_regressors!$A$2:$A$2000,0)+1,MATCH(K$2,vdata_regressors!$A$1:$R$1,0)),"")</f>
        <v/>
      </c>
      <c r="L661" s="23" t="str">
        <f>IFERROR(INDEX(vdata_regressors!$A$1:$L$2000,MATCH($A661,vdata_regressors!$A$2:$A$2000,0)+1,MATCH(L$2,vdata_regressors!$A$1:$R$1,0)),"")</f>
        <v/>
      </c>
      <c r="M661" s="23" t="str">
        <f>IFERROR(VLOOKUP(A661,vdata_hours!$A$2:$B$1000,2,FALSE),"")</f>
        <v/>
      </c>
    </row>
    <row r="662" spans="1:13" x14ac:dyDescent="0.25">
      <c r="A662" s="23" t="str">
        <f>IF(vdata_hours!A661=0,"",vdata_hours!A661)</f>
        <v/>
      </c>
      <c r="B662" s="23" t="str">
        <f>IFERROR(INDEX(vdata_regressors!$A$1:$L$2000,MATCH($A662,vdata_regressors!$A$2:$A$2000,0)+1,MATCH(B$2,vdata_regressors!$A$1:$R$1,0)),"")</f>
        <v/>
      </c>
      <c r="C662" s="23" t="str">
        <f>IFERROR(INDEX(vdata_regressors!$A$1:$L$2000,MATCH($A662,vdata_regressors!$A$2:$A$2000,0)+1,MATCH(C$2,vdata_regressors!$A$1:$R$1,0)),"")</f>
        <v/>
      </c>
      <c r="D662" s="23" t="str">
        <f>IFERROR(INDEX(vdata_regressors!$A$1:$L$2000,MATCH($A662,vdata_regressors!$A$2:$A$2000,0)+1,MATCH(D$2,vdata_regressors!$A$1:$R$1,0)),"")</f>
        <v/>
      </c>
      <c r="E662" s="23" t="str">
        <f>IFERROR(INDEX(vdata_regressors!$A$1:$L$2000,MATCH($A662,vdata_regressors!$A$2:$A$2000,0)+1,MATCH(E$2,vdata_regressors!$A$1:$R$1,0)),"")</f>
        <v/>
      </c>
      <c r="F662" s="23" t="str">
        <f>IFERROR(INDEX(vdata_regressors!$A$1:$L$2000,MATCH($A662,vdata_regressors!$A$2:$A$2000,0)+1,MATCH(F$2,vdata_regressors!$A$1:$R$1,0)),"")</f>
        <v/>
      </c>
      <c r="G662" s="23" t="str">
        <f>IFERROR(INDEX(vdata_regressors!$A$1:$L$2000,MATCH($A662,vdata_regressors!$A$2:$A$2000,0)+1,MATCH(G$2,vdata_regressors!$A$1:$R$1,0)),"")</f>
        <v/>
      </c>
      <c r="H662" s="23" t="str">
        <f>IFERROR(INDEX(vdata_regressors!$A$1:$L$2000,MATCH($A662,vdata_regressors!$A$2:$A$2000,0)+1,MATCH(H$2,vdata_regressors!$A$1:$R$1,0)),"")</f>
        <v/>
      </c>
      <c r="I662" s="23" t="str">
        <f>IFERROR(INDEX(vdata_regressors!$A$1:$L$2000,MATCH($A662,vdata_regressors!$A$2:$A$2000,0)+1,MATCH(I$2,vdata_regressors!$A$1:$R$1,0)),"")</f>
        <v/>
      </c>
      <c r="J662" s="23" t="str">
        <f>IFERROR(INDEX(vdata_regressors!$A$1:$L$2000,MATCH($A662,vdata_regressors!$A$2:$A$2000,0)+1,MATCH(J$2,vdata_regressors!$A$1:$R$1,0)),"")</f>
        <v/>
      </c>
      <c r="K662" s="23" t="str">
        <f>IFERROR(INDEX(vdata_regressors!$A$1:$L$2000,MATCH($A662,vdata_regressors!$A$2:$A$2000,0)+1,MATCH(K$2,vdata_regressors!$A$1:$R$1,0)),"")</f>
        <v/>
      </c>
      <c r="L662" s="23" t="str">
        <f>IFERROR(INDEX(vdata_regressors!$A$1:$L$2000,MATCH($A662,vdata_regressors!$A$2:$A$2000,0)+1,MATCH(L$2,vdata_regressors!$A$1:$R$1,0)),"")</f>
        <v/>
      </c>
      <c r="M662" s="23" t="str">
        <f>IFERROR(VLOOKUP(A662,vdata_hours!$A$2:$B$1000,2,FALSE),"")</f>
        <v/>
      </c>
    </row>
    <row r="663" spans="1:13" x14ac:dyDescent="0.25">
      <c r="A663" s="23" t="str">
        <f>IF(vdata_hours!A662=0,"",vdata_hours!A662)</f>
        <v/>
      </c>
      <c r="B663" s="23" t="str">
        <f>IFERROR(INDEX(vdata_regressors!$A$1:$L$2000,MATCH($A663,vdata_regressors!$A$2:$A$2000,0)+1,MATCH(B$2,vdata_regressors!$A$1:$R$1,0)),"")</f>
        <v/>
      </c>
      <c r="C663" s="23" t="str">
        <f>IFERROR(INDEX(vdata_regressors!$A$1:$L$2000,MATCH($A663,vdata_regressors!$A$2:$A$2000,0)+1,MATCH(C$2,vdata_regressors!$A$1:$R$1,0)),"")</f>
        <v/>
      </c>
      <c r="D663" s="23" t="str">
        <f>IFERROR(INDEX(vdata_regressors!$A$1:$L$2000,MATCH($A663,vdata_regressors!$A$2:$A$2000,0)+1,MATCH(D$2,vdata_regressors!$A$1:$R$1,0)),"")</f>
        <v/>
      </c>
      <c r="E663" s="23" t="str">
        <f>IFERROR(INDEX(vdata_regressors!$A$1:$L$2000,MATCH($A663,vdata_regressors!$A$2:$A$2000,0)+1,MATCH(E$2,vdata_regressors!$A$1:$R$1,0)),"")</f>
        <v/>
      </c>
      <c r="F663" s="23" t="str">
        <f>IFERROR(INDEX(vdata_regressors!$A$1:$L$2000,MATCH($A663,vdata_regressors!$A$2:$A$2000,0)+1,MATCH(F$2,vdata_regressors!$A$1:$R$1,0)),"")</f>
        <v/>
      </c>
      <c r="G663" s="23" t="str">
        <f>IFERROR(INDEX(vdata_regressors!$A$1:$L$2000,MATCH($A663,vdata_regressors!$A$2:$A$2000,0)+1,MATCH(G$2,vdata_regressors!$A$1:$R$1,0)),"")</f>
        <v/>
      </c>
      <c r="H663" s="23" t="str">
        <f>IFERROR(INDEX(vdata_regressors!$A$1:$L$2000,MATCH($A663,vdata_regressors!$A$2:$A$2000,0)+1,MATCH(H$2,vdata_regressors!$A$1:$R$1,0)),"")</f>
        <v/>
      </c>
      <c r="I663" s="23" t="str">
        <f>IFERROR(INDEX(vdata_regressors!$A$1:$L$2000,MATCH($A663,vdata_regressors!$A$2:$A$2000,0)+1,MATCH(I$2,vdata_regressors!$A$1:$R$1,0)),"")</f>
        <v/>
      </c>
      <c r="J663" s="23" t="str">
        <f>IFERROR(INDEX(vdata_regressors!$A$1:$L$2000,MATCH($A663,vdata_regressors!$A$2:$A$2000,0)+1,MATCH(J$2,vdata_regressors!$A$1:$R$1,0)),"")</f>
        <v/>
      </c>
      <c r="K663" s="23" t="str">
        <f>IFERROR(INDEX(vdata_regressors!$A$1:$L$2000,MATCH($A663,vdata_regressors!$A$2:$A$2000,0)+1,MATCH(K$2,vdata_regressors!$A$1:$R$1,0)),"")</f>
        <v/>
      </c>
      <c r="L663" s="23" t="str">
        <f>IFERROR(INDEX(vdata_regressors!$A$1:$L$2000,MATCH($A663,vdata_regressors!$A$2:$A$2000,0)+1,MATCH(L$2,vdata_regressors!$A$1:$R$1,0)),"")</f>
        <v/>
      </c>
      <c r="M663" s="23" t="str">
        <f>IFERROR(VLOOKUP(A663,vdata_hours!$A$2:$B$1000,2,FALSE),"")</f>
        <v/>
      </c>
    </row>
    <row r="664" spans="1:13" x14ac:dyDescent="0.25">
      <c r="A664" s="23" t="str">
        <f>IF(vdata_hours!A663=0,"",vdata_hours!A663)</f>
        <v/>
      </c>
      <c r="B664" s="23" t="str">
        <f>IFERROR(INDEX(vdata_regressors!$A$1:$L$2000,MATCH($A664,vdata_regressors!$A$2:$A$2000,0)+1,MATCH(B$2,vdata_regressors!$A$1:$R$1,0)),"")</f>
        <v/>
      </c>
      <c r="C664" s="23" t="str">
        <f>IFERROR(INDEX(vdata_regressors!$A$1:$L$2000,MATCH($A664,vdata_regressors!$A$2:$A$2000,0)+1,MATCH(C$2,vdata_regressors!$A$1:$R$1,0)),"")</f>
        <v/>
      </c>
      <c r="D664" s="23" t="str">
        <f>IFERROR(INDEX(vdata_regressors!$A$1:$L$2000,MATCH($A664,vdata_regressors!$A$2:$A$2000,0)+1,MATCH(D$2,vdata_regressors!$A$1:$R$1,0)),"")</f>
        <v/>
      </c>
      <c r="E664" s="23" t="str">
        <f>IFERROR(INDEX(vdata_regressors!$A$1:$L$2000,MATCH($A664,vdata_regressors!$A$2:$A$2000,0)+1,MATCH(E$2,vdata_regressors!$A$1:$R$1,0)),"")</f>
        <v/>
      </c>
      <c r="F664" s="23" t="str">
        <f>IFERROR(INDEX(vdata_regressors!$A$1:$L$2000,MATCH($A664,vdata_regressors!$A$2:$A$2000,0)+1,MATCH(F$2,vdata_regressors!$A$1:$R$1,0)),"")</f>
        <v/>
      </c>
      <c r="G664" s="23" t="str">
        <f>IFERROR(INDEX(vdata_regressors!$A$1:$L$2000,MATCH($A664,vdata_regressors!$A$2:$A$2000,0)+1,MATCH(G$2,vdata_regressors!$A$1:$R$1,0)),"")</f>
        <v/>
      </c>
      <c r="H664" s="23" t="str">
        <f>IFERROR(INDEX(vdata_regressors!$A$1:$L$2000,MATCH($A664,vdata_regressors!$A$2:$A$2000,0)+1,MATCH(H$2,vdata_regressors!$A$1:$R$1,0)),"")</f>
        <v/>
      </c>
      <c r="I664" s="23" t="str">
        <f>IFERROR(INDEX(vdata_regressors!$A$1:$L$2000,MATCH($A664,vdata_regressors!$A$2:$A$2000,0)+1,MATCH(I$2,vdata_regressors!$A$1:$R$1,0)),"")</f>
        <v/>
      </c>
      <c r="J664" s="23" t="str">
        <f>IFERROR(INDEX(vdata_regressors!$A$1:$L$2000,MATCH($A664,vdata_regressors!$A$2:$A$2000,0)+1,MATCH(J$2,vdata_regressors!$A$1:$R$1,0)),"")</f>
        <v/>
      </c>
      <c r="K664" s="23" t="str">
        <f>IFERROR(INDEX(vdata_regressors!$A$1:$L$2000,MATCH($A664,vdata_regressors!$A$2:$A$2000,0)+1,MATCH(K$2,vdata_regressors!$A$1:$R$1,0)),"")</f>
        <v/>
      </c>
      <c r="L664" s="23" t="str">
        <f>IFERROR(INDEX(vdata_regressors!$A$1:$L$2000,MATCH($A664,vdata_regressors!$A$2:$A$2000,0)+1,MATCH(L$2,vdata_regressors!$A$1:$R$1,0)),"")</f>
        <v/>
      </c>
      <c r="M664" s="23" t="str">
        <f>IFERROR(VLOOKUP(A664,vdata_hours!$A$2:$B$1000,2,FALSE),"")</f>
        <v/>
      </c>
    </row>
    <row r="665" spans="1:13" x14ac:dyDescent="0.25">
      <c r="A665" s="23" t="str">
        <f>IF(vdata_hours!A664=0,"",vdata_hours!A664)</f>
        <v/>
      </c>
      <c r="B665" s="23" t="str">
        <f>IFERROR(INDEX(vdata_regressors!$A$1:$L$2000,MATCH($A665,vdata_regressors!$A$2:$A$2000,0)+1,MATCH(B$2,vdata_regressors!$A$1:$R$1,0)),"")</f>
        <v/>
      </c>
      <c r="C665" s="23" t="str">
        <f>IFERROR(INDEX(vdata_regressors!$A$1:$L$2000,MATCH($A665,vdata_regressors!$A$2:$A$2000,0)+1,MATCH(C$2,vdata_regressors!$A$1:$R$1,0)),"")</f>
        <v/>
      </c>
      <c r="D665" s="23" t="str">
        <f>IFERROR(INDEX(vdata_regressors!$A$1:$L$2000,MATCH($A665,vdata_regressors!$A$2:$A$2000,0)+1,MATCH(D$2,vdata_regressors!$A$1:$R$1,0)),"")</f>
        <v/>
      </c>
      <c r="E665" s="23" t="str">
        <f>IFERROR(INDEX(vdata_regressors!$A$1:$L$2000,MATCH($A665,vdata_regressors!$A$2:$A$2000,0)+1,MATCH(E$2,vdata_regressors!$A$1:$R$1,0)),"")</f>
        <v/>
      </c>
      <c r="F665" s="23" t="str">
        <f>IFERROR(INDEX(vdata_regressors!$A$1:$L$2000,MATCH($A665,vdata_regressors!$A$2:$A$2000,0)+1,MATCH(F$2,vdata_regressors!$A$1:$R$1,0)),"")</f>
        <v/>
      </c>
      <c r="G665" s="23" t="str">
        <f>IFERROR(INDEX(vdata_regressors!$A$1:$L$2000,MATCH($A665,vdata_regressors!$A$2:$A$2000,0)+1,MATCH(G$2,vdata_regressors!$A$1:$R$1,0)),"")</f>
        <v/>
      </c>
      <c r="H665" s="23" t="str">
        <f>IFERROR(INDEX(vdata_regressors!$A$1:$L$2000,MATCH($A665,vdata_regressors!$A$2:$A$2000,0)+1,MATCH(H$2,vdata_regressors!$A$1:$R$1,0)),"")</f>
        <v/>
      </c>
      <c r="I665" s="23" t="str">
        <f>IFERROR(INDEX(vdata_regressors!$A$1:$L$2000,MATCH($A665,vdata_regressors!$A$2:$A$2000,0)+1,MATCH(I$2,vdata_regressors!$A$1:$R$1,0)),"")</f>
        <v/>
      </c>
      <c r="J665" s="23" t="str">
        <f>IFERROR(INDEX(vdata_regressors!$A$1:$L$2000,MATCH($A665,vdata_regressors!$A$2:$A$2000,0)+1,MATCH(J$2,vdata_regressors!$A$1:$R$1,0)),"")</f>
        <v/>
      </c>
      <c r="K665" s="23" t="str">
        <f>IFERROR(INDEX(vdata_regressors!$A$1:$L$2000,MATCH($A665,vdata_regressors!$A$2:$A$2000,0)+1,MATCH(K$2,vdata_regressors!$A$1:$R$1,0)),"")</f>
        <v/>
      </c>
      <c r="L665" s="23" t="str">
        <f>IFERROR(INDEX(vdata_regressors!$A$1:$L$2000,MATCH($A665,vdata_regressors!$A$2:$A$2000,0)+1,MATCH(L$2,vdata_regressors!$A$1:$R$1,0)),"")</f>
        <v/>
      </c>
      <c r="M665" s="23" t="str">
        <f>IFERROR(VLOOKUP(A665,vdata_hours!$A$2:$B$1000,2,FALSE),"")</f>
        <v/>
      </c>
    </row>
    <row r="666" spans="1:13" x14ac:dyDescent="0.25">
      <c r="A666" s="23" t="str">
        <f>IF(vdata_hours!A665=0,"",vdata_hours!A665)</f>
        <v/>
      </c>
      <c r="B666" s="23" t="str">
        <f>IFERROR(INDEX(vdata_regressors!$A$1:$L$2000,MATCH($A666,vdata_regressors!$A$2:$A$2000,0)+1,MATCH(B$2,vdata_regressors!$A$1:$R$1,0)),"")</f>
        <v/>
      </c>
      <c r="C666" s="23" t="str">
        <f>IFERROR(INDEX(vdata_regressors!$A$1:$L$2000,MATCH($A666,vdata_regressors!$A$2:$A$2000,0)+1,MATCH(C$2,vdata_regressors!$A$1:$R$1,0)),"")</f>
        <v/>
      </c>
      <c r="D666" s="23" t="str">
        <f>IFERROR(INDEX(vdata_regressors!$A$1:$L$2000,MATCH($A666,vdata_regressors!$A$2:$A$2000,0)+1,MATCH(D$2,vdata_regressors!$A$1:$R$1,0)),"")</f>
        <v/>
      </c>
      <c r="E666" s="23" t="str">
        <f>IFERROR(INDEX(vdata_regressors!$A$1:$L$2000,MATCH($A666,vdata_regressors!$A$2:$A$2000,0)+1,MATCH(E$2,vdata_regressors!$A$1:$R$1,0)),"")</f>
        <v/>
      </c>
      <c r="F666" s="23" t="str">
        <f>IFERROR(INDEX(vdata_regressors!$A$1:$L$2000,MATCH($A666,vdata_regressors!$A$2:$A$2000,0)+1,MATCH(F$2,vdata_regressors!$A$1:$R$1,0)),"")</f>
        <v/>
      </c>
      <c r="G666" s="23" t="str">
        <f>IFERROR(INDEX(vdata_regressors!$A$1:$L$2000,MATCH($A666,vdata_regressors!$A$2:$A$2000,0)+1,MATCH(G$2,vdata_regressors!$A$1:$R$1,0)),"")</f>
        <v/>
      </c>
      <c r="H666" s="23" t="str">
        <f>IFERROR(INDEX(vdata_regressors!$A$1:$L$2000,MATCH($A666,vdata_regressors!$A$2:$A$2000,0)+1,MATCH(H$2,vdata_regressors!$A$1:$R$1,0)),"")</f>
        <v/>
      </c>
      <c r="I666" s="23" t="str">
        <f>IFERROR(INDEX(vdata_regressors!$A$1:$L$2000,MATCH($A666,vdata_regressors!$A$2:$A$2000,0)+1,MATCH(I$2,vdata_regressors!$A$1:$R$1,0)),"")</f>
        <v/>
      </c>
      <c r="J666" s="23" t="str">
        <f>IFERROR(INDEX(vdata_regressors!$A$1:$L$2000,MATCH($A666,vdata_regressors!$A$2:$A$2000,0)+1,MATCH(J$2,vdata_regressors!$A$1:$R$1,0)),"")</f>
        <v/>
      </c>
      <c r="K666" s="23" t="str">
        <f>IFERROR(INDEX(vdata_regressors!$A$1:$L$2000,MATCH($A666,vdata_regressors!$A$2:$A$2000,0)+1,MATCH(K$2,vdata_regressors!$A$1:$R$1,0)),"")</f>
        <v/>
      </c>
      <c r="L666" s="23" t="str">
        <f>IFERROR(INDEX(vdata_regressors!$A$1:$L$2000,MATCH($A666,vdata_regressors!$A$2:$A$2000,0)+1,MATCH(L$2,vdata_regressors!$A$1:$R$1,0)),"")</f>
        <v/>
      </c>
      <c r="M666" s="23" t="str">
        <f>IFERROR(VLOOKUP(A666,vdata_hours!$A$2:$B$1000,2,FALSE),"")</f>
        <v/>
      </c>
    </row>
    <row r="667" spans="1:13" x14ac:dyDescent="0.25">
      <c r="A667" s="23" t="str">
        <f>IF(vdata_hours!A666=0,"",vdata_hours!A666)</f>
        <v/>
      </c>
      <c r="B667" s="23" t="str">
        <f>IFERROR(INDEX(vdata_regressors!$A$1:$L$2000,MATCH($A667,vdata_regressors!$A$2:$A$2000,0)+1,MATCH(B$2,vdata_regressors!$A$1:$R$1,0)),"")</f>
        <v/>
      </c>
      <c r="C667" s="23" t="str">
        <f>IFERROR(INDEX(vdata_regressors!$A$1:$L$2000,MATCH($A667,vdata_regressors!$A$2:$A$2000,0)+1,MATCH(C$2,vdata_regressors!$A$1:$R$1,0)),"")</f>
        <v/>
      </c>
      <c r="D667" s="23" t="str">
        <f>IFERROR(INDEX(vdata_regressors!$A$1:$L$2000,MATCH($A667,vdata_regressors!$A$2:$A$2000,0)+1,MATCH(D$2,vdata_regressors!$A$1:$R$1,0)),"")</f>
        <v/>
      </c>
      <c r="E667" s="23" t="str">
        <f>IFERROR(INDEX(vdata_regressors!$A$1:$L$2000,MATCH($A667,vdata_regressors!$A$2:$A$2000,0)+1,MATCH(E$2,vdata_regressors!$A$1:$R$1,0)),"")</f>
        <v/>
      </c>
      <c r="F667" s="23" t="str">
        <f>IFERROR(INDEX(vdata_regressors!$A$1:$L$2000,MATCH($A667,vdata_regressors!$A$2:$A$2000,0)+1,MATCH(F$2,vdata_regressors!$A$1:$R$1,0)),"")</f>
        <v/>
      </c>
      <c r="G667" s="23" t="str">
        <f>IFERROR(INDEX(vdata_regressors!$A$1:$L$2000,MATCH($A667,vdata_regressors!$A$2:$A$2000,0)+1,MATCH(G$2,vdata_regressors!$A$1:$R$1,0)),"")</f>
        <v/>
      </c>
      <c r="H667" s="23" t="str">
        <f>IFERROR(INDEX(vdata_regressors!$A$1:$L$2000,MATCH($A667,vdata_regressors!$A$2:$A$2000,0)+1,MATCH(H$2,vdata_regressors!$A$1:$R$1,0)),"")</f>
        <v/>
      </c>
      <c r="I667" s="23" t="str">
        <f>IFERROR(INDEX(vdata_regressors!$A$1:$L$2000,MATCH($A667,vdata_regressors!$A$2:$A$2000,0)+1,MATCH(I$2,vdata_regressors!$A$1:$R$1,0)),"")</f>
        <v/>
      </c>
      <c r="J667" s="23" t="str">
        <f>IFERROR(INDEX(vdata_regressors!$A$1:$L$2000,MATCH($A667,vdata_regressors!$A$2:$A$2000,0)+1,MATCH(J$2,vdata_regressors!$A$1:$R$1,0)),"")</f>
        <v/>
      </c>
      <c r="K667" s="23" t="str">
        <f>IFERROR(INDEX(vdata_regressors!$A$1:$L$2000,MATCH($A667,vdata_regressors!$A$2:$A$2000,0)+1,MATCH(K$2,vdata_regressors!$A$1:$R$1,0)),"")</f>
        <v/>
      </c>
      <c r="L667" s="23" t="str">
        <f>IFERROR(INDEX(vdata_regressors!$A$1:$L$2000,MATCH($A667,vdata_regressors!$A$2:$A$2000,0)+1,MATCH(L$2,vdata_regressors!$A$1:$R$1,0)),"")</f>
        <v/>
      </c>
      <c r="M667" s="23" t="str">
        <f>IFERROR(VLOOKUP(A667,vdata_hours!$A$2:$B$1000,2,FALSE),"")</f>
        <v/>
      </c>
    </row>
    <row r="668" spans="1:13" x14ac:dyDescent="0.25">
      <c r="A668" s="23" t="str">
        <f>IF(vdata_hours!A667=0,"",vdata_hours!A667)</f>
        <v/>
      </c>
      <c r="B668" s="23" t="str">
        <f>IFERROR(INDEX(vdata_regressors!$A$1:$L$2000,MATCH($A668,vdata_regressors!$A$2:$A$2000,0)+1,MATCH(B$2,vdata_regressors!$A$1:$R$1,0)),"")</f>
        <v/>
      </c>
      <c r="C668" s="23" t="str">
        <f>IFERROR(INDEX(vdata_regressors!$A$1:$L$2000,MATCH($A668,vdata_regressors!$A$2:$A$2000,0)+1,MATCH(C$2,vdata_regressors!$A$1:$R$1,0)),"")</f>
        <v/>
      </c>
      <c r="D668" s="23" t="str">
        <f>IFERROR(INDEX(vdata_regressors!$A$1:$L$2000,MATCH($A668,vdata_regressors!$A$2:$A$2000,0)+1,MATCH(D$2,vdata_regressors!$A$1:$R$1,0)),"")</f>
        <v/>
      </c>
      <c r="E668" s="23" t="str">
        <f>IFERROR(INDEX(vdata_regressors!$A$1:$L$2000,MATCH($A668,vdata_regressors!$A$2:$A$2000,0)+1,MATCH(E$2,vdata_regressors!$A$1:$R$1,0)),"")</f>
        <v/>
      </c>
      <c r="F668" s="23" t="str">
        <f>IFERROR(INDEX(vdata_regressors!$A$1:$L$2000,MATCH($A668,vdata_regressors!$A$2:$A$2000,0)+1,MATCH(F$2,vdata_regressors!$A$1:$R$1,0)),"")</f>
        <v/>
      </c>
      <c r="G668" s="23" t="str">
        <f>IFERROR(INDEX(vdata_regressors!$A$1:$L$2000,MATCH($A668,vdata_regressors!$A$2:$A$2000,0)+1,MATCH(G$2,vdata_regressors!$A$1:$R$1,0)),"")</f>
        <v/>
      </c>
      <c r="H668" s="23" t="str">
        <f>IFERROR(INDEX(vdata_regressors!$A$1:$L$2000,MATCH($A668,vdata_regressors!$A$2:$A$2000,0)+1,MATCH(H$2,vdata_regressors!$A$1:$R$1,0)),"")</f>
        <v/>
      </c>
      <c r="I668" s="23" t="str">
        <f>IFERROR(INDEX(vdata_regressors!$A$1:$L$2000,MATCH($A668,vdata_regressors!$A$2:$A$2000,0)+1,MATCH(I$2,vdata_regressors!$A$1:$R$1,0)),"")</f>
        <v/>
      </c>
      <c r="J668" s="23" t="str">
        <f>IFERROR(INDEX(vdata_regressors!$A$1:$L$2000,MATCH($A668,vdata_regressors!$A$2:$A$2000,0)+1,MATCH(J$2,vdata_regressors!$A$1:$R$1,0)),"")</f>
        <v/>
      </c>
      <c r="K668" s="23" t="str">
        <f>IFERROR(INDEX(vdata_regressors!$A$1:$L$2000,MATCH($A668,vdata_regressors!$A$2:$A$2000,0)+1,MATCH(K$2,vdata_regressors!$A$1:$R$1,0)),"")</f>
        <v/>
      </c>
      <c r="L668" s="23" t="str">
        <f>IFERROR(INDEX(vdata_regressors!$A$1:$L$2000,MATCH($A668,vdata_regressors!$A$2:$A$2000,0)+1,MATCH(L$2,vdata_regressors!$A$1:$R$1,0)),"")</f>
        <v/>
      </c>
      <c r="M668" s="23" t="str">
        <f>IFERROR(VLOOKUP(A668,vdata_hours!$A$2:$B$1000,2,FALSE),"")</f>
        <v/>
      </c>
    </row>
    <row r="669" spans="1:13" x14ac:dyDescent="0.25">
      <c r="A669" s="23" t="str">
        <f>IF(vdata_hours!A668=0,"",vdata_hours!A668)</f>
        <v/>
      </c>
      <c r="B669" s="23" t="str">
        <f>IFERROR(INDEX(vdata_regressors!$A$1:$L$2000,MATCH($A669,vdata_regressors!$A$2:$A$2000,0)+1,MATCH(B$2,vdata_regressors!$A$1:$R$1,0)),"")</f>
        <v/>
      </c>
      <c r="C669" s="23" t="str">
        <f>IFERROR(INDEX(vdata_regressors!$A$1:$L$2000,MATCH($A669,vdata_regressors!$A$2:$A$2000,0)+1,MATCH(C$2,vdata_regressors!$A$1:$R$1,0)),"")</f>
        <v/>
      </c>
      <c r="D669" s="23" t="str">
        <f>IFERROR(INDEX(vdata_regressors!$A$1:$L$2000,MATCH($A669,vdata_regressors!$A$2:$A$2000,0)+1,MATCH(D$2,vdata_regressors!$A$1:$R$1,0)),"")</f>
        <v/>
      </c>
      <c r="E669" s="23" t="str">
        <f>IFERROR(INDEX(vdata_regressors!$A$1:$L$2000,MATCH($A669,vdata_regressors!$A$2:$A$2000,0)+1,MATCH(E$2,vdata_regressors!$A$1:$R$1,0)),"")</f>
        <v/>
      </c>
      <c r="F669" s="23" t="str">
        <f>IFERROR(INDEX(vdata_regressors!$A$1:$L$2000,MATCH($A669,vdata_regressors!$A$2:$A$2000,0)+1,MATCH(F$2,vdata_regressors!$A$1:$R$1,0)),"")</f>
        <v/>
      </c>
      <c r="G669" s="23" t="str">
        <f>IFERROR(INDEX(vdata_regressors!$A$1:$L$2000,MATCH($A669,vdata_regressors!$A$2:$A$2000,0)+1,MATCH(G$2,vdata_regressors!$A$1:$R$1,0)),"")</f>
        <v/>
      </c>
      <c r="H669" s="23" t="str">
        <f>IFERROR(INDEX(vdata_regressors!$A$1:$L$2000,MATCH($A669,vdata_regressors!$A$2:$A$2000,0)+1,MATCH(H$2,vdata_regressors!$A$1:$R$1,0)),"")</f>
        <v/>
      </c>
      <c r="I669" s="23" t="str">
        <f>IFERROR(INDEX(vdata_regressors!$A$1:$L$2000,MATCH($A669,vdata_regressors!$A$2:$A$2000,0)+1,MATCH(I$2,vdata_regressors!$A$1:$R$1,0)),"")</f>
        <v/>
      </c>
      <c r="J669" s="23" t="str">
        <f>IFERROR(INDEX(vdata_regressors!$A$1:$L$2000,MATCH($A669,vdata_regressors!$A$2:$A$2000,0)+1,MATCH(J$2,vdata_regressors!$A$1:$R$1,0)),"")</f>
        <v/>
      </c>
      <c r="K669" s="23" t="str">
        <f>IFERROR(INDEX(vdata_regressors!$A$1:$L$2000,MATCH($A669,vdata_regressors!$A$2:$A$2000,0)+1,MATCH(K$2,vdata_regressors!$A$1:$R$1,0)),"")</f>
        <v/>
      </c>
      <c r="L669" s="23" t="str">
        <f>IFERROR(INDEX(vdata_regressors!$A$1:$L$2000,MATCH($A669,vdata_regressors!$A$2:$A$2000,0)+1,MATCH(L$2,vdata_regressors!$A$1:$R$1,0)),"")</f>
        <v/>
      </c>
      <c r="M669" s="23" t="str">
        <f>IFERROR(VLOOKUP(A669,vdata_hours!$A$2:$B$1000,2,FALSE),"")</f>
        <v/>
      </c>
    </row>
    <row r="670" spans="1:13" x14ac:dyDescent="0.25">
      <c r="A670" s="23" t="str">
        <f>IF(vdata_hours!A669=0,"",vdata_hours!A669)</f>
        <v/>
      </c>
      <c r="B670" s="23" t="str">
        <f>IFERROR(INDEX(vdata_regressors!$A$1:$L$2000,MATCH($A670,vdata_regressors!$A$2:$A$2000,0)+1,MATCH(B$2,vdata_regressors!$A$1:$R$1,0)),"")</f>
        <v/>
      </c>
      <c r="C670" s="23" t="str">
        <f>IFERROR(INDEX(vdata_regressors!$A$1:$L$2000,MATCH($A670,vdata_regressors!$A$2:$A$2000,0)+1,MATCH(C$2,vdata_regressors!$A$1:$R$1,0)),"")</f>
        <v/>
      </c>
      <c r="D670" s="23" t="str">
        <f>IFERROR(INDEX(vdata_regressors!$A$1:$L$2000,MATCH($A670,vdata_regressors!$A$2:$A$2000,0)+1,MATCH(D$2,vdata_regressors!$A$1:$R$1,0)),"")</f>
        <v/>
      </c>
      <c r="E670" s="23" t="str">
        <f>IFERROR(INDEX(vdata_regressors!$A$1:$L$2000,MATCH($A670,vdata_regressors!$A$2:$A$2000,0)+1,MATCH(E$2,vdata_regressors!$A$1:$R$1,0)),"")</f>
        <v/>
      </c>
      <c r="F670" s="23" t="str">
        <f>IFERROR(INDEX(vdata_regressors!$A$1:$L$2000,MATCH($A670,vdata_regressors!$A$2:$A$2000,0)+1,MATCH(F$2,vdata_regressors!$A$1:$R$1,0)),"")</f>
        <v/>
      </c>
      <c r="G670" s="23" t="str">
        <f>IFERROR(INDEX(vdata_regressors!$A$1:$L$2000,MATCH($A670,vdata_regressors!$A$2:$A$2000,0)+1,MATCH(G$2,vdata_regressors!$A$1:$R$1,0)),"")</f>
        <v/>
      </c>
      <c r="H670" s="23" t="str">
        <f>IFERROR(INDEX(vdata_regressors!$A$1:$L$2000,MATCH($A670,vdata_regressors!$A$2:$A$2000,0)+1,MATCH(H$2,vdata_regressors!$A$1:$R$1,0)),"")</f>
        <v/>
      </c>
      <c r="I670" s="23" t="str">
        <f>IFERROR(INDEX(vdata_regressors!$A$1:$L$2000,MATCH($A670,vdata_regressors!$A$2:$A$2000,0)+1,MATCH(I$2,vdata_regressors!$A$1:$R$1,0)),"")</f>
        <v/>
      </c>
      <c r="J670" s="23" t="str">
        <f>IFERROR(INDEX(vdata_regressors!$A$1:$L$2000,MATCH($A670,vdata_regressors!$A$2:$A$2000,0)+1,MATCH(J$2,vdata_regressors!$A$1:$R$1,0)),"")</f>
        <v/>
      </c>
      <c r="K670" s="23" t="str">
        <f>IFERROR(INDEX(vdata_regressors!$A$1:$L$2000,MATCH($A670,vdata_regressors!$A$2:$A$2000,0)+1,MATCH(K$2,vdata_regressors!$A$1:$R$1,0)),"")</f>
        <v/>
      </c>
      <c r="L670" s="23" t="str">
        <f>IFERROR(INDEX(vdata_regressors!$A$1:$L$2000,MATCH($A670,vdata_regressors!$A$2:$A$2000,0)+1,MATCH(L$2,vdata_regressors!$A$1:$R$1,0)),"")</f>
        <v/>
      </c>
      <c r="M670" s="23" t="str">
        <f>IFERROR(VLOOKUP(A670,vdata_hours!$A$2:$B$1000,2,FALSE),"")</f>
        <v/>
      </c>
    </row>
    <row r="671" spans="1:13" x14ac:dyDescent="0.25">
      <c r="A671" s="23" t="str">
        <f>IF(vdata_hours!A670=0,"",vdata_hours!A670)</f>
        <v/>
      </c>
      <c r="B671" s="23" t="str">
        <f>IFERROR(INDEX(vdata_regressors!$A$1:$L$2000,MATCH($A671,vdata_regressors!$A$2:$A$2000,0)+1,MATCH(B$2,vdata_regressors!$A$1:$R$1,0)),"")</f>
        <v/>
      </c>
      <c r="C671" s="23" t="str">
        <f>IFERROR(INDEX(vdata_regressors!$A$1:$L$2000,MATCH($A671,vdata_regressors!$A$2:$A$2000,0)+1,MATCH(C$2,vdata_regressors!$A$1:$R$1,0)),"")</f>
        <v/>
      </c>
      <c r="D671" s="23" t="str">
        <f>IFERROR(INDEX(vdata_regressors!$A$1:$L$2000,MATCH($A671,vdata_regressors!$A$2:$A$2000,0)+1,MATCH(D$2,vdata_regressors!$A$1:$R$1,0)),"")</f>
        <v/>
      </c>
      <c r="E671" s="23" t="str">
        <f>IFERROR(INDEX(vdata_regressors!$A$1:$L$2000,MATCH($A671,vdata_regressors!$A$2:$A$2000,0)+1,MATCH(E$2,vdata_regressors!$A$1:$R$1,0)),"")</f>
        <v/>
      </c>
      <c r="F671" s="23" t="str">
        <f>IFERROR(INDEX(vdata_regressors!$A$1:$L$2000,MATCH($A671,vdata_regressors!$A$2:$A$2000,0)+1,MATCH(F$2,vdata_regressors!$A$1:$R$1,0)),"")</f>
        <v/>
      </c>
      <c r="G671" s="23" t="str">
        <f>IFERROR(INDEX(vdata_regressors!$A$1:$L$2000,MATCH($A671,vdata_regressors!$A$2:$A$2000,0)+1,MATCH(G$2,vdata_regressors!$A$1:$R$1,0)),"")</f>
        <v/>
      </c>
      <c r="H671" s="23" t="str">
        <f>IFERROR(INDEX(vdata_regressors!$A$1:$L$2000,MATCH($A671,vdata_regressors!$A$2:$A$2000,0)+1,MATCH(H$2,vdata_regressors!$A$1:$R$1,0)),"")</f>
        <v/>
      </c>
      <c r="I671" s="23" t="str">
        <f>IFERROR(INDEX(vdata_regressors!$A$1:$L$2000,MATCH($A671,vdata_regressors!$A$2:$A$2000,0)+1,MATCH(I$2,vdata_regressors!$A$1:$R$1,0)),"")</f>
        <v/>
      </c>
      <c r="J671" s="23" t="str">
        <f>IFERROR(INDEX(vdata_regressors!$A$1:$L$2000,MATCH($A671,vdata_regressors!$A$2:$A$2000,0)+1,MATCH(J$2,vdata_regressors!$A$1:$R$1,0)),"")</f>
        <v/>
      </c>
      <c r="K671" s="23" t="str">
        <f>IFERROR(INDEX(vdata_regressors!$A$1:$L$2000,MATCH($A671,vdata_regressors!$A$2:$A$2000,0)+1,MATCH(K$2,vdata_regressors!$A$1:$R$1,0)),"")</f>
        <v/>
      </c>
      <c r="L671" s="23" t="str">
        <f>IFERROR(INDEX(vdata_regressors!$A$1:$L$2000,MATCH($A671,vdata_regressors!$A$2:$A$2000,0)+1,MATCH(L$2,vdata_regressors!$A$1:$R$1,0)),"")</f>
        <v/>
      </c>
      <c r="M671" s="23" t="str">
        <f>IFERROR(VLOOKUP(A671,vdata_hours!$A$2:$B$1000,2,FALSE),"")</f>
        <v/>
      </c>
    </row>
    <row r="672" spans="1:13" x14ac:dyDescent="0.25">
      <c r="A672" s="23" t="str">
        <f>IF(vdata_hours!A671=0,"",vdata_hours!A671)</f>
        <v/>
      </c>
      <c r="B672" s="23" t="str">
        <f>IFERROR(INDEX(vdata_regressors!$A$1:$L$2000,MATCH($A672,vdata_regressors!$A$2:$A$2000,0)+1,MATCH(B$2,vdata_regressors!$A$1:$R$1,0)),"")</f>
        <v/>
      </c>
      <c r="C672" s="23" t="str">
        <f>IFERROR(INDEX(vdata_regressors!$A$1:$L$2000,MATCH($A672,vdata_regressors!$A$2:$A$2000,0)+1,MATCH(C$2,vdata_regressors!$A$1:$R$1,0)),"")</f>
        <v/>
      </c>
      <c r="D672" s="23" t="str">
        <f>IFERROR(INDEX(vdata_regressors!$A$1:$L$2000,MATCH($A672,vdata_regressors!$A$2:$A$2000,0)+1,MATCH(D$2,vdata_regressors!$A$1:$R$1,0)),"")</f>
        <v/>
      </c>
      <c r="E672" s="23" t="str">
        <f>IFERROR(INDEX(vdata_regressors!$A$1:$L$2000,MATCH($A672,vdata_regressors!$A$2:$A$2000,0)+1,MATCH(E$2,vdata_regressors!$A$1:$R$1,0)),"")</f>
        <v/>
      </c>
      <c r="F672" s="23" t="str">
        <f>IFERROR(INDEX(vdata_regressors!$A$1:$L$2000,MATCH($A672,vdata_regressors!$A$2:$A$2000,0)+1,MATCH(F$2,vdata_regressors!$A$1:$R$1,0)),"")</f>
        <v/>
      </c>
      <c r="G672" s="23" t="str">
        <f>IFERROR(INDEX(vdata_regressors!$A$1:$L$2000,MATCH($A672,vdata_regressors!$A$2:$A$2000,0)+1,MATCH(G$2,vdata_regressors!$A$1:$R$1,0)),"")</f>
        <v/>
      </c>
      <c r="H672" s="23" t="str">
        <f>IFERROR(INDEX(vdata_regressors!$A$1:$L$2000,MATCH($A672,vdata_regressors!$A$2:$A$2000,0)+1,MATCH(H$2,vdata_regressors!$A$1:$R$1,0)),"")</f>
        <v/>
      </c>
      <c r="I672" s="23" t="str">
        <f>IFERROR(INDEX(vdata_regressors!$A$1:$L$2000,MATCH($A672,vdata_regressors!$A$2:$A$2000,0)+1,MATCH(I$2,vdata_regressors!$A$1:$R$1,0)),"")</f>
        <v/>
      </c>
      <c r="J672" s="23" t="str">
        <f>IFERROR(INDEX(vdata_regressors!$A$1:$L$2000,MATCH($A672,vdata_regressors!$A$2:$A$2000,0)+1,MATCH(J$2,vdata_regressors!$A$1:$R$1,0)),"")</f>
        <v/>
      </c>
      <c r="K672" s="23" t="str">
        <f>IFERROR(INDEX(vdata_regressors!$A$1:$L$2000,MATCH($A672,vdata_regressors!$A$2:$A$2000,0)+1,MATCH(K$2,vdata_regressors!$A$1:$R$1,0)),"")</f>
        <v/>
      </c>
      <c r="L672" s="23" t="str">
        <f>IFERROR(INDEX(vdata_regressors!$A$1:$L$2000,MATCH($A672,vdata_regressors!$A$2:$A$2000,0)+1,MATCH(L$2,vdata_regressors!$A$1:$R$1,0)),"")</f>
        <v/>
      </c>
      <c r="M672" s="23" t="str">
        <f>IFERROR(VLOOKUP(A672,vdata_hours!$A$2:$B$1000,2,FALSE),"")</f>
        <v/>
      </c>
    </row>
    <row r="673" spans="1:13" x14ac:dyDescent="0.25">
      <c r="A673" s="23" t="str">
        <f>IF(vdata_hours!A672=0,"",vdata_hours!A672)</f>
        <v/>
      </c>
      <c r="B673" s="23" t="str">
        <f>IFERROR(INDEX(vdata_regressors!$A$1:$L$2000,MATCH($A673,vdata_regressors!$A$2:$A$2000,0)+1,MATCH(B$2,vdata_regressors!$A$1:$R$1,0)),"")</f>
        <v/>
      </c>
      <c r="C673" s="23" t="str">
        <f>IFERROR(INDEX(vdata_regressors!$A$1:$L$2000,MATCH($A673,vdata_regressors!$A$2:$A$2000,0)+1,MATCH(C$2,vdata_regressors!$A$1:$R$1,0)),"")</f>
        <v/>
      </c>
      <c r="D673" s="23" t="str">
        <f>IFERROR(INDEX(vdata_regressors!$A$1:$L$2000,MATCH($A673,vdata_regressors!$A$2:$A$2000,0)+1,MATCH(D$2,vdata_regressors!$A$1:$R$1,0)),"")</f>
        <v/>
      </c>
      <c r="E673" s="23" t="str">
        <f>IFERROR(INDEX(vdata_regressors!$A$1:$L$2000,MATCH($A673,vdata_regressors!$A$2:$A$2000,0)+1,MATCH(E$2,vdata_regressors!$A$1:$R$1,0)),"")</f>
        <v/>
      </c>
      <c r="F673" s="23" t="str">
        <f>IFERROR(INDEX(vdata_regressors!$A$1:$L$2000,MATCH($A673,vdata_regressors!$A$2:$A$2000,0)+1,MATCH(F$2,vdata_regressors!$A$1:$R$1,0)),"")</f>
        <v/>
      </c>
      <c r="G673" s="23" t="str">
        <f>IFERROR(INDEX(vdata_regressors!$A$1:$L$2000,MATCH($A673,vdata_regressors!$A$2:$A$2000,0)+1,MATCH(G$2,vdata_regressors!$A$1:$R$1,0)),"")</f>
        <v/>
      </c>
      <c r="H673" s="23" t="str">
        <f>IFERROR(INDEX(vdata_regressors!$A$1:$L$2000,MATCH($A673,vdata_regressors!$A$2:$A$2000,0)+1,MATCH(H$2,vdata_regressors!$A$1:$R$1,0)),"")</f>
        <v/>
      </c>
      <c r="I673" s="23" t="str">
        <f>IFERROR(INDEX(vdata_regressors!$A$1:$L$2000,MATCH($A673,vdata_regressors!$A$2:$A$2000,0)+1,MATCH(I$2,vdata_regressors!$A$1:$R$1,0)),"")</f>
        <v/>
      </c>
      <c r="J673" s="23" t="str">
        <f>IFERROR(INDEX(vdata_regressors!$A$1:$L$2000,MATCH($A673,vdata_regressors!$A$2:$A$2000,0)+1,MATCH(J$2,vdata_regressors!$A$1:$R$1,0)),"")</f>
        <v/>
      </c>
      <c r="K673" s="23" t="str">
        <f>IFERROR(INDEX(vdata_regressors!$A$1:$L$2000,MATCH($A673,vdata_regressors!$A$2:$A$2000,0)+1,MATCH(K$2,vdata_regressors!$A$1:$R$1,0)),"")</f>
        <v/>
      </c>
      <c r="L673" s="23" t="str">
        <f>IFERROR(INDEX(vdata_regressors!$A$1:$L$2000,MATCH($A673,vdata_regressors!$A$2:$A$2000,0)+1,MATCH(L$2,vdata_regressors!$A$1:$R$1,0)),"")</f>
        <v/>
      </c>
      <c r="M673" s="23" t="str">
        <f>IFERROR(VLOOKUP(A673,vdata_hours!$A$2:$B$1000,2,FALSE),"")</f>
        <v/>
      </c>
    </row>
    <row r="674" spans="1:13" x14ac:dyDescent="0.25">
      <c r="A674" s="23" t="str">
        <f>IF(vdata_hours!A673=0,"",vdata_hours!A673)</f>
        <v/>
      </c>
      <c r="B674" s="23" t="str">
        <f>IFERROR(INDEX(vdata_regressors!$A$1:$L$2000,MATCH($A674,vdata_regressors!$A$2:$A$2000,0)+1,MATCH(B$2,vdata_regressors!$A$1:$R$1,0)),"")</f>
        <v/>
      </c>
      <c r="C674" s="23" t="str">
        <f>IFERROR(INDEX(vdata_regressors!$A$1:$L$2000,MATCH($A674,vdata_regressors!$A$2:$A$2000,0)+1,MATCH(C$2,vdata_regressors!$A$1:$R$1,0)),"")</f>
        <v/>
      </c>
      <c r="D674" s="23" t="str">
        <f>IFERROR(INDEX(vdata_regressors!$A$1:$L$2000,MATCH($A674,vdata_regressors!$A$2:$A$2000,0)+1,MATCH(D$2,vdata_regressors!$A$1:$R$1,0)),"")</f>
        <v/>
      </c>
      <c r="E674" s="23" t="str">
        <f>IFERROR(INDEX(vdata_regressors!$A$1:$L$2000,MATCH($A674,vdata_regressors!$A$2:$A$2000,0)+1,MATCH(E$2,vdata_regressors!$A$1:$R$1,0)),"")</f>
        <v/>
      </c>
      <c r="F674" s="23" t="str">
        <f>IFERROR(INDEX(vdata_regressors!$A$1:$L$2000,MATCH($A674,vdata_regressors!$A$2:$A$2000,0)+1,MATCH(F$2,vdata_regressors!$A$1:$R$1,0)),"")</f>
        <v/>
      </c>
      <c r="G674" s="23" t="str">
        <f>IFERROR(INDEX(vdata_regressors!$A$1:$L$2000,MATCH($A674,vdata_regressors!$A$2:$A$2000,0)+1,MATCH(G$2,vdata_regressors!$A$1:$R$1,0)),"")</f>
        <v/>
      </c>
      <c r="H674" s="23" t="str">
        <f>IFERROR(INDEX(vdata_regressors!$A$1:$L$2000,MATCH($A674,vdata_regressors!$A$2:$A$2000,0)+1,MATCH(H$2,vdata_regressors!$A$1:$R$1,0)),"")</f>
        <v/>
      </c>
      <c r="I674" s="23" t="str">
        <f>IFERROR(INDEX(vdata_regressors!$A$1:$L$2000,MATCH($A674,vdata_regressors!$A$2:$A$2000,0)+1,MATCH(I$2,vdata_regressors!$A$1:$R$1,0)),"")</f>
        <v/>
      </c>
      <c r="J674" s="23" t="str">
        <f>IFERROR(INDEX(vdata_regressors!$A$1:$L$2000,MATCH($A674,vdata_regressors!$A$2:$A$2000,0)+1,MATCH(J$2,vdata_regressors!$A$1:$R$1,0)),"")</f>
        <v/>
      </c>
      <c r="K674" s="23" t="str">
        <f>IFERROR(INDEX(vdata_regressors!$A$1:$L$2000,MATCH($A674,vdata_regressors!$A$2:$A$2000,0)+1,MATCH(K$2,vdata_regressors!$A$1:$R$1,0)),"")</f>
        <v/>
      </c>
      <c r="L674" s="23" t="str">
        <f>IFERROR(INDEX(vdata_regressors!$A$1:$L$2000,MATCH($A674,vdata_regressors!$A$2:$A$2000,0)+1,MATCH(L$2,vdata_regressors!$A$1:$R$1,0)),"")</f>
        <v/>
      </c>
      <c r="M674" s="23" t="str">
        <f>IFERROR(VLOOKUP(A674,vdata_hours!$A$2:$B$1000,2,FALSE),"")</f>
        <v/>
      </c>
    </row>
    <row r="675" spans="1:13" x14ac:dyDescent="0.25">
      <c r="A675" s="23" t="str">
        <f>IF(vdata_hours!A674=0,"",vdata_hours!A674)</f>
        <v/>
      </c>
      <c r="B675" s="23" t="str">
        <f>IFERROR(INDEX(vdata_regressors!$A$1:$L$2000,MATCH($A675,vdata_regressors!$A$2:$A$2000,0)+1,MATCH(B$2,vdata_regressors!$A$1:$R$1,0)),"")</f>
        <v/>
      </c>
      <c r="C675" s="23" t="str">
        <f>IFERROR(INDEX(vdata_regressors!$A$1:$L$2000,MATCH($A675,vdata_regressors!$A$2:$A$2000,0)+1,MATCH(C$2,vdata_regressors!$A$1:$R$1,0)),"")</f>
        <v/>
      </c>
      <c r="D675" s="23" t="str">
        <f>IFERROR(INDEX(vdata_regressors!$A$1:$L$2000,MATCH($A675,vdata_regressors!$A$2:$A$2000,0)+1,MATCH(D$2,vdata_regressors!$A$1:$R$1,0)),"")</f>
        <v/>
      </c>
      <c r="E675" s="23" t="str">
        <f>IFERROR(INDEX(vdata_regressors!$A$1:$L$2000,MATCH($A675,vdata_regressors!$A$2:$A$2000,0)+1,MATCH(E$2,vdata_regressors!$A$1:$R$1,0)),"")</f>
        <v/>
      </c>
      <c r="F675" s="23" t="str">
        <f>IFERROR(INDEX(vdata_regressors!$A$1:$L$2000,MATCH($A675,vdata_regressors!$A$2:$A$2000,0)+1,MATCH(F$2,vdata_regressors!$A$1:$R$1,0)),"")</f>
        <v/>
      </c>
      <c r="G675" s="23" t="str">
        <f>IFERROR(INDEX(vdata_regressors!$A$1:$L$2000,MATCH($A675,vdata_regressors!$A$2:$A$2000,0)+1,MATCH(G$2,vdata_regressors!$A$1:$R$1,0)),"")</f>
        <v/>
      </c>
      <c r="H675" s="23" t="str">
        <f>IFERROR(INDEX(vdata_regressors!$A$1:$L$2000,MATCH($A675,vdata_regressors!$A$2:$A$2000,0)+1,MATCH(H$2,vdata_regressors!$A$1:$R$1,0)),"")</f>
        <v/>
      </c>
      <c r="I675" s="23" t="str">
        <f>IFERROR(INDEX(vdata_regressors!$A$1:$L$2000,MATCH($A675,vdata_regressors!$A$2:$A$2000,0)+1,MATCH(I$2,vdata_regressors!$A$1:$R$1,0)),"")</f>
        <v/>
      </c>
      <c r="J675" s="23" t="str">
        <f>IFERROR(INDEX(vdata_regressors!$A$1:$L$2000,MATCH($A675,vdata_regressors!$A$2:$A$2000,0)+1,MATCH(J$2,vdata_regressors!$A$1:$R$1,0)),"")</f>
        <v/>
      </c>
      <c r="K675" s="23" t="str">
        <f>IFERROR(INDEX(vdata_regressors!$A$1:$L$2000,MATCH($A675,vdata_regressors!$A$2:$A$2000,0)+1,MATCH(K$2,vdata_regressors!$A$1:$R$1,0)),"")</f>
        <v/>
      </c>
      <c r="L675" s="23" t="str">
        <f>IFERROR(INDEX(vdata_regressors!$A$1:$L$2000,MATCH($A675,vdata_regressors!$A$2:$A$2000,0)+1,MATCH(L$2,vdata_regressors!$A$1:$R$1,0)),"")</f>
        <v/>
      </c>
      <c r="M675" s="23" t="str">
        <f>IFERROR(VLOOKUP(A675,vdata_hours!$A$2:$B$1000,2,FALSE),"")</f>
        <v/>
      </c>
    </row>
    <row r="676" spans="1:13" x14ac:dyDescent="0.25">
      <c r="A676" s="23" t="str">
        <f>IF(vdata_hours!A675=0,"",vdata_hours!A675)</f>
        <v/>
      </c>
      <c r="B676" s="23" t="str">
        <f>IFERROR(INDEX(vdata_regressors!$A$1:$L$2000,MATCH($A676,vdata_regressors!$A$2:$A$2000,0)+1,MATCH(B$2,vdata_regressors!$A$1:$R$1,0)),"")</f>
        <v/>
      </c>
      <c r="C676" s="23" t="str">
        <f>IFERROR(INDEX(vdata_regressors!$A$1:$L$2000,MATCH($A676,vdata_regressors!$A$2:$A$2000,0)+1,MATCH(C$2,vdata_regressors!$A$1:$R$1,0)),"")</f>
        <v/>
      </c>
      <c r="D676" s="23" t="str">
        <f>IFERROR(INDEX(vdata_regressors!$A$1:$L$2000,MATCH($A676,vdata_regressors!$A$2:$A$2000,0)+1,MATCH(D$2,vdata_regressors!$A$1:$R$1,0)),"")</f>
        <v/>
      </c>
      <c r="E676" s="23" t="str">
        <f>IFERROR(INDEX(vdata_regressors!$A$1:$L$2000,MATCH($A676,vdata_regressors!$A$2:$A$2000,0)+1,MATCH(E$2,vdata_regressors!$A$1:$R$1,0)),"")</f>
        <v/>
      </c>
      <c r="F676" s="23" t="str">
        <f>IFERROR(INDEX(vdata_regressors!$A$1:$L$2000,MATCH($A676,vdata_regressors!$A$2:$A$2000,0)+1,MATCH(F$2,vdata_regressors!$A$1:$R$1,0)),"")</f>
        <v/>
      </c>
      <c r="G676" s="23" t="str">
        <f>IFERROR(INDEX(vdata_regressors!$A$1:$L$2000,MATCH($A676,vdata_regressors!$A$2:$A$2000,0)+1,MATCH(G$2,vdata_regressors!$A$1:$R$1,0)),"")</f>
        <v/>
      </c>
      <c r="H676" s="23" t="str">
        <f>IFERROR(INDEX(vdata_regressors!$A$1:$L$2000,MATCH($A676,vdata_regressors!$A$2:$A$2000,0)+1,MATCH(H$2,vdata_regressors!$A$1:$R$1,0)),"")</f>
        <v/>
      </c>
      <c r="I676" s="23" t="str">
        <f>IFERROR(INDEX(vdata_regressors!$A$1:$L$2000,MATCH($A676,vdata_regressors!$A$2:$A$2000,0)+1,MATCH(I$2,vdata_regressors!$A$1:$R$1,0)),"")</f>
        <v/>
      </c>
      <c r="J676" s="23" t="str">
        <f>IFERROR(INDEX(vdata_regressors!$A$1:$L$2000,MATCH($A676,vdata_regressors!$A$2:$A$2000,0)+1,MATCH(J$2,vdata_regressors!$A$1:$R$1,0)),"")</f>
        <v/>
      </c>
      <c r="K676" s="23" t="str">
        <f>IFERROR(INDEX(vdata_regressors!$A$1:$L$2000,MATCH($A676,vdata_regressors!$A$2:$A$2000,0)+1,MATCH(K$2,vdata_regressors!$A$1:$R$1,0)),"")</f>
        <v/>
      </c>
      <c r="L676" s="23" t="str">
        <f>IFERROR(INDEX(vdata_regressors!$A$1:$L$2000,MATCH($A676,vdata_regressors!$A$2:$A$2000,0)+1,MATCH(L$2,vdata_regressors!$A$1:$R$1,0)),"")</f>
        <v/>
      </c>
      <c r="M676" s="23" t="str">
        <f>IFERROR(VLOOKUP(A676,vdata_hours!$A$2:$B$1000,2,FALSE),"")</f>
        <v/>
      </c>
    </row>
    <row r="677" spans="1:13" x14ac:dyDescent="0.25">
      <c r="A677" s="23" t="str">
        <f>IF(vdata_hours!A676=0,"",vdata_hours!A676)</f>
        <v/>
      </c>
      <c r="B677" s="23" t="str">
        <f>IFERROR(INDEX(vdata_regressors!$A$1:$L$2000,MATCH($A677,vdata_regressors!$A$2:$A$2000,0)+1,MATCH(B$2,vdata_regressors!$A$1:$R$1,0)),"")</f>
        <v/>
      </c>
      <c r="C677" s="23" t="str">
        <f>IFERROR(INDEX(vdata_regressors!$A$1:$L$2000,MATCH($A677,vdata_regressors!$A$2:$A$2000,0)+1,MATCH(C$2,vdata_regressors!$A$1:$R$1,0)),"")</f>
        <v/>
      </c>
      <c r="D677" s="23" t="str">
        <f>IFERROR(INDEX(vdata_regressors!$A$1:$L$2000,MATCH($A677,vdata_regressors!$A$2:$A$2000,0)+1,MATCH(D$2,vdata_regressors!$A$1:$R$1,0)),"")</f>
        <v/>
      </c>
      <c r="E677" s="23" t="str">
        <f>IFERROR(INDEX(vdata_regressors!$A$1:$L$2000,MATCH($A677,vdata_regressors!$A$2:$A$2000,0)+1,MATCH(E$2,vdata_regressors!$A$1:$R$1,0)),"")</f>
        <v/>
      </c>
      <c r="F677" s="23" t="str">
        <f>IFERROR(INDEX(vdata_regressors!$A$1:$L$2000,MATCH($A677,vdata_regressors!$A$2:$A$2000,0)+1,MATCH(F$2,vdata_regressors!$A$1:$R$1,0)),"")</f>
        <v/>
      </c>
      <c r="G677" s="23" t="str">
        <f>IFERROR(INDEX(vdata_regressors!$A$1:$L$2000,MATCH($A677,vdata_regressors!$A$2:$A$2000,0)+1,MATCH(G$2,vdata_regressors!$A$1:$R$1,0)),"")</f>
        <v/>
      </c>
      <c r="H677" s="23" t="str">
        <f>IFERROR(INDEX(vdata_regressors!$A$1:$L$2000,MATCH($A677,vdata_regressors!$A$2:$A$2000,0)+1,MATCH(H$2,vdata_regressors!$A$1:$R$1,0)),"")</f>
        <v/>
      </c>
      <c r="I677" s="23" t="str">
        <f>IFERROR(INDEX(vdata_regressors!$A$1:$L$2000,MATCH($A677,vdata_regressors!$A$2:$A$2000,0)+1,MATCH(I$2,vdata_regressors!$A$1:$R$1,0)),"")</f>
        <v/>
      </c>
      <c r="J677" s="23" t="str">
        <f>IFERROR(INDEX(vdata_regressors!$A$1:$L$2000,MATCH($A677,vdata_regressors!$A$2:$A$2000,0)+1,MATCH(J$2,vdata_regressors!$A$1:$R$1,0)),"")</f>
        <v/>
      </c>
      <c r="K677" s="23" t="str">
        <f>IFERROR(INDEX(vdata_regressors!$A$1:$L$2000,MATCH($A677,vdata_regressors!$A$2:$A$2000,0)+1,MATCH(K$2,vdata_regressors!$A$1:$R$1,0)),"")</f>
        <v/>
      </c>
      <c r="L677" s="23" t="str">
        <f>IFERROR(INDEX(vdata_regressors!$A$1:$L$2000,MATCH($A677,vdata_regressors!$A$2:$A$2000,0)+1,MATCH(L$2,vdata_regressors!$A$1:$R$1,0)),"")</f>
        <v/>
      </c>
      <c r="M677" s="23" t="str">
        <f>IFERROR(VLOOKUP(A677,vdata_hours!$A$2:$B$1000,2,FALSE),"")</f>
        <v/>
      </c>
    </row>
    <row r="678" spans="1:13" x14ac:dyDescent="0.25">
      <c r="A678" s="23" t="str">
        <f>IF(vdata_hours!A677=0,"",vdata_hours!A677)</f>
        <v/>
      </c>
      <c r="B678" s="23" t="str">
        <f>IFERROR(INDEX(vdata_regressors!$A$1:$L$2000,MATCH($A678,vdata_regressors!$A$2:$A$2000,0)+1,MATCH(B$2,vdata_regressors!$A$1:$R$1,0)),"")</f>
        <v/>
      </c>
      <c r="C678" s="23" t="str">
        <f>IFERROR(INDEX(vdata_regressors!$A$1:$L$2000,MATCH($A678,vdata_regressors!$A$2:$A$2000,0)+1,MATCH(C$2,vdata_regressors!$A$1:$R$1,0)),"")</f>
        <v/>
      </c>
      <c r="D678" s="23" t="str">
        <f>IFERROR(INDEX(vdata_regressors!$A$1:$L$2000,MATCH($A678,vdata_regressors!$A$2:$A$2000,0)+1,MATCH(D$2,vdata_regressors!$A$1:$R$1,0)),"")</f>
        <v/>
      </c>
      <c r="E678" s="23" t="str">
        <f>IFERROR(INDEX(vdata_regressors!$A$1:$L$2000,MATCH($A678,vdata_regressors!$A$2:$A$2000,0)+1,MATCH(E$2,vdata_regressors!$A$1:$R$1,0)),"")</f>
        <v/>
      </c>
      <c r="F678" s="23" t="str">
        <f>IFERROR(INDEX(vdata_regressors!$A$1:$L$2000,MATCH($A678,vdata_regressors!$A$2:$A$2000,0)+1,MATCH(F$2,vdata_regressors!$A$1:$R$1,0)),"")</f>
        <v/>
      </c>
      <c r="G678" s="23" t="str">
        <f>IFERROR(INDEX(vdata_regressors!$A$1:$L$2000,MATCH($A678,vdata_regressors!$A$2:$A$2000,0)+1,MATCH(G$2,vdata_regressors!$A$1:$R$1,0)),"")</f>
        <v/>
      </c>
      <c r="H678" s="23" t="str">
        <f>IFERROR(INDEX(vdata_regressors!$A$1:$L$2000,MATCH($A678,vdata_regressors!$A$2:$A$2000,0)+1,MATCH(H$2,vdata_regressors!$A$1:$R$1,0)),"")</f>
        <v/>
      </c>
      <c r="I678" s="23" t="str">
        <f>IFERROR(INDEX(vdata_regressors!$A$1:$L$2000,MATCH($A678,vdata_regressors!$A$2:$A$2000,0)+1,MATCH(I$2,vdata_regressors!$A$1:$R$1,0)),"")</f>
        <v/>
      </c>
      <c r="J678" s="23" t="str">
        <f>IFERROR(INDEX(vdata_regressors!$A$1:$L$2000,MATCH($A678,vdata_regressors!$A$2:$A$2000,0)+1,MATCH(J$2,vdata_regressors!$A$1:$R$1,0)),"")</f>
        <v/>
      </c>
      <c r="K678" s="23" t="str">
        <f>IFERROR(INDEX(vdata_regressors!$A$1:$L$2000,MATCH($A678,vdata_regressors!$A$2:$A$2000,0)+1,MATCH(K$2,vdata_regressors!$A$1:$R$1,0)),"")</f>
        <v/>
      </c>
      <c r="L678" s="23" t="str">
        <f>IFERROR(INDEX(vdata_regressors!$A$1:$L$2000,MATCH($A678,vdata_regressors!$A$2:$A$2000,0)+1,MATCH(L$2,vdata_regressors!$A$1:$R$1,0)),"")</f>
        <v/>
      </c>
      <c r="M678" s="23" t="str">
        <f>IFERROR(VLOOKUP(A678,vdata_hours!$A$2:$B$1000,2,FALSE),"")</f>
        <v/>
      </c>
    </row>
    <row r="679" spans="1:13" x14ac:dyDescent="0.25">
      <c r="A679" s="23" t="str">
        <f>IF(vdata_hours!A678=0,"",vdata_hours!A678)</f>
        <v/>
      </c>
      <c r="B679" s="23" t="str">
        <f>IFERROR(INDEX(vdata_regressors!$A$1:$L$2000,MATCH($A679,vdata_regressors!$A$2:$A$2000,0)+1,MATCH(B$2,vdata_regressors!$A$1:$R$1,0)),"")</f>
        <v/>
      </c>
      <c r="C679" s="23" t="str">
        <f>IFERROR(INDEX(vdata_regressors!$A$1:$L$2000,MATCH($A679,vdata_regressors!$A$2:$A$2000,0)+1,MATCH(C$2,vdata_regressors!$A$1:$R$1,0)),"")</f>
        <v/>
      </c>
      <c r="D679" s="23" t="str">
        <f>IFERROR(INDEX(vdata_regressors!$A$1:$L$2000,MATCH($A679,vdata_regressors!$A$2:$A$2000,0)+1,MATCH(D$2,vdata_regressors!$A$1:$R$1,0)),"")</f>
        <v/>
      </c>
      <c r="E679" s="23" t="str">
        <f>IFERROR(INDEX(vdata_regressors!$A$1:$L$2000,MATCH($A679,vdata_regressors!$A$2:$A$2000,0)+1,MATCH(E$2,vdata_regressors!$A$1:$R$1,0)),"")</f>
        <v/>
      </c>
      <c r="F679" s="23" t="str">
        <f>IFERROR(INDEX(vdata_regressors!$A$1:$L$2000,MATCH($A679,vdata_regressors!$A$2:$A$2000,0)+1,MATCH(F$2,vdata_regressors!$A$1:$R$1,0)),"")</f>
        <v/>
      </c>
      <c r="G679" s="23" t="str">
        <f>IFERROR(INDEX(vdata_regressors!$A$1:$L$2000,MATCH($A679,vdata_regressors!$A$2:$A$2000,0)+1,MATCH(G$2,vdata_regressors!$A$1:$R$1,0)),"")</f>
        <v/>
      </c>
      <c r="H679" s="23" t="str">
        <f>IFERROR(INDEX(vdata_regressors!$A$1:$L$2000,MATCH($A679,vdata_regressors!$A$2:$A$2000,0)+1,MATCH(H$2,vdata_regressors!$A$1:$R$1,0)),"")</f>
        <v/>
      </c>
      <c r="I679" s="23" t="str">
        <f>IFERROR(INDEX(vdata_regressors!$A$1:$L$2000,MATCH($A679,vdata_regressors!$A$2:$A$2000,0)+1,MATCH(I$2,vdata_regressors!$A$1:$R$1,0)),"")</f>
        <v/>
      </c>
      <c r="J679" s="23" t="str">
        <f>IFERROR(INDEX(vdata_regressors!$A$1:$L$2000,MATCH($A679,vdata_regressors!$A$2:$A$2000,0)+1,MATCH(J$2,vdata_regressors!$A$1:$R$1,0)),"")</f>
        <v/>
      </c>
      <c r="K679" s="23" t="str">
        <f>IFERROR(INDEX(vdata_regressors!$A$1:$L$2000,MATCH($A679,vdata_regressors!$A$2:$A$2000,0)+1,MATCH(K$2,vdata_regressors!$A$1:$R$1,0)),"")</f>
        <v/>
      </c>
      <c r="L679" s="23" t="str">
        <f>IFERROR(INDEX(vdata_regressors!$A$1:$L$2000,MATCH($A679,vdata_regressors!$A$2:$A$2000,0)+1,MATCH(L$2,vdata_regressors!$A$1:$R$1,0)),"")</f>
        <v/>
      </c>
      <c r="M679" s="23" t="str">
        <f>IFERROR(VLOOKUP(A679,vdata_hours!$A$2:$B$1000,2,FALSE),"")</f>
        <v/>
      </c>
    </row>
    <row r="680" spans="1:13" x14ac:dyDescent="0.25">
      <c r="A680" s="23" t="str">
        <f>IF(vdata_hours!A679=0,"",vdata_hours!A679)</f>
        <v/>
      </c>
      <c r="B680" s="23" t="str">
        <f>IFERROR(INDEX(vdata_regressors!$A$1:$L$2000,MATCH($A680,vdata_regressors!$A$2:$A$2000,0)+1,MATCH(B$2,vdata_regressors!$A$1:$R$1,0)),"")</f>
        <v/>
      </c>
      <c r="C680" s="23" t="str">
        <f>IFERROR(INDEX(vdata_regressors!$A$1:$L$2000,MATCH($A680,vdata_regressors!$A$2:$A$2000,0)+1,MATCH(C$2,vdata_regressors!$A$1:$R$1,0)),"")</f>
        <v/>
      </c>
      <c r="D680" s="23" t="str">
        <f>IFERROR(INDEX(vdata_regressors!$A$1:$L$2000,MATCH($A680,vdata_regressors!$A$2:$A$2000,0)+1,MATCH(D$2,vdata_regressors!$A$1:$R$1,0)),"")</f>
        <v/>
      </c>
      <c r="E680" s="23" t="str">
        <f>IFERROR(INDEX(vdata_regressors!$A$1:$L$2000,MATCH($A680,vdata_regressors!$A$2:$A$2000,0)+1,MATCH(E$2,vdata_regressors!$A$1:$R$1,0)),"")</f>
        <v/>
      </c>
      <c r="F680" s="23" t="str">
        <f>IFERROR(INDEX(vdata_regressors!$A$1:$L$2000,MATCH($A680,vdata_regressors!$A$2:$A$2000,0)+1,MATCH(F$2,vdata_regressors!$A$1:$R$1,0)),"")</f>
        <v/>
      </c>
      <c r="G680" s="23" t="str">
        <f>IFERROR(INDEX(vdata_regressors!$A$1:$L$2000,MATCH($A680,vdata_regressors!$A$2:$A$2000,0)+1,MATCH(G$2,vdata_regressors!$A$1:$R$1,0)),"")</f>
        <v/>
      </c>
      <c r="H680" s="23" t="str">
        <f>IFERROR(INDEX(vdata_regressors!$A$1:$L$2000,MATCH($A680,vdata_regressors!$A$2:$A$2000,0)+1,MATCH(H$2,vdata_regressors!$A$1:$R$1,0)),"")</f>
        <v/>
      </c>
      <c r="I680" s="23" t="str">
        <f>IFERROR(INDEX(vdata_regressors!$A$1:$L$2000,MATCH($A680,vdata_regressors!$A$2:$A$2000,0)+1,MATCH(I$2,vdata_regressors!$A$1:$R$1,0)),"")</f>
        <v/>
      </c>
      <c r="J680" s="23" t="str">
        <f>IFERROR(INDEX(vdata_regressors!$A$1:$L$2000,MATCH($A680,vdata_regressors!$A$2:$A$2000,0)+1,MATCH(J$2,vdata_regressors!$A$1:$R$1,0)),"")</f>
        <v/>
      </c>
      <c r="K680" s="23" t="str">
        <f>IFERROR(INDEX(vdata_regressors!$A$1:$L$2000,MATCH($A680,vdata_regressors!$A$2:$A$2000,0)+1,MATCH(K$2,vdata_regressors!$A$1:$R$1,0)),"")</f>
        <v/>
      </c>
      <c r="L680" s="23" t="str">
        <f>IFERROR(INDEX(vdata_regressors!$A$1:$L$2000,MATCH($A680,vdata_regressors!$A$2:$A$2000,0)+1,MATCH(L$2,vdata_regressors!$A$1:$R$1,0)),"")</f>
        <v/>
      </c>
      <c r="M680" s="23" t="str">
        <f>IFERROR(VLOOKUP(A680,vdata_hours!$A$2:$B$1000,2,FALSE),"")</f>
        <v/>
      </c>
    </row>
    <row r="681" spans="1:13" x14ac:dyDescent="0.25">
      <c r="A681" s="23" t="str">
        <f>IF(vdata_hours!A680=0,"",vdata_hours!A680)</f>
        <v/>
      </c>
      <c r="B681" s="23" t="str">
        <f>IFERROR(INDEX(vdata_regressors!$A$1:$L$2000,MATCH($A681,vdata_regressors!$A$2:$A$2000,0)+1,MATCH(B$2,vdata_regressors!$A$1:$R$1,0)),"")</f>
        <v/>
      </c>
      <c r="C681" s="23" t="str">
        <f>IFERROR(INDEX(vdata_regressors!$A$1:$L$2000,MATCH($A681,vdata_regressors!$A$2:$A$2000,0)+1,MATCH(C$2,vdata_regressors!$A$1:$R$1,0)),"")</f>
        <v/>
      </c>
      <c r="D681" s="23" t="str">
        <f>IFERROR(INDEX(vdata_regressors!$A$1:$L$2000,MATCH($A681,vdata_regressors!$A$2:$A$2000,0)+1,MATCH(D$2,vdata_regressors!$A$1:$R$1,0)),"")</f>
        <v/>
      </c>
      <c r="E681" s="23" t="str">
        <f>IFERROR(INDEX(vdata_regressors!$A$1:$L$2000,MATCH($A681,vdata_regressors!$A$2:$A$2000,0)+1,MATCH(E$2,vdata_regressors!$A$1:$R$1,0)),"")</f>
        <v/>
      </c>
      <c r="F681" s="23" t="str">
        <f>IFERROR(INDEX(vdata_regressors!$A$1:$L$2000,MATCH($A681,vdata_regressors!$A$2:$A$2000,0)+1,MATCH(F$2,vdata_regressors!$A$1:$R$1,0)),"")</f>
        <v/>
      </c>
      <c r="G681" s="23" t="str">
        <f>IFERROR(INDEX(vdata_regressors!$A$1:$L$2000,MATCH($A681,vdata_regressors!$A$2:$A$2000,0)+1,MATCH(G$2,vdata_regressors!$A$1:$R$1,0)),"")</f>
        <v/>
      </c>
      <c r="H681" s="23" t="str">
        <f>IFERROR(INDEX(vdata_regressors!$A$1:$L$2000,MATCH($A681,vdata_regressors!$A$2:$A$2000,0)+1,MATCH(H$2,vdata_regressors!$A$1:$R$1,0)),"")</f>
        <v/>
      </c>
      <c r="I681" s="23" t="str">
        <f>IFERROR(INDEX(vdata_regressors!$A$1:$L$2000,MATCH($A681,vdata_regressors!$A$2:$A$2000,0)+1,MATCH(I$2,vdata_regressors!$A$1:$R$1,0)),"")</f>
        <v/>
      </c>
      <c r="J681" s="23" t="str">
        <f>IFERROR(INDEX(vdata_regressors!$A$1:$L$2000,MATCH($A681,vdata_regressors!$A$2:$A$2000,0)+1,MATCH(J$2,vdata_regressors!$A$1:$R$1,0)),"")</f>
        <v/>
      </c>
      <c r="K681" s="23" t="str">
        <f>IFERROR(INDEX(vdata_regressors!$A$1:$L$2000,MATCH($A681,vdata_regressors!$A$2:$A$2000,0)+1,MATCH(K$2,vdata_regressors!$A$1:$R$1,0)),"")</f>
        <v/>
      </c>
      <c r="L681" s="23" t="str">
        <f>IFERROR(INDEX(vdata_regressors!$A$1:$L$2000,MATCH($A681,vdata_regressors!$A$2:$A$2000,0)+1,MATCH(L$2,vdata_regressors!$A$1:$R$1,0)),"")</f>
        <v/>
      </c>
      <c r="M681" s="23" t="str">
        <f>IFERROR(VLOOKUP(A681,vdata_hours!$A$2:$B$1000,2,FALSE),"")</f>
        <v/>
      </c>
    </row>
    <row r="682" spans="1:13" x14ac:dyDescent="0.25">
      <c r="A682" s="23" t="str">
        <f>IF(vdata_hours!A681=0,"",vdata_hours!A681)</f>
        <v/>
      </c>
      <c r="B682" s="23" t="str">
        <f>IFERROR(INDEX(vdata_regressors!$A$1:$L$2000,MATCH($A682,vdata_regressors!$A$2:$A$2000,0)+1,MATCH(B$2,vdata_regressors!$A$1:$R$1,0)),"")</f>
        <v/>
      </c>
      <c r="C682" s="23" t="str">
        <f>IFERROR(INDEX(vdata_regressors!$A$1:$L$2000,MATCH($A682,vdata_regressors!$A$2:$A$2000,0)+1,MATCH(C$2,vdata_regressors!$A$1:$R$1,0)),"")</f>
        <v/>
      </c>
      <c r="D682" s="23" t="str">
        <f>IFERROR(INDEX(vdata_regressors!$A$1:$L$2000,MATCH($A682,vdata_regressors!$A$2:$A$2000,0)+1,MATCH(D$2,vdata_regressors!$A$1:$R$1,0)),"")</f>
        <v/>
      </c>
      <c r="E682" s="23" t="str">
        <f>IFERROR(INDEX(vdata_regressors!$A$1:$L$2000,MATCH($A682,vdata_regressors!$A$2:$A$2000,0)+1,MATCH(E$2,vdata_regressors!$A$1:$R$1,0)),"")</f>
        <v/>
      </c>
      <c r="F682" s="23" t="str">
        <f>IFERROR(INDEX(vdata_regressors!$A$1:$L$2000,MATCH($A682,vdata_regressors!$A$2:$A$2000,0)+1,MATCH(F$2,vdata_regressors!$A$1:$R$1,0)),"")</f>
        <v/>
      </c>
      <c r="G682" s="23" t="str">
        <f>IFERROR(INDEX(vdata_regressors!$A$1:$L$2000,MATCH($A682,vdata_regressors!$A$2:$A$2000,0)+1,MATCH(G$2,vdata_regressors!$A$1:$R$1,0)),"")</f>
        <v/>
      </c>
      <c r="H682" s="23" t="str">
        <f>IFERROR(INDEX(vdata_regressors!$A$1:$L$2000,MATCH($A682,vdata_regressors!$A$2:$A$2000,0)+1,MATCH(H$2,vdata_regressors!$A$1:$R$1,0)),"")</f>
        <v/>
      </c>
      <c r="I682" s="23" t="str">
        <f>IFERROR(INDEX(vdata_regressors!$A$1:$L$2000,MATCH($A682,vdata_regressors!$A$2:$A$2000,0)+1,MATCH(I$2,vdata_regressors!$A$1:$R$1,0)),"")</f>
        <v/>
      </c>
      <c r="J682" s="23" t="str">
        <f>IFERROR(INDEX(vdata_regressors!$A$1:$L$2000,MATCH($A682,vdata_regressors!$A$2:$A$2000,0)+1,MATCH(J$2,vdata_regressors!$A$1:$R$1,0)),"")</f>
        <v/>
      </c>
      <c r="K682" s="23" t="str">
        <f>IFERROR(INDEX(vdata_regressors!$A$1:$L$2000,MATCH($A682,vdata_regressors!$A$2:$A$2000,0)+1,MATCH(K$2,vdata_regressors!$A$1:$R$1,0)),"")</f>
        <v/>
      </c>
      <c r="L682" s="23" t="str">
        <f>IFERROR(INDEX(vdata_regressors!$A$1:$L$2000,MATCH($A682,vdata_regressors!$A$2:$A$2000,0)+1,MATCH(L$2,vdata_regressors!$A$1:$R$1,0)),"")</f>
        <v/>
      </c>
      <c r="M682" s="23" t="str">
        <f>IFERROR(VLOOKUP(A682,vdata_hours!$A$2:$B$1000,2,FALSE),"")</f>
        <v/>
      </c>
    </row>
    <row r="683" spans="1:13" x14ac:dyDescent="0.25">
      <c r="A683" s="23" t="str">
        <f>IF(vdata_hours!A682=0,"",vdata_hours!A682)</f>
        <v/>
      </c>
      <c r="B683" s="23" t="str">
        <f>IFERROR(INDEX(vdata_regressors!$A$1:$L$2000,MATCH($A683,vdata_regressors!$A$2:$A$2000,0)+1,MATCH(B$2,vdata_regressors!$A$1:$R$1,0)),"")</f>
        <v/>
      </c>
      <c r="C683" s="23" t="str">
        <f>IFERROR(INDEX(vdata_regressors!$A$1:$L$2000,MATCH($A683,vdata_regressors!$A$2:$A$2000,0)+1,MATCH(C$2,vdata_regressors!$A$1:$R$1,0)),"")</f>
        <v/>
      </c>
      <c r="D683" s="23" t="str">
        <f>IFERROR(INDEX(vdata_regressors!$A$1:$L$2000,MATCH($A683,vdata_regressors!$A$2:$A$2000,0)+1,MATCH(D$2,vdata_regressors!$A$1:$R$1,0)),"")</f>
        <v/>
      </c>
      <c r="E683" s="23" t="str">
        <f>IFERROR(INDEX(vdata_regressors!$A$1:$L$2000,MATCH($A683,vdata_regressors!$A$2:$A$2000,0)+1,MATCH(E$2,vdata_regressors!$A$1:$R$1,0)),"")</f>
        <v/>
      </c>
      <c r="F683" s="23" t="str">
        <f>IFERROR(INDEX(vdata_regressors!$A$1:$L$2000,MATCH($A683,vdata_regressors!$A$2:$A$2000,0)+1,MATCH(F$2,vdata_regressors!$A$1:$R$1,0)),"")</f>
        <v/>
      </c>
      <c r="G683" s="23" t="str">
        <f>IFERROR(INDEX(vdata_regressors!$A$1:$L$2000,MATCH($A683,vdata_regressors!$A$2:$A$2000,0)+1,MATCH(G$2,vdata_regressors!$A$1:$R$1,0)),"")</f>
        <v/>
      </c>
      <c r="H683" s="23" t="str">
        <f>IFERROR(INDEX(vdata_regressors!$A$1:$L$2000,MATCH($A683,vdata_regressors!$A$2:$A$2000,0)+1,MATCH(H$2,vdata_regressors!$A$1:$R$1,0)),"")</f>
        <v/>
      </c>
      <c r="I683" s="23" t="str">
        <f>IFERROR(INDEX(vdata_regressors!$A$1:$L$2000,MATCH($A683,vdata_regressors!$A$2:$A$2000,0)+1,MATCH(I$2,vdata_regressors!$A$1:$R$1,0)),"")</f>
        <v/>
      </c>
      <c r="J683" s="23" t="str">
        <f>IFERROR(INDEX(vdata_regressors!$A$1:$L$2000,MATCH($A683,vdata_regressors!$A$2:$A$2000,0)+1,MATCH(J$2,vdata_regressors!$A$1:$R$1,0)),"")</f>
        <v/>
      </c>
      <c r="K683" s="23" t="str">
        <f>IFERROR(INDEX(vdata_regressors!$A$1:$L$2000,MATCH($A683,vdata_regressors!$A$2:$A$2000,0)+1,MATCH(K$2,vdata_regressors!$A$1:$R$1,0)),"")</f>
        <v/>
      </c>
      <c r="L683" s="23" t="str">
        <f>IFERROR(INDEX(vdata_regressors!$A$1:$L$2000,MATCH($A683,vdata_regressors!$A$2:$A$2000,0)+1,MATCH(L$2,vdata_regressors!$A$1:$R$1,0)),"")</f>
        <v/>
      </c>
      <c r="M683" s="23" t="str">
        <f>IFERROR(VLOOKUP(A683,vdata_hours!$A$2:$B$1000,2,FALSE),"")</f>
        <v/>
      </c>
    </row>
    <row r="684" spans="1:13" x14ac:dyDescent="0.25">
      <c r="A684" s="23" t="str">
        <f>IF(vdata_hours!A683=0,"",vdata_hours!A683)</f>
        <v/>
      </c>
      <c r="B684" s="23" t="str">
        <f>IFERROR(INDEX(vdata_regressors!$A$1:$L$2000,MATCH($A684,vdata_regressors!$A$2:$A$2000,0)+1,MATCH(B$2,vdata_regressors!$A$1:$R$1,0)),"")</f>
        <v/>
      </c>
      <c r="C684" s="23" t="str">
        <f>IFERROR(INDEX(vdata_regressors!$A$1:$L$2000,MATCH($A684,vdata_regressors!$A$2:$A$2000,0)+1,MATCH(C$2,vdata_regressors!$A$1:$R$1,0)),"")</f>
        <v/>
      </c>
      <c r="D684" s="23" t="str">
        <f>IFERROR(INDEX(vdata_regressors!$A$1:$L$2000,MATCH($A684,vdata_regressors!$A$2:$A$2000,0)+1,MATCH(D$2,vdata_regressors!$A$1:$R$1,0)),"")</f>
        <v/>
      </c>
      <c r="E684" s="23" t="str">
        <f>IFERROR(INDEX(vdata_regressors!$A$1:$L$2000,MATCH($A684,vdata_regressors!$A$2:$A$2000,0)+1,MATCH(E$2,vdata_regressors!$A$1:$R$1,0)),"")</f>
        <v/>
      </c>
      <c r="F684" s="23" t="str">
        <f>IFERROR(INDEX(vdata_regressors!$A$1:$L$2000,MATCH($A684,vdata_regressors!$A$2:$A$2000,0)+1,MATCH(F$2,vdata_regressors!$A$1:$R$1,0)),"")</f>
        <v/>
      </c>
      <c r="G684" s="23" t="str">
        <f>IFERROR(INDEX(vdata_regressors!$A$1:$L$2000,MATCH($A684,vdata_regressors!$A$2:$A$2000,0)+1,MATCH(G$2,vdata_regressors!$A$1:$R$1,0)),"")</f>
        <v/>
      </c>
      <c r="H684" s="23" t="str">
        <f>IFERROR(INDEX(vdata_regressors!$A$1:$L$2000,MATCH($A684,vdata_regressors!$A$2:$A$2000,0)+1,MATCH(H$2,vdata_regressors!$A$1:$R$1,0)),"")</f>
        <v/>
      </c>
      <c r="I684" s="23" t="str">
        <f>IFERROR(INDEX(vdata_regressors!$A$1:$L$2000,MATCH($A684,vdata_regressors!$A$2:$A$2000,0)+1,MATCH(I$2,vdata_regressors!$A$1:$R$1,0)),"")</f>
        <v/>
      </c>
      <c r="J684" s="23" t="str">
        <f>IFERROR(INDEX(vdata_regressors!$A$1:$L$2000,MATCH($A684,vdata_regressors!$A$2:$A$2000,0)+1,MATCH(J$2,vdata_regressors!$A$1:$R$1,0)),"")</f>
        <v/>
      </c>
      <c r="K684" s="23" t="str">
        <f>IFERROR(INDEX(vdata_regressors!$A$1:$L$2000,MATCH($A684,vdata_regressors!$A$2:$A$2000,0)+1,MATCH(K$2,vdata_regressors!$A$1:$R$1,0)),"")</f>
        <v/>
      </c>
      <c r="L684" s="23" t="str">
        <f>IFERROR(INDEX(vdata_regressors!$A$1:$L$2000,MATCH($A684,vdata_regressors!$A$2:$A$2000,0)+1,MATCH(L$2,vdata_regressors!$A$1:$R$1,0)),"")</f>
        <v/>
      </c>
      <c r="M684" s="23" t="str">
        <f>IFERROR(VLOOKUP(A684,vdata_hours!$A$2:$B$1000,2,FALSE),"")</f>
        <v/>
      </c>
    </row>
    <row r="685" spans="1:13" x14ac:dyDescent="0.25">
      <c r="A685" s="23" t="str">
        <f>IF(vdata_hours!A684=0,"",vdata_hours!A684)</f>
        <v/>
      </c>
      <c r="B685" s="23" t="str">
        <f>IFERROR(INDEX(vdata_regressors!$A$1:$L$2000,MATCH($A685,vdata_regressors!$A$2:$A$2000,0)+1,MATCH(B$2,vdata_regressors!$A$1:$R$1,0)),"")</f>
        <v/>
      </c>
      <c r="C685" s="23" t="str">
        <f>IFERROR(INDEX(vdata_regressors!$A$1:$L$2000,MATCH($A685,vdata_regressors!$A$2:$A$2000,0)+1,MATCH(C$2,vdata_regressors!$A$1:$R$1,0)),"")</f>
        <v/>
      </c>
      <c r="D685" s="23" t="str">
        <f>IFERROR(INDEX(vdata_regressors!$A$1:$L$2000,MATCH($A685,vdata_regressors!$A$2:$A$2000,0)+1,MATCH(D$2,vdata_regressors!$A$1:$R$1,0)),"")</f>
        <v/>
      </c>
      <c r="E685" s="23" t="str">
        <f>IFERROR(INDEX(vdata_regressors!$A$1:$L$2000,MATCH($A685,vdata_regressors!$A$2:$A$2000,0)+1,MATCH(E$2,vdata_regressors!$A$1:$R$1,0)),"")</f>
        <v/>
      </c>
      <c r="F685" s="23" t="str">
        <f>IFERROR(INDEX(vdata_regressors!$A$1:$L$2000,MATCH($A685,vdata_regressors!$A$2:$A$2000,0)+1,MATCH(F$2,vdata_regressors!$A$1:$R$1,0)),"")</f>
        <v/>
      </c>
      <c r="G685" s="23" t="str">
        <f>IFERROR(INDEX(vdata_regressors!$A$1:$L$2000,MATCH($A685,vdata_regressors!$A$2:$A$2000,0)+1,MATCH(G$2,vdata_regressors!$A$1:$R$1,0)),"")</f>
        <v/>
      </c>
      <c r="H685" s="23" t="str">
        <f>IFERROR(INDEX(vdata_regressors!$A$1:$L$2000,MATCH($A685,vdata_regressors!$A$2:$A$2000,0)+1,MATCH(H$2,vdata_regressors!$A$1:$R$1,0)),"")</f>
        <v/>
      </c>
      <c r="I685" s="23" t="str">
        <f>IFERROR(INDEX(vdata_regressors!$A$1:$L$2000,MATCH($A685,vdata_regressors!$A$2:$A$2000,0)+1,MATCH(I$2,vdata_regressors!$A$1:$R$1,0)),"")</f>
        <v/>
      </c>
      <c r="J685" s="23" t="str">
        <f>IFERROR(INDEX(vdata_regressors!$A$1:$L$2000,MATCH($A685,vdata_regressors!$A$2:$A$2000,0)+1,MATCH(J$2,vdata_regressors!$A$1:$R$1,0)),"")</f>
        <v/>
      </c>
      <c r="K685" s="23" t="str">
        <f>IFERROR(INDEX(vdata_regressors!$A$1:$L$2000,MATCH($A685,vdata_regressors!$A$2:$A$2000,0)+1,MATCH(K$2,vdata_regressors!$A$1:$R$1,0)),"")</f>
        <v/>
      </c>
      <c r="L685" s="23" t="str">
        <f>IFERROR(INDEX(vdata_regressors!$A$1:$L$2000,MATCH($A685,vdata_regressors!$A$2:$A$2000,0)+1,MATCH(L$2,vdata_regressors!$A$1:$R$1,0)),"")</f>
        <v/>
      </c>
      <c r="M685" s="23" t="str">
        <f>IFERROR(VLOOKUP(A685,vdata_hours!$A$2:$B$1000,2,FALSE),"")</f>
        <v/>
      </c>
    </row>
    <row r="686" spans="1:13" x14ac:dyDescent="0.25">
      <c r="A686" s="23" t="str">
        <f>IF(vdata_hours!A685=0,"",vdata_hours!A685)</f>
        <v/>
      </c>
      <c r="B686" s="23" t="str">
        <f>IFERROR(INDEX(vdata_regressors!$A$1:$L$2000,MATCH($A686,vdata_regressors!$A$2:$A$2000,0)+1,MATCH(B$2,vdata_regressors!$A$1:$R$1,0)),"")</f>
        <v/>
      </c>
      <c r="C686" s="23" t="str">
        <f>IFERROR(INDEX(vdata_regressors!$A$1:$L$2000,MATCH($A686,vdata_regressors!$A$2:$A$2000,0)+1,MATCH(C$2,vdata_regressors!$A$1:$R$1,0)),"")</f>
        <v/>
      </c>
      <c r="D686" s="23" t="str">
        <f>IFERROR(INDEX(vdata_regressors!$A$1:$L$2000,MATCH($A686,vdata_regressors!$A$2:$A$2000,0)+1,MATCH(D$2,vdata_regressors!$A$1:$R$1,0)),"")</f>
        <v/>
      </c>
      <c r="E686" s="23" t="str">
        <f>IFERROR(INDEX(vdata_regressors!$A$1:$L$2000,MATCH($A686,vdata_regressors!$A$2:$A$2000,0)+1,MATCH(E$2,vdata_regressors!$A$1:$R$1,0)),"")</f>
        <v/>
      </c>
      <c r="F686" s="23" t="str">
        <f>IFERROR(INDEX(vdata_regressors!$A$1:$L$2000,MATCH($A686,vdata_regressors!$A$2:$A$2000,0)+1,MATCH(F$2,vdata_regressors!$A$1:$R$1,0)),"")</f>
        <v/>
      </c>
      <c r="G686" s="23" t="str">
        <f>IFERROR(INDEX(vdata_regressors!$A$1:$L$2000,MATCH($A686,vdata_regressors!$A$2:$A$2000,0)+1,MATCH(G$2,vdata_regressors!$A$1:$R$1,0)),"")</f>
        <v/>
      </c>
      <c r="H686" s="23" t="str">
        <f>IFERROR(INDEX(vdata_regressors!$A$1:$L$2000,MATCH($A686,vdata_regressors!$A$2:$A$2000,0)+1,MATCH(H$2,vdata_regressors!$A$1:$R$1,0)),"")</f>
        <v/>
      </c>
      <c r="I686" s="23" t="str">
        <f>IFERROR(INDEX(vdata_regressors!$A$1:$L$2000,MATCH($A686,vdata_regressors!$A$2:$A$2000,0)+1,MATCH(I$2,vdata_regressors!$A$1:$R$1,0)),"")</f>
        <v/>
      </c>
      <c r="J686" s="23" t="str">
        <f>IFERROR(INDEX(vdata_regressors!$A$1:$L$2000,MATCH($A686,vdata_regressors!$A$2:$A$2000,0)+1,MATCH(J$2,vdata_regressors!$A$1:$R$1,0)),"")</f>
        <v/>
      </c>
      <c r="K686" s="23" t="str">
        <f>IFERROR(INDEX(vdata_regressors!$A$1:$L$2000,MATCH($A686,vdata_regressors!$A$2:$A$2000,0)+1,MATCH(K$2,vdata_regressors!$A$1:$R$1,0)),"")</f>
        <v/>
      </c>
      <c r="L686" s="23" t="str">
        <f>IFERROR(INDEX(vdata_regressors!$A$1:$L$2000,MATCH($A686,vdata_regressors!$A$2:$A$2000,0)+1,MATCH(L$2,vdata_regressors!$A$1:$R$1,0)),"")</f>
        <v/>
      </c>
      <c r="M686" s="23" t="str">
        <f>IFERROR(VLOOKUP(A686,vdata_hours!$A$2:$B$1000,2,FALSE),"")</f>
        <v/>
      </c>
    </row>
    <row r="687" spans="1:13" x14ac:dyDescent="0.25">
      <c r="A687" s="23" t="str">
        <f>IF(vdata_hours!A686=0,"",vdata_hours!A686)</f>
        <v/>
      </c>
      <c r="B687" s="23" t="str">
        <f>IFERROR(INDEX(vdata_regressors!$A$1:$L$2000,MATCH($A687,vdata_regressors!$A$2:$A$2000,0)+1,MATCH(B$2,vdata_regressors!$A$1:$R$1,0)),"")</f>
        <v/>
      </c>
      <c r="C687" s="23" t="str">
        <f>IFERROR(INDEX(vdata_regressors!$A$1:$L$2000,MATCH($A687,vdata_regressors!$A$2:$A$2000,0)+1,MATCH(C$2,vdata_regressors!$A$1:$R$1,0)),"")</f>
        <v/>
      </c>
      <c r="D687" s="23" t="str">
        <f>IFERROR(INDEX(vdata_regressors!$A$1:$L$2000,MATCH($A687,vdata_regressors!$A$2:$A$2000,0)+1,MATCH(D$2,vdata_regressors!$A$1:$R$1,0)),"")</f>
        <v/>
      </c>
      <c r="E687" s="23" t="str">
        <f>IFERROR(INDEX(vdata_regressors!$A$1:$L$2000,MATCH($A687,vdata_regressors!$A$2:$A$2000,0)+1,MATCH(E$2,vdata_regressors!$A$1:$R$1,0)),"")</f>
        <v/>
      </c>
      <c r="F687" s="23" t="str">
        <f>IFERROR(INDEX(vdata_regressors!$A$1:$L$2000,MATCH($A687,vdata_regressors!$A$2:$A$2000,0)+1,MATCH(F$2,vdata_regressors!$A$1:$R$1,0)),"")</f>
        <v/>
      </c>
      <c r="G687" s="23" t="str">
        <f>IFERROR(INDEX(vdata_regressors!$A$1:$L$2000,MATCH($A687,vdata_regressors!$A$2:$A$2000,0)+1,MATCH(G$2,vdata_regressors!$A$1:$R$1,0)),"")</f>
        <v/>
      </c>
      <c r="H687" s="23" t="str">
        <f>IFERROR(INDEX(vdata_regressors!$A$1:$L$2000,MATCH($A687,vdata_regressors!$A$2:$A$2000,0)+1,MATCH(H$2,vdata_regressors!$A$1:$R$1,0)),"")</f>
        <v/>
      </c>
      <c r="I687" s="23" t="str">
        <f>IFERROR(INDEX(vdata_regressors!$A$1:$L$2000,MATCH($A687,vdata_regressors!$A$2:$A$2000,0)+1,MATCH(I$2,vdata_regressors!$A$1:$R$1,0)),"")</f>
        <v/>
      </c>
      <c r="J687" s="23" t="str">
        <f>IFERROR(INDEX(vdata_regressors!$A$1:$L$2000,MATCH($A687,vdata_regressors!$A$2:$A$2000,0)+1,MATCH(J$2,vdata_regressors!$A$1:$R$1,0)),"")</f>
        <v/>
      </c>
      <c r="K687" s="23" t="str">
        <f>IFERROR(INDEX(vdata_regressors!$A$1:$L$2000,MATCH($A687,vdata_regressors!$A$2:$A$2000,0)+1,MATCH(K$2,vdata_regressors!$A$1:$R$1,0)),"")</f>
        <v/>
      </c>
      <c r="L687" s="23" t="str">
        <f>IFERROR(INDEX(vdata_regressors!$A$1:$L$2000,MATCH($A687,vdata_regressors!$A$2:$A$2000,0)+1,MATCH(L$2,vdata_regressors!$A$1:$R$1,0)),"")</f>
        <v/>
      </c>
      <c r="M687" s="23" t="str">
        <f>IFERROR(VLOOKUP(A687,vdata_hours!$A$2:$B$1000,2,FALSE),"")</f>
        <v/>
      </c>
    </row>
    <row r="688" spans="1:13" x14ac:dyDescent="0.25">
      <c r="A688" s="23" t="str">
        <f>IF(vdata_hours!A687=0,"",vdata_hours!A687)</f>
        <v/>
      </c>
      <c r="B688" s="23" t="str">
        <f>IFERROR(INDEX(vdata_regressors!$A$1:$L$2000,MATCH($A688,vdata_regressors!$A$2:$A$2000,0)+1,MATCH(B$2,vdata_regressors!$A$1:$R$1,0)),"")</f>
        <v/>
      </c>
      <c r="C688" s="23" t="str">
        <f>IFERROR(INDEX(vdata_regressors!$A$1:$L$2000,MATCH($A688,vdata_regressors!$A$2:$A$2000,0)+1,MATCH(C$2,vdata_regressors!$A$1:$R$1,0)),"")</f>
        <v/>
      </c>
      <c r="D688" s="23" t="str">
        <f>IFERROR(INDEX(vdata_regressors!$A$1:$L$2000,MATCH($A688,vdata_regressors!$A$2:$A$2000,0)+1,MATCH(D$2,vdata_regressors!$A$1:$R$1,0)),"")</f>
        <v/>
      </c>
      <c r="E688" s="23" t="str">
        <f>IFERROR(INDEX(vdata_regressors!$A$1:$L$2000,MATCH($A688,vdata_regressors!$A$2:$A$2000,0)+1,MATCH(E$2,vdata_regressors!$A$1:$R$1,0)),"")</f>
        <v/>
      </c>
      <c r="F688" s="23" t="str">
        <f>IFERROR(INDEX(vdata_regressors!$A$1:$L$2000,MATCH($A688,vdata_regressors!$A$2:$A$2000,0)+1,MATCH(F$2,vdata_regressors!$A$1:$R$1,0)),"")</f>
        <v/>
      </c>
      <c r="G688" s="23" t="str">
        <f>IFERROR(INDEX(vdata_regressors!$A$1:$L$2000,MATCH($A688,vdata_regressors!$A$2:$A$2000,0)+1,MATCH(G$2,vdata_regressors!$A$1:$R$1,0)),"")</f>
        <v/>
      </c>
      <c r="H688" s="23" t="str">
        <f>IFERROR(INDEX(vdata_regressors!$A$1:$L$2000,MATCH($A688,vdata_regressors!$A$2:$A$2000,0)+1,MATCH(H$2,vdata_regressors!$A$1:$R$1,0)),"")</f>
        <v/>
      </c>
      <c r="I688" s="23" t="str">
        <f>IFERROR(INDEX(vdata_regressors!$A$1:$L$2000,MATCH($A688,vdata_regressors!$A$2:$A$2000,0)+1,MATCH(I$2,vdata_regressors!$A$1:$R$1,0)),"")</f>
        <v/>
      </c>
      <c r="J688" s="23" t="str">
        <f>IFERROR(INDEX(vdata_regressors!$A$1:$L$2000,MATCH($A688,vdata_regressors!$A$2:$A$2000,0)+1,MATCH(J$2,vdata_regressors!$A$1:$R$1,0)),"")</f>
        <v/>
      </c>
      <c r="K688" s="23" t="str">
        <f>IFERROR(INDEX(vdata_regressors!$A$1:$L$2000,MATCH($A688,vdata_regressors!$A$2:$A$2000,0)+1,MATCH(K$2,vdata_regressors!$A$1:$R$1,0)),"")</f>
        <v/>
      </c>
      <c r="L688" s="23" t="str">
        <f>IFERROR(INDEX(vdata_regressors!$A$1:$L$2000,MATCH($A688,vdata_regressors!$A$2:$A$2000,0)+1,MATCH(L$2,vdata_regressors!$A$1:$R$1,0)),"")</f>
        <v/>
      </c>
      <c r="M688" s="23" t="str">
        <f>IFERROR(VLOOKUP(A688,vdata_hours!$A$2:$B$1000,2,FALSE),"")</f>
        <v/>
      </c>
    </row>
    <row r="689" spans="1:13" x14ac:dyDescent="0.25">
      <c r="A689" s="23" t="str">
        <f>IF(vdata_hours!A688=0,"",vdata_hours!A688)</f>
        <v/>
      </c>
      <c r="B689" s="23" t="str">
        <f>IFERROR(INDEX(vdata_regressors!$A$1:$L$2000,MATCH($A689,vdata_regressors!$A$2:$A$2000,0)+1,MATCH(B$2,vdata_regressors!$A$1:$R$1,0)),"")</f>
        <v/>
      </c>
      <c r="C689" s="23" t="str">
        <f>IFERROR(INDEX(vdata_regressors!$A$1:$L$2000,MATCH($A689,vdata_regressors!$A$2:$A$2000,0)+1,MATCH(C$2,vdata_regressors!$A$1:$R$1,0)),"")</f>
        <v/>
      </c>
      <c r="D689" s="23" t="str">
        <f>IFERROR(INDEX(vdata_regressors!$A$1:$L$2000,MATCH($A689,vdata_regressors!$A$2:$A$2000,0)+1,MATCH(D$2,vdata_regressors!$A$1:$R$1,0)),"")</f>
        <v/>
      </c>
      <c r="E689" s="23" t="str">
        <f>IFERROR(INDEX(vdata_regressors!$A$1:$L$2000,MATCH($A689,vdata_regressors!$A$2:$A$2000,0)+1,MATCH(E$2,vdata_regressors!$A$1:$R$1,0)),"")</f>
        <v/>
      </c>
      <c r="F689" s="23" t="str">
        <f>IFERROR(INDEX(vdata_regressors!$A$1:$L$2000,MATCH($A689,vdata_regressors!$A$2:$A$2000,0)+1,MATCH(F$2,vdata_regressors!$A$1:$R$1,0)),"")</f>
        <v/>
      </c>
      <c r="G689" s="23" t="str">
        <f>IFERROR(INDEX(vdata_regressors!$A$1:$L$2000,MATCH($A689,vdata_regressors!$A$2:$A$2000,0)+1,MATCH(G$2,vdata_regressors!$A$1:$R$1,0)),"")</f>
        <v/>
      </c>
      <c r="H689" s="23" t="str">
        <f>IFERROR(INDEX(vdata_regressors!$A$1:$L$2000,MATCH($A689,vdata_regressors!$A$2:$A$2000,0)+1,MATCH(H$2,vdata_regressors!$A$1:$R$1,0)),"")</f>
        <v/>
      </c>
      <c r="I689" s="23" t="str">
        <f>IFERROR(INDEX(vdata_regressors!$A$1:$L$2000,MATCH($A689,vdata_regressors!$A$2:$A$2000,0)+1,MATCH(I$2,vdata_regressors!$A$1:$R$1,0)),"")</f>
        <v/>
      </c>
      <c r="J689" s="23" t="str">
        <f>IFERROR(INDEX(vdata_regressors!$A$1:$L$2000,MATCH($A689,vdata_regressors!$A$2:$A$2000,0)+1,MATCH(J$2,vdata_regressors!$A$1:$R$1,0)),"")</f>
        <v/>
      </c>
      <c r="K689" s="23" t="str">
        <f>IFERROR(INDEX(vdata_regressors!$A$1:$L$2000,MATCH($A689,vdata_regressors!$A$2:$A$2000,0)+1,MATCH(K$2,vdata_regressors!$A$1:$R$1,0)),"")</f>
        <v/>
      </c>
      <c r="L689" s="23" t="str">
        <f>IFERROR(INDEX(vdata_regressors!$A$1:$L$2000,MATCH($A689,vdata_regressors!$A$2:$A$2000,0)+1,MATCH(L$2,vdata_regressors!$A$1:$R$1,0)),"")</f>
        <v/>
      </c>
      <c r="M689" s="23" t="str">
        <f>IFERROR(VLOOKUP(A689,vdata_hours!$A$2:$B$1000,2,FALSE),"")</f>
        <v/>
      </c>
    </row>
    <row r="690" spans="1:13" x14ac:dyDescent="0.25">
      <c r="A690" s="23" t="str">
        <f>IF(vdata_hours!A689=0,"",vdata_hours!A689)</f>
        <v/>
      </c>
      <c r="B690" s="23" t="str">
        <f>IFERROR(INDEX(vdata_regressors!$A$1:$L$2000,MATCH($A690,vdata_regressors!$A$2:$A$2000,0)+1,MATCH(B$2,vdata_regressors!$A$1:$R$1,0)),"")</f>
        <v/>
      </c>
      <c r="C690" s="23" t="str">
        <f>IFERROR(INDEX(vdata_regressors!$A$1:$L$2000,MATCH($A690,vdata_regressors!$A$2:$A$2000,0)+1,MATCH(C$2,vdata_regressors!$A$1:$R$1,0)),"")</f>
        <v/>
      </c>
      <c r="D690" s="23" t="str">
        <f>IFERROR(INDEX(vdata_regressors!$A$1:$L$2000,MATCH($A690,vdata_regressors!$A$2:$A$2000,0)+1,MATCH(D$2,vdata_regressors!$A$1:$R$1,0)),"")</f>
        <v/>
      </c>
      <c r="E690" s="23" t="str">
        <f>IFERROR(INDEX(vdata_regressors!$A$1:$L$2000,MATCH($A690,vdata_regressors!$A$2:$A$2000,0)+1,MATCH(E$2,vdata_regressors!$A$1:$R$1,0)),"")</f>
        <v/>
      </c>
      <c r="F690" s="23" t="str">
        <f>IFERROR(INDEX(vdata_regressors!$A$1:$L$2000,MATCH($A690,vdata_regressors!$A$2:$A$2000,0)+1,MATCH(F$2,vdata_regressors!$A$1:$R$1,0)),"")</f>
        <v/>
      </c>
      <c r="G690" s="23" t="str">
        <f>IFERROR(INDEX(vdata_regressors!$A$1:$L$2000,MATCH($A690,vdata_regressors!$A$2:$A$2000,0)+1,MATCH(G$2,vdata_regressors!$A$1:$R$1,0)),"")</f>
        <v/>
      </c>
      <c r="H690" s="23" t="str">
        <f>IFERROR(INDEX(vdata_regressors!$A$1:$L$2000,MATCH($A690,vdata_regressors!$A$2:$A$2000,0)+1,MATCH(H$2,vdata_regressors!$A$1:$R$1,0)),"")</f>
        <v/>
      </c>
      <c r="I690" s="23" t="str">
        <f>IFERROR(INDEX(vdata_regressors!$A$1:$L$2000,MATCH($A690,vdata_regressors!$A$2:$A$2000,0)+1,MATCH(I$2,vdata_regressors!$A$1:$R$1,0)),"")</f>
        <v/>
      </c>
      <c r="J690" s="23" t="str">
        <f>IFERROR(INDEX(vdata_regressors!$A$1:$L$2000,MATCH($A690,vdata_regressors!$A$2:$A$2000,0)+1,MATCH(J$2,vdata_regressors!$A$1:$R$1,0)),"")</f>
        <v/>
      </c>
      <c r="K690" s="23" t="str">
        <f>IFERROR(INDEX(vdata_regressors!$A$1:$L$2000,MATCH($A690,vdata_regressors!$A$2:$A$2000,0)+1,MATCH(K$2,vdata_regressors!$A$1:$R$1,0)),"")</f>
        <v/>
      </c>
      <c r="L690" s="23" t="str">
        <f>IFERROR(INDEX(vdata_regressors!$A$1:$L$2000,MATCH($A690,vdata_regressors!$A$2:$A$2000,0)+1,MATCH(L$2,vdata_regressors!$A$1:$R$1,0)),"")</f>
        <v/>
      </c>
      <c r="M690" s="23" t="str">
        <f>IFERROR(VLOOKUP(A690,vdata_hours!$A$2:$B$1000,2,FALSE),"")</f>
        <v/>
      </c>
    </row>
    <row r="691" spans="1:13" x14ac:dyDescent="0.25">
      <c r="A691" s="23" t="str">
        <f>IF(vdata_hours!A690=0,"",vdata_hours!A690)</f>
        <v/>
      </c>
      <c r="B691" s="23" t="str">
        <f>IFERROR(INDEX(vdata_regressors!$A$1:$L$2000,MATCH($A691,vdata_regressors!$A$2:$A$2000,0)+1,MATCH(B$2,vdata_regressors!$A$1:$R$1,0)),"")</f>
        <v/>
      </c>
      <c r="C691" s="23" t="str">
        <f>IFERROR(INDEX(vdata_regressors!$A$1:$L$2000,MATCH($A691,vdata_regressors!$A$2:$A$2000,0)+1,MATCH(C$2,vdata_regressors!$A$1:$R$1,0)),"")</f>
        <v/>
      </c>
      <c r="D691" s="23" t="str">
        <f>IFERROR(INDEX(vdata_regressors!$A$1:$L$2000,MATCH($A691,vdata_regressors!$A$2:$A$2000,0)+1,MATCH(D$2,vdata_regressors!$A$1:$R$1,0)),"")</f>
        <v/>
      </c>
      <c r="E691" s="23" t="str">
        <f>IFERROR(INDEX(vdata_regressors!$A$1:$L$2000,MATCH($A691,vdata_regressors!$A$2:$A$2000,0)+1,MATCH(E$2,vdata_regressors!$A$1:$R$1,0)),"")</f>
        <v/>
      </c>
      <c r="F691" s="23" t="str">
        <f>IFERROR(INDEX(vdata_regressors!$A$1:$L$2000,MATCH($A691,vdata_regressors!$A$2:$A$2000,0)+1,MATCH(F$2,vdata_regressors!$A$1:$R$1,0)),"")</f>
        <v/>
      </c>
      <c r="G691" s="23" t="str">
        <f>IFERROR(INDEX(vdata_regressors!$A$1:$L$2000,MATCH($A691,vdata_regressors!$A$2:$A$2000,0)+1,MATCH(G$2,vdata_regressors!$A$1:$R$1,0)),"")</f>
        <v/>
      </c>
      <c r="H691" s="23" t="str">
        <f>IFERROR(INDEX(vdata_regressors!$A$1:$L$2000,MATCH($A691,vdata_regressors!$A$2:$A$2000,0)+1,MATCH(H$2,vdata_regressors!$A$1:$R$1,0)),"")</f>
        <v/>
      </c>
      <c r="I691" s="23" t="str">
        <f>IFERROR(INDEX(vdata_regressors!$A$1:$L$2000,MATCH($A691,vdata_regressors!$A$2:$A$2000,0)+1,MATCH(I$2,vdata_regressors!$A$1:$R$1,0)),"")</f>
        <v/>
      </c>
      <c r="J691" s="23" t="str">
        <f>IFERROR(INDEX(vdata_regressors!$A$1:$L$2000,MATCH($A691,vdata_regressors!$A$2:$A$2000,0)+1,MATCH(J$2,vdata_regressors!$A$1:$R$1,0)),"")</f>
        <v/>
      </c>
      <c r="K691" s="23" t="str">
        <f>IFERROR(INDEX(vdata_regressors!$A$1:$L$2000,MATCH($A691,vdata_regressors!$A$2:$A$2000,0)+1,MATCH(K$2,vdata_regressors!$A$1:$R$1,0)),"")</f>
        <v/>
      </c>
      <c r="L691" s="23" t="str">
        <f>IFERROR(INDEX(vdata_regressors!$A$1:$L$2000,MATCH($A691,vdata_regressors!$A$2:$A$2000,0)+1,MATCH(L$2,vdata_regressors!$A$1:$R$1,0)),"")</f>
        <v/>
      </c>
      <c r="M691" s="23" t="str">
        <f>IFERROR(VLOOKUP(A691,vdata_hours!$A$2:$B$1000,2,FALSE),"")</f>
        <v/>
      </c>
    </row>
    <row r="692" spans="1:13" x14ac:dyDescent="0.25">
      <c r="A692" s="23" t="str">
        <f>IF(vdata_hours!A691=0,"",vdata_hours!A691)</f>
        <v/>
      </c>
      <c r="B692" s="23" t="str">
        <f>IFERROR(INDEX(vdata_regressors!$A$1:$L$2000,MATCH($A692,vdata_regressors!$A$2:$A$2000,0)+1,MATCH(B$2,vdata_regressors!$A$1:$R$1,0)),"")</f>
        <v/>
      </c>
      <c r="C692" s="23" t="str">
        <f>IFERROR(INDEX(vdata_regressors!$A$1:$L$2000,MATCH($A692,vdata_regressors!$A$2:$A$2000,0)+1,MATCH(C$2,vdata_regressors!$A$1:$R$1,0)),"")</f>
        <v/>
      </c>
      <c r="D692" s="23" t="str">
        <f>IFERROR(INDEX(vdata_regressors!$A$1:$L$2000,MATCH($A692,vdata_regressors!$A$2:$A$2000,0)+1,MATCH(D$2,vdata_regressors!$A$1:$R$1,0)),"")</f>
        <v/>
      </c>
      <c r="E692" s="23" t="str">
        <f>IFERROR(INDEX(vdata_regressors!$A$1:$L$2000,MATCH($A692,vdata_regressors!$A$2:$A$2000,0)+1,MATCH(E$2,vdata_regressors!$A$1:$R$1,0)),"")</f>
        <v/>
      </c>
      <c r="F692" s="23" t="str">
        <f>IFERROR(INDEX(vdata_regressors!$A$1:$L$2000,MATCH($A692,vdata_regressors!$A$2:$A$2000,0)+1,MATCH(F$2,vdata_regressors!$A$1:$R$1,0)),"")</f>
        <v/>
      </c>
      <c r="G692" s="23" t="str">
        <f>IFERROR(INDEX(vdata_regressors!$A$1:$L$2000,MATCH($A692,vdata_regressors!$A$2:$A$2000,0)+1,MATCH(G$2,vdata_regressors!$A$1:$R$1,0)),"")</f>
        <v/>
      </c>
      <c r="H692" s="23" t="str">
        <f>IFERROR(INDEX(vdata_regressors!$A$1:$L$2000,MATCH($A692,vdata_regressors!$A$2:$A$2000,0)+1,MATCH(H$2,vdata_regressors!$A$1:$R$1,0)),"")</f>
        <v/>
      </c>
      <c r="I692" s="23" t="str">
        <f>IFERROR(INDEX(vdata_regressors!$A$1:$L$2000,MATCH($A692,vdata_regressors!$A$2:$A$2000,0)+1,MATCH(I$2,vdata_regressors!$A$1:$R$1,0)),"")</f>
        <v/>
      </c>
      <c r="J692" s="23" t="str">
        <f>IFERROR(INDEX(vdata_regressors!$A$1:$L$2000,MATCH($A692,vdata_regressors!$A$2:$A$2000,0)+1,MATCH(J$2,vdata_regressors!$A$1:$R$1,0)),"")</f>
        <v/>
      </c>
      <c r="K692" s="23" t="str">
        <f>IFERROR(INDEX(vdata_regressors!$A$1:$L$2000,MATCH($A692,vdata_regressors!$A$2:$A$2000,0)+1,MATCH(K$2,vdata_regressors!$A$1:$R$1,0)),"")</f>
        <v/>
      </c>
      <c r="L692" s="23" t="str">
        <f>IFERROR(INDEX(vdata_regressors!$A$1:$L$2000,MATCH($A692,vdata_regressors!$A$2:$A$2000,0)+1,MATCH(L$2,vdata_regressors!$A$1:$R$1,0)),"")</f>
        <v/>
      </c>
      <c r="M692" s="23" t="str">
        <f>IFERROR(VLOOKUP(A692,vdata_hours!$A$2:$B$1000,2,FALSE),"")</f>
        <v/>
      </c>
    </row>
    <row r="693" spans="1:13" x14ac:dyDescent="0.25">
      <c r="A693" s="23" t="str">
        <f>IF(vdata_hours!A692=0,"",vdata_hours!A692)</f>
        <v/>
      </c>
      <c r="B693" s="23" t="str">
        <f>IFERROR(INDEX(vdata_regressors!$A$1:$L$2000,MATCH($A693,vdata_regressors!$A$2:$A$2000,0)+1,MATCH(B$2,vdata_regressors!$A$1:$R$1,0)),"")</f>
        <v/>
      </c>
      <c r="C693" s="23" t="str">
        <f>IFERROR(INDEX(vdata_regressors!$A$1:$L$2000,MATCH($A693,vdata_regressors!$A$2:$A$2000,0)+1,MATCH(C$2,vdata_regressors!$A$1:$R$1,0)),"")</f>
        <v/>
      </c>
      <c r="D693" s="23" t="str">
        <f>IFERROR(INDEX(vdata_regressors!$A$1:$L$2000,MATCH($A693,vdata_regressors!$A$2:$A$2000,0)+1,MATCH(D$2,vdata_regressors!$A$1:$R$1,0)),"")</f>
        <v/>
      </c>
      <c r="E693" s="23" t="str">
        <f>IFERROR(INDEX(vdata_regressors!$A$1:$L$2000,MATCH($A693,vdata_regressors!$A$2:$A$2000,0)+1,MATCH(E$2,vdata_regressors!$A$1:$R$1,0)),"")</f>
        <v/>
      </c>
      <c r="F693" s="23" t="str">
        <f>IFERROR(INDEX(vdata_regressors!$A$1:$L$2000,MATCH($A693,vdata_regressors!$A$2:$A$2000,0)+1,MATCH(F$2,vdata_regressors!$A$1:$R$1,0)),"")</f>
        <v/>
      </c>
      <c r="G693" s="23" t="str">
        <f>IFERROR(INDEX(vdata_regressors!$A$1:$L$2000,MATCH($A693,vdata_regressors!$A$2:$A$2000,0)+1,MATCH(G$2,vdata_regressors!$A$1:$R$1,0)),"")</f>
        <v/>
      </c>
      <c r="H693" s="23" t="str">
        <f>IFERROR(INDEX(vdata_regressors!$A$1:$L$2000,MATCH($A693,vdata_regressors!$A$2:$A$2000,0)+1,MATCH(H$2,vdata_regressors!$A$1:$R$1,0)),"")</f>
        <v/>
      </c>
      <c r="I693" s="23" t="str">
        <f>IFERROR(INDEX(vdata_regressors!$A$1:$L$2000,MATCH($A693,vdata_regressors!$A$2:$A$2000,0)+1,MATCH(I$2,vdata_regressors!$A$1:$R$1,0)),"")</f>
        <v/>
      </c>
      <c r="J693" s="23" t="str">
        <f>IFERROR(INDEX(vdata_regressors!$A$1:$L$2000,MATCH($A693,vdata_regressors!$A$2:$A$2000,0)+1,MATCH(J$2,vdata_regressors!$A$1:$R$1,0)),"")</f>
        <v/>
      </c>
      <c r="K693" s="23" t="str">
        <f>IFERROR(INDEX(vdata_regressors!$A$1:$L$2000,MATCH($A693,vdata_regressors!$A$2:$A$2000,0)+1,MATCH(K$2,vdata_regressors!$A$1:$R$1,0)),"")</f>
        <v/>
      </c>
      <c r="L693" s="23" t="str">
        <f>IFERROR(INDEX(vdata_regressors!$A$1:$L$2000,MATCH($A693,vdata_regressors!$A$2:$A$2000,0)+1,MATCH(L$2,vdata_regressors!$A$1:$R$1,0)),"")</f>
        <v/>
      </c>
      <c r="M693" s="23" t="str">
        <f>IFERROR(VLOOKUP(A693,vdata_hours!$A$2:$B$1000,2,FALSE),"")</f>
        <v/>
      </c>
    </row>
    <row r="694" spans="1:13" x14ac:dyDescent="0.25">
      <c r="A694" s="23" t="str">
        <f>IF(vdata_hours!A693=0,"",vdata_hours!A693)</f>
        <v/>
      </c>
      <c r="B694" s="23" t="str">
        <f>IFERROR(INDEX(vdata_regressors!$A$1:$L$2000,MATCH($A694,vdata_regressors!$A$2:$A$2000,0)+1,MATCH(B$2,vdata_regressors!$A$1:$R$1,0)),"")</f>
        <v/>
      </c>
      <c r="C694" s="23" t="str">
        <f>IFERROR(INDEX(vdata_regressors!$A$1:$L$2000,MATCH($A694,vdata_regressors!$A$2:$A$2000,0)+1,MATCH(C$2,vdata_regressors!$A$1:$R$1,0)),"")</f>
        <v/>
      </c>
      <c r="D694" s="23" t="str">
        <f>IFERROR(INDEX(vdata_regressors!$A$1:$L$2000,MATCH($A694,vdata_regressors!$A$2:$A$2000,0)+1,MATCH(D$2,vdata_regressors!$A$1:$R$1,0)),"")</f>
        <v/>
      </c>
      <c r="E694" s="23" t="str">
        <f>IFERROR(INDEX(vdata_regressors!$A$1:$L$2000,MATCH($A694,vdata_regressors!$A$2:$A$2000,0)+1,MATCH(E$2,vdata_regressors!$A$1:$R$1,0)),"")</f>
        <v/>
      </c>
      <c r="F694" s="23" t="str">
        <f>IFERROR(INDEX(vdata_regressors!$A$1:$L$2000,MATCH($A694,vdata_regressors!$A$2:$A$2000,0)+1,MATCH(F$2,vdata_regressors!$A$1:$R$1,0)),"")</f>
        <v/>
      </c>
      <c r="G694" s="23" t="str">
        <f>IFERROR(INDEX(vdata_regressors!$A$1:$L$2000,MATCH($A694,vdata_regressors!$A$2:$A$2000,0)+1,MATCH(G$2,vdata_regressors!$A$1:$R$1,0)),"")</f>
        <v/>
      </c>
      <c r="H694" s="23" t="str">
        <f>IFERROR(INDEX(vdata_regressors!$A$1:$L$2000,MATCH($A694,vdata_regressors!$A$2:$A$2000,0)+1,MATCH(H$2,vdata_regressors!$A$1:$R$1,0)),"")</f>
        <v/>
      </c>
      <c r="I694" s="23" t="str">
        <f>IFERROR(INDEX(vdata_regressors!$A$1:$L$2000,MATCH($A694,vdata_regressors!$A$2:$A$2000,0)+1,MATCH(I$2,vdata_regressors!$A$1:$R$1,0)),"")</f>
        <v/>
      </c>
      <c r="J694" s="23" t="str">
        <f>IFERROR(INDEX(vdata_regressors!$A$1:$L$2000,MATCH($A694,vdata_regressors!$A$2:$A$2000,0)+1,MATCH(J$2,vdata_regressors!$A$1:$R$1,0)),"")</f>
        <v/>
      </c>
      <c r="K694" s="23" t="str">
        <f>IFERROR(INDEX(vdata_regressors!$A$1:$L$2000,MATCH($A694,vdata_regressors!$A$2:$A$2000,0)+1,MATCH(K$2,vdata_regressors!$A$1:$R$1,0)),"")</f>
        <v/>
      </c>
      <c r="L694" s="23" t="str">
        <f>IFERROR(INDEX(vdata_regressors!$A$1:$L$2000,MATCH($A694,vdata_regressors!$A$2:$A$2000,0)+1,MATCH(L$2,vdata_regressors!$A$1:$R$1,0)),"")</f>
        <v/>
      </c>
      <c r="M694" s="23" t="str">
        <f>IFERROR(VLOOKUP(A694,vdata_hours!$A$2:$B$1000,2,FALSE),"")</f>
        <v/>
      </c>
    </row>
    <row r="695" spans="1:13" x14ac:dyDescent="0.25">
      <c r="A695" s="23" t="str">
        <f>IF(vdata_hours!A694=0,"",vdata_hours!A694)</f>
        <v/>
      </c>
      <c r="B695" s="23" t="str">
        <f>IFERROR(INDEX(vdata_regressors!$A$1:$L$2000,MATCH($A695,vdata_regressors!$A$2:$A$2000,0)+1,MATCH(B$2,vdata_regressors!$A$1:$R$1,0)),"")</f>
        <v/>
      </c>
      <c r="C695" s="23" t="str">
        <f>IFERROR(INDEX(vdata_regressors!$A$1:$L$2000,MATCH($A695,vdata_regressors!$A$2:$A$2000,0)+1,MATCH(C$2,vdata_regressors!$A$1:$R$1,0)),"")</f>
        <v/>
      </c>
      <c r="D695" s="23" t="str">
        <f>IFERROR(INDEX(vdata_regressors!$A$1:$L$2000,MATCH($A695,vdata_regressors!$A$2:$A$2000,0)+1,MATCH(D$2,vdata_regressors!$A$1:$R$1,0)),"")</f>
        <v/>
      </c>
      <c r="E695" s="23" t="str">
        <f>IFERROR(INDEX(vdata_regressors!$A$1:$L$2000,MATCH($A695,vdata_regressors!$A$2:$A$2000,0)+1,MATCH(E$2,vdata_regressors!$A$1:$R$1,0)),"")</f>
        <v/>
      </c>
      <c r="F695" s="23" t="str">
        <f>IFERROR(INDEX(vdata_regressors!$A$1:$L$2000,MATCH($A695,vdata_regressors!$A$2:$A$2000,0)+1,MATCH(F$2,vdata_regressors!$A$1:$R$1,0)),"")</f>
        <v/>
      </c>
      <c r="G695" s="23" t="str">
        <f>IFERROR(INDEX(vdata_regressors!$A$1:$L$2000,MATCH($A695,vdata_regressors!$A$2:$A$2000,0)+1,MATCH(G$2,vdata_regressors!$A$1:$R$1,0)),"")</f>
        <v/>
      </c>
      <c r="H695" s="23" t="str">
        <f>IFERROR(INDEX(vdata_regressors!$A$1:$L$2000,MATCH($A695,vdata_regressors!$A$2:$A$2000,0)+1,MATCH(H$2,vdata_regressors!$A$1:$R$1,0)),"")</f>
        <v/>
      </c>
      <c r="I695" s="23" t="str">
        <f>IFERROR(INDEX(vdata_regressors!$A$1:$L$2000,MATCH($A695,vdata_regressors!$A$2:$A$2000,0)+1,MATCH(I$2,vdata_regressors!$A$1:$R$1,0)),"")</f>
        <v/>
      </c>
      <c r="J695" s="23" t="str">
        <f>IFERROR(INDEX(vdata_regressors!$A$1:$L$2000,MATCH($A695,vdata_regressors!$A$2:$A$2000,0)+1,MATCH(J$2,vdata_regressors!$A$1:$R$1,0)),"")</f>
        <v/>
      </c>
      <c r="K695" s="23" t="str">
        <f>IFERROR(INDEX(vdata_regressors!$A$1:$L$2000,MATCH($A695,vdata_regressors!$A$2:$A$2000,0)+1,MATCH(K$2,vdata_regressors!$A$1:$R$1,0)),"")</f>
        <v/>
      </c>
      <c r="L695" s="23" t="str">
        <f>IFERROR(INDEX(vdata_regressors!$A$1:$L$2000,MATCH($A695,vdata_regressors!$A$2:$A$2000,0)+1,MATCH(L$2,vdata_regressors!$A$1:$R$1,0)),"")</f>
        <v/>
      </c>
      <c r="M695" s="23" t="str">
        <f>IFERROR(VLOOKUP(A695,vdata_hours!$A$2:$B$1000,2,FALSE),"")</f>
        <v/>
      </c>
    </row>
    <row r="696" spans="1:13" x14ac:dyDescent="0.25">
      <c r="A696" s="23" t="str">
        <f>IF(vdata_hours!A695=0,"",vdata_hours!A695)</f>
        <v/>
      </c>
      <c r="B696" s="23" t="str">
        <f>IFERROR(INDEX(vdata_regressors!$A$1:$L$2000,MATCH($A696,vdata_regressors!$A$2:$A$2000,0)+1,MATCH(B$2,vdata_regressors!$A$1:$R$1,0)),"")</f>
        <v/>
      </c>
      <c r="C696" s="23" t="str">
        <f>IFERROR(INDEX(vdata_regressors!$A$1:$L$2000,MATCH($A696,vdata_regressors!$A$2:$A$2000,0)+1,MATCH(C$2,vdata_regressors!$A$1:$R$1,0)),"")</f>
        <v/>
      </c>
      <c r="D696" s="23" t="str">
        <f>IFERROR(INDEX(vdata_regressors!$A$1:$L$2000,MATCH($A696,vdata_regressors!$A$2:$A$2000,0)+1,MATCH(D$2,vdata_regressors!$A$1:$R$1,0)),"")</f>
        <v/>
      </c>
      <c r="E696" s="23" t="str">
        <f>IFERROR(INDEX(vdata_regressors!$A$1:$L$2000,MATCH($A696,vdata_regressors!$A$2:$A$2000,0)+1,MATCH(E$2,vdata_regressors!$A$1:$R$1,0)),"")</f>
        <v/>
      </c>
      <c r="F696" s="23" t="str">
        <f>IFERROR(INDEX(vdata_regressors!$A$1:$L$2000,MATCH($A696,vdata_regressors!$A$2:$A$2000,0)+1,MATCH(F$2,vdata_regressors!$A$1:$R$1,0)),"")</f>
        <v/>
      </c>
      <c r="G696" s="23" t="str">
        <f>IFERROR(INDEX(vdata_regressors!$A$1:$L$2000,MATCH($A696,vdata_regressors!$A$2:$A$2000,0)+1,MATCH(G$2,vdata_regressors!$A$1:$R$1,0)),"")</f>
        <v/>
      </c>
      <c r="H696" s="23" t="str">
        <f>IFERROR(INDEX(vdata_regressors!$A$1:$L$2000,MATCH($A696,vdata_regressors!$A$2:$A$2000,0)+1,MATCH(H$2,vdata_regressors!$A$1:$R$1,0)),"")</f>
        <v/>
      </c>
      <c r="I696" s="23" t="str">
        <f>IFERROR(INDEX(vdata_regressors!$A$1:$L$2000,MATCH($A696,vdata_regressors!$A$2:$A$2000,0)+1,MATCH(I$2,vdata_regressors!$A$1:$R$1,0)),"")</f>
        <v/>
      </c>
      <c r="J696" s="23" t="str">
        <f>IFERROR(INDEX(vdata_regressors!$A$1:$L$2000,MATCH($A696,vdata_regressors!$A$2:$A$2000,0)+1,MATCH(J$2,vdata_regressors!$A$1:$R$1,0)),"")</f>
        <v/>
      </c>
      <c r="K696" s="23" t="str">
        <f>IFERROR(INDEX(vdata_regressors!$A$1:$L$2000,MATCH($A696,vdata_regressors!$A$2:$A$2000,0)+1,MATCH(K$2,vdata_regressors!$A$1:$R$1,0)),"")</f>
        <v/>
      </c>
      <c r="L696" s="23" t="str">
        <f>IFERROR(INDEX(vdata_regressors!$A$1:$L$2000,MATCH($A696,vdata_regressors!$A$2:$A$2000,0)+1,MATCH(L$2,vdata_regressors!$A$1:$R$1,0)),"")</f>
        <v/>
      </c>
      <c r="M696" s="23" t="str">
        <f>IFERROR(VLOOKUP(A696,vdata_hours!$A$2:$B$1000,2,FALSE),"")</f>
        <v/>
      </c>
    </row>
    <row r="697" spans="1:13" x14ac:dyDescent="0.25">
      <c r="A697" s="23" t="str">
        <f>IF(vdata_hours!A696=0,"",vdata_hours!A696)</f>
        <v/>
      </c>
      <c r="B697" s="23" t="str">
        <f>IFERROR(INDEX(vdata_regressors!$A$1:$L$2000,MATCH($A697,vdata_regressors!$A$2:$A$2000,0)+1,MATCH(B$2,vdata_regressors!$A$1:$R$1,0)),"")</f>
        <v/>
      </c>
      <c r="C697" s="23" t="str">
        <f>IFERROR(INDEX(vdata_regressors!$A$1:$L$2000,MATCH($A697,vdata_regressors!$A$2:$A$2000,0)+1,MATCH(C$2,vdata_regressors!$A$1:$R$1,0)),"")</f>
        <v/>
      </c>
      <c r="D697" s="23" t="str">
        <f>IFERROR(INDEX(vdata_regressors!$A$1:$L$2000,MATCH($A697,vdata_regressors!$A$2:$A$2000,0)+1,MATCH(D$2,vdata_regressors!$A$1:$R$1,0)),"")</f>
        <v/>
      </c>
      <c r="E697" s="23" t="str">
        <f>IFERROR(INDEX(vdata_regressors!$A$1:$L$2000,MATCH($A697,vdata_regressors!$A$2:$A$2000,0)+1,MATCH(E$2,vdata_regressors!$A$1:$R$1,0)),"")</f>
        <v/>
      </c>
      <c r="F697" s="23" t="str">
        <f>IFERROR(INDEX(vdata_regressors!$A$1:$L$2000,MATCH($A697,vdata_regressors!$A$2:$A$2000,0)+1,MATCH(F$2,vdata_regressors!$A$1:$R$1,0)),"")</f>
        <v/>
      </c>
      <c r="G697" s="23" t="str">
        <f>IFERROR(INDEX(vdata_regressors!$A$1:$L$2000,MATCH($A697,vdata_regressors!$A$2:$A$2000,0)+1,MATCH(G$2,vdata_regressors!$A$1:$R$1,0)),"")</f>
        <v/>
      </c>
      <c r="H697" s="23" t="str">
        <f>IFERROR(INDEX(vdata_regressors!$A$1:$L$2000,MATCH($A697,vdata_regressors!$A$2:$A$2000,0)+1,MATCH(H$2,vdata_regressors!$A$1:$R$1,0)),"")</f>
        <v/>
      </c>
      <c r="I697" s="23" t="str">
        <f>IFERROR(INDEX(vdata_regressors!$A$1:$L$2000,MATCH($A697,vdata_regressors!$A$2:$A$2000,0)+1,MATCH(I$2,vdata_regressors!$A$1:$R$1,0)),"")</f>
        <v/>
      </c>
      <c r="J697" s="23" t="str">
        <f>IFERROR(INDEX(vdata_regressors!$A$1:$L$2000,MATCH($A697,vdata_regressors!$A$2:$A$2000,0)+1,MATCH(J$2,vdata_regressors!$A$1:$R$1,0)),"")</f>
        <v/>
      </c>
      <c r="K697" s="23" t="str">
        <f>IFERROR(INDEX(vdata_regressors!$A$1:$L$2000,MATCH($A697,vdata_regressors!$A$2:$A$2000,0)+1,MATCH(K$2,vdata_regressors!$A$1:$R$1,0)),"")</f>
        <v/>
      </c>
      <c r="L697" s="23" t="str">
        <f>IFERROR(INDEX(vdata_regressors!$A$1:$L$2000,MATCH($A697,vdata_regressors!$A$2:$A$2000,0)+1,MATCH(L$2,vdata_regressors!$A$1:$R$1,0)),"")</f>
        <v/>
      </c>
      <c r="M697" s="23" t="str">
        <f>IFERROR(VLOOKUP(A697,vdata_hours!$A$2:$B$1000,2,FALSE),"")</f>
        <v/>
      </c>
    </row>
    <row r="698" spans="1:13" x14ac:dyDescent="0.25">
      <c r="A698" s="23" t="str">
        <f>IF(vdata_hours!A697=0,"",vdata_hours!A697)</f>
        <v/>
      </c>
      <c r="B698" s="23" t="str">
        <f>IFERROR(INDEX(vdata_regressors!$A$1:$L$2000,MATCH($A698,vdata_regressors!$A$2:$A$2000,0)+1,MATCH(B$2,vdata_regressors!$A$1:$R$1,0)),"")</f>
        <v/>
      </c>
      <c r="C698" s="23" t="str">
        <f>IFERROR(INDEX(vdata_regressors!$A$1:$L$2000,MATCH($A698,vdata_regressors!$A$2:$A$2000,0)+1,MATCH(C$2,vdata_regressors!$A$1:$R$1,0)),"")</f>
        <v/>
      </c>
      <c r="D698" s="23" t="str">
        <f>IFERROR(INDEX(vdata_regressors!$A$1:$L$2000,MATCH($A698,vdata_regressors!$A$2:$A$2000,0)+1,MATCH(D$2,vdata_regressors!$A$1:$R$1,0)),"")</f>
        <v/>
      </c>
      <c r="E698" s="23" t="str">
        <f>IFERROR(INDEX(vdata_regressors!$A$1:$L$2000,MATCH($A698,vdata_regressors!$A$2:$A$2000,0)+1,MATCH(E$2,vdata_regressors!$A$1:$R$1,0)),"")</f>
        <v/>
      </c>
      <c r="F698" s="23" t="str">
        <f>IFERROR(INDEX(vdata_regressors!$A$1:$L$2000,MATCH($A698,vdata_regressors!$A$2:$A$2000,0)+1,MATCH(F$2,vdata_regressors!$A$1:$R$1,0)),"")</f>
        <v/>
      </c>
      <c r="G698" s="23" t="str">
        <f>IFERROR(INDEX(vdata_regressors!$A$1:$L$2000,MATCH($A698,vdata_regressors!$A$2:$A$2000,0)+1,MATCH(G$2,vdata_regressors!$A$1:$R$1,0)),"")</f>
        <v/>
      </c>
      <c r="H698" s="23" t="str">
        <f>IFERROR(INDEX(vdata_regressors!$A$1:$L$2000,MATCH($A698,vdata_regressors!$A$2:$A$2000,0)+1,MATCH(H$2,vdata_regressors!$A$1:$R$1,0)),"")</f>
        <v/>
      </c>
      <c r="I698" s="23" t="str">
        <f>IFERROR(INDEX(vdata_regressors!$A$1:$L$2000,MATCH($A698,vdata_regressors!$A$2:$A$2000,0)+1,MATCH(I$2,vdata_regressors!$A$1:$R$1,0)),"")</f>
        <v/>
      </c>
      <c r="J698" s="23" t="str">
        <f>IFERROR(INDEX(vdata_regressors!$A$1:$L$2000,MATCH($A698,vdata_regressors!$A$2:$A$2000,0)+1,MATCH(J$2,vdata_regressors!$A$1:$R$1,0)),"")</f>
        <v/>
      </c>
      <c r="K698" s="23" t="str">
        <f>IFERROR(INDEX(vdata_regressors!$A$1:$L$2000,MATCH($A698,vdata_regressors!$A$2:$A$2000,0)+1,MATCH(K$2,vdata_regressors!$A$1:$R$1,0)),"")</f>
        <v/>
      </c>
      <c r="L698" s="23" t="str">
        <f>IFERROR(INDEX(vdata_regressors!$A$1:$L$2000,MATCH($A698,vdata_regressors!$A$2:$A$2000,0)+1,MATCH(L$2,vdata_regressors!$A$1:$R$1,0)),"")</f>
        <v/>
      </c>
      <c r="M698" s="23" t="str">
        <f>IFERROR(VLOOKUP(A698,vdata_hours!$A$2:$B$1000,2,FALSE),"")</f>
        <v/>
      </c>
    </row>
    <row r="699" spans="1:13" x14ac:dyDescent="0.25">
      <c r="A699" s="23" t="str">
        <f>IF(vdata_hours!A698=0,"",vdata_hours!A698)</f>
        <v/>
      </c>
      <c r="B699" s="23" t="str">
        <f>IFERROR(INDEX(vdata_regressors!$A$1:$L$2000,MATCH($A699,vdata_regressors!$A$2:$A$2000,0)+1,MATCH(B$2,vdata_regressors!$A$1:$R$1,0)),"")</f>
        <v/>
      </c>
      <c r="C699" s="23" t="str">
        <f>IFERROR(INDEX(vdata_regressors!$A$1:$L$2000,MATCH($A699,vdata_regressors!$A$2:$A$2000,0)+1,MATCH(C$2,vdata_regressors!$A$1:$R$1,0)),"")</f>
        <v/>
      </c>
      <c r="D699" s="23" t="str">
        <f>IFERROR(INDEX(vdata_regressors!$A$1:$L$2000,MATCH($A699,vdata_regressors!$A$2:$A$2000,0)+1,MATCH(D$2,vdata_regressors!$A$1:$R$1,0)),"")</f>
        <v/>
      </c>
      <c r="E699" s="23" t="str">
        <f>IFERROR(INDEX(vdata_regressors!$A$1:$L$2000,MATCH($A699,vdata_regressors!$A$2:$A$2000,0)+1,MATCH(E$2,vdata_regressors!$A$1:$R$1,0)),"")</f>
        <v/>
      </c>
      <c r="F699" s="23" t="str">
        <f>IFERROR(INDEX(vdata_regressors!$A$1:$L$2000,MATCH($A699,vdata_regressors!$A$2:$A$2000,0)+1,MATCH(F$2,vdata_regressors!$A$1:$R$1,0)),"")</f>
        <v/>
      </c>
      <c r="G699" s="23" t="str">
        <f>IFERROR(INDEX(vdata_regressors!$A$1:$L$2000,MATCH($A699,vdata_regressors!$A$2:$A$2000,0)+1,MATCH(G$2,vdata_regressors!$A$1:$R$1,0)),"")</f>
        <v/>
      </c>
      <c r="H699" s="23" t="str">
        <f>IFERROR(INDEX(vdata_regressors!$A$1:$L$2000,MATCH($A699,vdata_regressors!$A$2:$A$2000,0)+1,MATCH(H$2,vdata_regressors!$A$1:$R$1,0)),"")</f>
        <v/>
      </c>
      <c r="I699" s="23" t="str">
        <f>IFERROR(INDEX(vdata_regressors!$A$1:$L$2000,MATCH($A699,vdata_regressors!$A$2:$A$2000,0)+1,MATCH(I$2,vdata_regressors!$A$1:$R$1,0)),"")</f>
        <v/>
      </c>
      <c r="J699" s="23" t="str">
        <f>IFERROR(INDEX(vdata_regressors!$A$1:$L$2000,MATCH($A699,vdata_regressors!$A$2:$A$2000,0)+1,MATCH(J$2,vdata_regressors!$A$1:$R$1,0)),"")</f>
        <v/>
      </c>
      <c r="K699" s="23" t="str">
        <f>IFERROR(INDEX(vdata_regressors!$A$1:$L$2000,MATCH($A699,vdata_regressors!$A$2:$A$2000,0)+1,MATCH(K$2,vdata_regressors!$A$1:$R$1,0)),"")</f>
        <v/>
      </c>
      <c r="L699" s="23" t="str">
        <f>IFERROR(INDEX(vdata_regressors!$A$1:$L$2000,MATCH($A699,vdata_regressors!$A$2:$A$2000,0)+1,MATCH(L$2,vdata_regressors!$A$1:$R$1,0)),"")</f>
        <v/>
      </c>
      <c r="M699" s="23" t="str">
        <f>IFERROR(VLOOKUP(A699,vdata_hours!$A$2:$B$1000,2,FALSE),"")</f>
        <v/>
      </c>
    </row>
    <row r="700" spans="1:13" x14ac:dyDescent="0.25">
      <c r="A700" s="23" t="str">
        <f>IF(vdata_hours!A699=0,"",vdata_hours!A699)</f>
        <v/>
      </c>
      <c r="B700" s="23" t="str">
        <f>IFERROR(INDEX(vdata_regressors!$A$1:$L$2000,MATCH($A700,vdata_regressors!$A$2:$A$2000,0)+1,MATCH(B$2,vdata_regressors!$A$1:$R$1,0)),"")</f>
        <v/>
      </c>
      <c r="C700" s="23" t="str">
        <f>IFERROR(INDEX(vdata_regressors!$A$1:$L$2000,MATCH($A700,vdata_regressors!$A$2:$A$2000,0)+1,MATCH(C$2,vdata_regressors!$A$1:$R$1,0)),"")</f>
        <v/>
      </c>
      <c r="D700" s="23" t="str">
        <f>IFERROR(INDEX(vdata_regressors!$A$1:$L$2000,MATCH($A700,vdata_regressors!$A$2:$A$2000,0)+1,MATCH(D$2,vdata_regressors!$A$1:$R$1,0)),"")</f>
        <v/>
      </c>
      <c r="E700" s="23" t="str">
        <f>IFERROR(INDEX(vdata_regressors!$A$1:$L$2000,MATCH($A700,vdata_regressors!$A$2:$A$2000,0)+1,MATCH(E$2,vdata_regressors!$A$1:$R$1,0)),"")</f>
        <v/>
      </c>
      <c r="F700" s="23" t="str">
        <f>IFERROR(INDEX(vdata_regressors!$A$1:$L$2000,MATCH($A700,vdata_regressors!$A$2:$A$2000,0)+1,MATCH(F$2,vdata_regressors!$A$1:$R$1,0)),"")</f>
        <v/>
      </c>
      <c r="G700" s="23" t="str">
        <f>IFERROR(INDEX(vdata_regressors!$A$1:$L$2000,MATCH($A700,vdata_regressors!$A$2:$A$2000,0)+1,MATCH(G$2,vdata_regressors!$A$1:$R$1,0)),"")</f>
        <v/>
      </c>
      <c r="H700" s="23" t="str">
        <f>IFERROR(INDEX(vdata_regressors!$A$1:$L$2000,MATCH($A700,vdata_regressors!$A$2:$A$2000,0)+1,MATCH(H$2,vdata_regressors!$A$1:$R$1,0)),"")</f>
        <v/>
      </c>
      <c r="I700" s="23" t="str">
        <f>IFERROR(INDEX(vdata_regressors!$A$1:$L$2000,MATCH($A700,vdata_regressors!$A$2:$A$2000,0)+1,MATCH(I$2,vdata_regressors!$A$1:$R$1,0)),"")</f>
        <v/>
      </c>
      <c r="J700" s="23" t="str">
        <f>IFERROR(INDEX(vdata_regressors!$A$1:$L$2000,MATCH($A700,vdata_regressors!$A$2:$A$2000,0)+1,MATCH(J$2,vdata_regressors!$A$1:$R$1,0)),"")</f>
        <v/>
      </c>
      <c r="K700" s="23" t="str">
        <f>IFERROR(INDEX(vdata_regressors!$A$1:$L$2000,MATCH($A700,vdata_regressors!$A$2:$A$2000,0)+1,MATCH(K$2,vdata_regressors!$A$1:$R$1,0)),"")</f>
        <v/>
      </c>
      <c r="L700" s="23" t="str">
        <f>IFERROR(INDEX(vdata_regressors!$A$1:$L$2000,MATCH($A700,vdata_regressors!$A$2:$A$2000,0)+1,MATCH(L$2,vdata_regressors!$A$1:$R$1,0)),"")</f>
        <v/>
      </c>
      <c r="M700" s="23" t="str">
        <f>IFERROR(VLOOKUP(A700,vdata_hours!$A$2:$B$1000,2,FALSE),"")</f>
        <v/>
      </c>
    </row>
    <row r="701" spans="1:13" x14ac:dyDescent="0.25">
      <c r="A701" s="23" t="str">
        <f>IF(vdata_hours!A700=0,"",vdata_hours!A700)</f>
        <v/>
      </c>
      <c r="B701" s="23" t="str">
        <f>IFERROR(INDEX(vdata_regressors!$A$1:$L$2000,MATCH($A701,vdata_regressors!$A$2:$A$2000,0)+1,MATCH(B$2,vdata_regressors!$A$1:$R$1,0)),"")</f>
        <v/>
      </c>
      <c r="C701" s="23" t="str">
        <f>IFERROR(INDEX(vdata_regressors!$A$1:$L$2000,MATCH($A701,vdata_regressors!$A$2:$A$2000,0)+1,MATCH(C$2,vdata_regressors!$A$1:$R$1,0)),"")</f>
        <v/>
      </c>
      <c r="D701" s="23" t="str">
        <f>IFERROR(INDEX(vdata_regressors!$A$1:$L$2000,MATCH($A701,vdata_regressors!$A$2:$A$2000,0)+1,MATCH(D$2,vdata_regressors!$A$1:$R$1,0)),"")</f>
        <v/>
      </c>
      <c r="E701" s="23" t="str">
        <f>IFERROR(INDEX(vdata_regressors!$A$1:$L$2000,MATCH($A701,vdata_regressors!$A$2:$A$2000,0)+1,MATCH(E$2,vdata_regressors!$A$1:$R$1,0)),"")</f>
        <v/>
      </c>
      <c r="F701" s="23" t="str">
        <f>IFERROR(INDEX(vdata_regressors!$A$1:$L$2000,MATCH($A701,vdata_regressors!$A$2:$A$2000,0)+1,MATCH(F$2,vdata_regressors!$A$1:$R$1,0)),"")</f>
        <v/>
      </c>
      <c r="G701" s="23" t="str">
        <f>IFERROR(INDEX(vdata_regressors!$A$1:$L$2000,MATCH($A701,vdata_regressors!$A$2:$A$2000,0)+1,MATCH(G$2,vdata_regressors!$A$1:$R$1,0)),"")</f>
        <v/>
      </c>
      <c r="H701" s="23" t="str">
        <f>IFERROR(INDEX(vdata_regressors!$A$1:$L$2000,MATCH($A701,vdata_regressors!$A$2:$A$2000,0)+1,MATCH(H$2,vdata_regressors!$A$1:$R$1,0)),"")</f>
        <v/>
      </c>
      <c r="I701" s="23" t="str">
        <f>IFERROR(INDEX(vdata_regressors!$A$1:$L$2000,MATCH($A701,vdata_regressors!$A$2:$A$2000,0)+1,MATCH(I$2,vdata_regressors!$A$1:$R$1,0)),"")</f>
        <v/>
      </c>
      <c r="J701" s="23" t="str">
        <f>IFERROR(INDEX(vdata_regressors!$A$1:$L$2000,MATCH($A701,vdata_regressors!$A$2:$A$2000,0)+1,MATCH(J$2,vdata_regressors!$A$1:$R$1,0)),"")</f>
        <v/>
      </c>
      <c r="K701" s="23" t="str">
        <f>IFERROR(INDEX(vdata_regressors!$A$1:$L$2000,MATCH($A701,vdata_regressors!$A$2:$A$2000,0)+1,MATCH(K$2,vdata_regressors!$A$1:$R$1,0)),"")</f>
        <v/>
      </c>
      <c r="L701" s="23" t="str">
        <f>IFERROR(INDEX(vdata_regressors!$A$1:$L$2000,MATCH($A701,vdata_regressors!$A$2:$A$2000,0)+1,MATCH(L$2,vdata_regressors!$A$1:$R$1,0)),"")</f>
        <v/>
      </c>
      <c r="M701" s="23" t="str">
        <f>IFERROR(VLOOKUP(A701,vdata_hours!$A$2:$B$1000,2,FALSE),"")</f>
        <v/>
      </c>
    </row>
    <row r="702" spans="1:13" x14ac:dyDescent="0.25">
      <c r="A702" s="23" t="str">
        <f>IF(vdata_hours!A701=0,"",vdata_hours!A701)</f>
        <v/>
      </c>
      <c r="B702" s="23" t="str">
        <f>IFERROR(INDEX(vdata_regressors!$A$1:$L$2000,MATCH($A702,vdata_regressors!$A$2:$A$2000,0)+1,MATCH(B$2,vdata_regressors!$A$1:$R$1,0)),"")</f>
        <v/>
      </c>
      <c r="C702" s="23" t="str">
        <f>IFERROR(INDEX(vdata_regressors!$A$1:$L$2000,MATCH($A702,vdata_regressors!$A$2:$A$2000,0)+1,MATCH(C$2,vdata_regressors!$A$1:$R$1,0)),"")</f>
        <v/>
      </c>
      <c r="D702" s="23" t="str">
        <f>IFERROR(INDEX(vdata_regressors!$A$1:$L$2000,MATCH($A702,vdata_regressors!$A$2:$A$2000,0)+1,MATCH(D$2,vdata_regressors!$A$1:$R$1,0)),"")</f>
        <v/>
      </c>
      <c r="E702" s="23" t="str">
        <f>IFERROR(INDEX(vdata_regressors!$A$1:$L$2000,MATCH($A702,vdata_regressors!$A$2:$A$2000,0)+1,MATCH(E$2,vdata_regressors!$A$1:$R$1,0)),"")</f>
        <v/>
      </c>
      <c r="F702" s="23" t="str">
        <f>IFERROR(INDEX(vdata_regressors!$A$1:$L$2000,MATCH($A702,vdata_regressors!$A$2:$A$2000,0)+1,MATCH(F$2,vdata_regressors!$A$1:$R$1,0)),"")</f>
        <v/>
      </c>
      <c r="G702" s="23" t="str">
        <f>IFERROR(INDEX(vdata_regressors!$A$1:$L$2000,MATCH($A702,vdata_regressors!$A$2:$A$2000,0)+1,MATCH(G$2,vdata_regressors!$A$1:$R$1,0)),"")</f>
        <v/>
      </c>
      <c r="H702" s="23" t="str">
        <f>IFERROR(INDEX(vdata_regressors!$A$1:$L$2000,MATCH($A702,vdata_regressors!$A$2:$A$2000,0)+1,MATCH(H$2,vdata_regressors!$A$1:$R$1,0)),"")</f>
        <v/>
      </c>
      <c r="I702" s="23" t="str">
        <f>IFERROR(INDEX(vdata_regressors!$A$1:$L$2000,MATCH($A702,vdata_regressors!$A$2:$A$2000,0)+1,MATCH(I$2,vdata_regressors!$A$1:$R$1,0)),"")</f>
        <v/>
      </c>
      <c r="J702" s="23" t="str">
        <f>IFERROR(INDEX(vdata_regressors!$A$1:$L$2000,MATCH($A702,vdata_regressors!$A$2:$A$2000,0)+1,MATCH(J$2,vdata_regressors!$A$1:$R$1,0)),"")</f>
        <v/>
      </c>
      <c r="K702" s="23" t="str">
        <f>IFERROR(INDEX(vdata_regressors!$A$1:$L$2000,MATCH($A702,vdata_regressors!$A$2:$A$2000,0)+1,MATCH(K$2,vdata_regressors!$A$1:$R$1,0)),"")</f>
        <v/>
      </c>
      <c r="L702" s="23" t="str">
        <f>IFERROR(INDEX(vdata_regressors!$A$1:$L$2000,MATCH($A702,vdata_regressors!$A$2:$A$2000,0)+1,MATCH(L$2,vdata_regressors!$A$1:$R$1,0)),"")</f>
        <v/>
      </c>
      <c r="M702" s="23" t="str">
        <f>IFERROR(VLOOKUP(A702,vdata_hours!$A$2:$B$1000,2,FALSE),"")</f>
        <v/>
      </c>
    </row>
    <row r="703" spans="1:13" x14ac:dyDescent="0.25">
      <c r="A703" s="23" t="str">
        <f>IF(vdata_hours!A702=0,"",vdata_hours!A702)</f>
        <v/>
      </c>
      <c r="B703" s="23" t="str">
        <f>IFERROR(INDEX(vdata_regressors!$A$1:$L$2000,MATCH($A703,vdata_regressors!$A$2:$A$2000,0)+1,MATCH(B$2,vdata_regressors!$A$1:$R$1,0)),"")</f>
        <v/>
      </c>
      <c r="C703" s="23" t="str">
        <f>IFERROR(INDEX(vdata_regressors!$A$1:$L$2000,MATCH($A703,vdata_regressors!$A$2:$A$2000,0)+1,MATCH(C$2,vdata_regressors!$A$1:$R$1,0)),"")</f>
        <v/>
      </c>
      <c r="D703" s="23" t="str">
        <f>IFERROR(INDEX(vdata_regressors!$A$1:$L$2000,MATCH($A703,vdata_regressors!$A$2:$A$2000,0)+1,MATCH(D$2,vdata_regressors!$A$1:$R$1,0)),"")</f>
        <v/>
      </c>
      <c r="E703" s="23" t="str">
        <f>IFERROR(INDEX(vdata_regressors!$A$1:$L$2000,MATCH($A703,vdata_regressors!$A$2:$A$2000,0)+1,MATCH(E$2,vdata_regressors!$A$1:$R$1,0)),"")</f>
        <v/>
      </c>
      <c r="F703" s="23" t="str">
        <f>IFERROR(INDEX(vdata_regressors!$A$1:$L$2000,MATCH($A703,vdata_regressors!$A$2:$A$2000,0)+1,MATCH(F$2,vdata_regressors!$A$1:$R$1,0)),"")</f>
        <v/>
      </c>
      <c r="G703" s="23" t="str">
        <f>IFERROR(INDEX(vdata_regressors!$A$1:$L$2000,MATCH($A703,vdata_regressors!$A$2:$A$2000,0)+1,MATCH(G$2,vdata_regressors!$A$1:$R$1,0)),"")</f>
        <v/>
      </c>
      <c r="H703" s="23" t="str">
        <f>IFERROR(INDEX(vdata_regressors!$A$1:$L$2000,MATCH($A703,vdata_regressors!$A$2:$A$2000,0)+1,MATCH(H$2,vdata_regressors!$A$1:$R$1,0)),"")</f>
        <v/>
      </c>
      <c r="I703" s="23" t="str">
        <f>IFERROR(INDEX(vdata_regressors!$A$1:$L$2000,MATCH($A703,vdata_regressors!$A$2:$A$2000,0)+1,MATCH(I$2,vdata_regressors!$A$1:$R$1,0)),"")</f>
        <v/>
      </c>
      <c r="J703" s="23" t="str">
        <f>IFERROR(INDEX(vdata_regressors!$A$1:$L$2000,MATCH($A703,vdata_regressors!$A$2:$A$2000,0)+1,MATCH(J$2,vdata_regressors!$A$1:$R$1,0)),"")</f>
        <v/>
      </c>
      <c r="K703" s="23" t="str">
        <f>IFERROR(INDEX(vdata_regressors!$A$1:$L$2000,MATCH($A703,vdata_regressors!$A$2:$A$2000,0)+1,MATCH(K$2,vdata_regressors!$A$1:$R$1,0)),"")</f>
        <v/>
      </c>
      <c r="L703" s="23" t="str">
        <f>IFERROR(INDEX(vdata_regressors!$A$1:$L$2000,MATCH($A703,vdata_regressors!$A$2:$A$2000,0)+1,MATCH(L$2,vdata_regressors!$A$1:$R$1,0)),"")</f>
        <v/>
      </c>
      <c r="M703" s="23" t="str">
        <f>IFERROR(VLOOKUP(A703,vdata_hours!$A$2:$B$1000,2,FALSE),"")</f>
        <v/>
      </c>
    </row>
    <row r="704" spans="1:13" x14ac:dyDescent="0.25">
      <c r="A704" s="23" t="str">
        <f>IF(vdata_hours!A703=0,"",vdata_hours!A703)</f>
        <v/>
      </c>
      <c r="B704" s="23" t="str">
        <f>IFERROR(INDEX(vdata_regressors!$A$1:$L$2000,MATCH($A704,vdata_regressors!$A$2:$A$2000,0)+1,MATCH(B$2,vdata_regressors!$A$1:$R$1,0)),"")</f>
        <v/>
      </c>
      <c r="C704" s="23" t="str">
        <f>IFERROR(INDEX(vdata_regressors!$A$1:$L$2000,MATCH($A704,vdata_regressors!$A$2:$A$2000,0)+1,MATCH(C$2,vdata_regressors!$A$1:$R$1,0)),"")</f>
        <v/>
      </c>
      <c r="D704" s="23" t="str">
        <f>IFERROR(INDEX(vdata_regressors!$A$1:$L$2000,MATCH($A704,vdata_regressors!$A$2:$A$2000,0)+1,MATCH(D$2,vdata_regressors!$A$1:$R$1,0)),"")</f>
        <v/>
      </c>
      <c r="E704" s="23" t="str">
        <f>IFERROR(INDEX(vdata_regressors!$A$1:$L$2000,MATCH($A704,vdata_regressors!$A$2:$A$2000,0)+1,MATCH(E$2,vdata_regressors!$A$1:$R$1,0)),"")</f>
        <v/>
      </c>
      <c r="F704" s="23" t="str">
        <f>IFERROR(INDEX(vdata_regressors!$A$1:$L$2000,MATCH($A704,vdata_regressors!$A$2:$A$2000,0)+1,MATCH(F$2,vdata_regressors!$A$1:$R$1,0)),"")</f>
        <v/>
      </c>
      <c r="G704" s="23" t="str">
        <f>IFERROR(INDEX(vdata_regressors!$A$1:$L$2000,MATCH($A704,vdata_regressors!$A$2:$A$2000,0)+1,MATCH(G$2,vdata_regressors!$A$1:$R$1,0)),"")</f>
        <v/>
      </c>
      <c r="H704" s="23" t="str">
        <f>IFERROR(INDEX(vdata_regressors!$A$1:$L$2000,MATCH($A704,vdata_regressors!$A$2:$A$2000,0)+1,MATCH(H$2,vdata_regressors!$A$1:$R$1,0)),"")</f>
        <v/>
      </c>
      <c r="I704" s="23" t="str">
        <f>IFERROR(INDEX(vdata_regressors!$A$1:$L$2000,MATCH($A704,vdata_regressors!$A$2:$A$2000,0)+1,MATCH(I$2,vdata_regressors!$A$1:$R$1,0)),"")</f>
        <v/>
      </c>
      <c r="J704" s="23" t="str">
        <f>IFERROR(INDEX(vdata_regressors!$A$1:$L$2000,MATCH($A704,vdata_regressors!$A$2:$A$2000,0)+1,MATCH(J$2,vdata_regressors!$A$1:$R$1,0)),"")</f>
        <v/>
      </c>
      <c r="K704" s="23" t="str">
        <f>IFERROR(INDEX(vdata_regressors!$A$1:$L$2000,MATCH($A704,vdata_regressors!$A$2:$A$2000,0)+1,MATCH(K$2,vdata_regressors!$A$1:$R$1,0)),"")</f>
        <v/>
      </c>
      <c r="L704" s="23" t="str">
        <f>IFERROR(INDEX(vdata_regressors!$A$1:$L$2000,MATCH($A704,vdata_regressors!$A$2:$A$2000,0)+1,MATCH(L$2,vdata_regressors!$A$1:$R$1,0)),"")</f>
        <v/>
      </c>
      <c r="M704" s="23" t="str">
        <f>IFERROR(VLOOKUP(A704,vdata_hours!$A$2:$B$1000,2,FALSE),"")</f>
        <v/>
      </c>
    </row>
    <row r="705" spans="1:13" x14ac:dyDescent="0.25">
      <c r="A705" s="23" t="str">
        <f>IF(vdata_hours!A704=0,"",vdata_hours!A704)</f>
        <v/>
      </c>
      <c r="B705" s="23" t="str">
        <f>IFERROR(INDEX(vdata_regressors!$A$1:$L$2000,MATCH($A705,vdata_regressors!$A$2:$A$2000,0)+1,MATCH(B$2,vdata_regressors!$A$1:$R$1,0)),"")</f>
        <v/>
      </c>
      <c r="C705" s="23" t="str">
        <f>IFERROR(INDEX(vdata_regressors!$A$1:$L$2000,MATCH($A705,vdata_regressors!$A$2:$A$2000,0)+1,MATCH(C$2,vdata_regressors!$A$1:$R$1,0)),"")</f>
        <v/>
      </c>
      <c r="D705" s="23" t="str">
        <f>IFERROR(INDEX(vdata_regressors!$A$1:$L$2000,MATCH($A705,vdata_regressors!$A$2:$A$2000,0)+1,MATCH(D$2,vdata_regressors!$A$1:$R$1,0)),"")</f>
        <v/>
      </c>
      <c r="E705" s="23" t="str">
        <f>IFERROR(INDEX(vdata_regressors!$A$1:$L$2000,MATCH($A705,vdata_regressors!$A$2:$A$2000,0)+1,MATCH(E$2,vdata_regressors!$A$1:$R$1,0)),"")</f>
        <v/>
      </c>
      <c r="F705" s="23" t="str">
        <f>IFERROR(INDEX(vdata_regressors!$A$1:$L$2000,MATCH($A705,vdata_regressors!$A$2:$A$2000,0)+1,MATCH(F$2,vdata_regressors!$A$1:$R$1,0)),"")</f>
        <v/>
      </c>
      <c r="G705" s="23" t="str">
        <f>IFERROR(INDEX(vdata_regressors!$A$1:$L$2000,MATCH($A705,vdata_regressors!$A$2:$A$2000,0)+1,MATCH(G$2,vdata_regressors!$A$1:$R$1,0)),"")</f>
        <v/>
      </c>
      <c r="H705" s="23" t="str">
        <f>IFERROR(INDEX(vdata_regressors!$A$1:$L$2000,MATCH($A705,vdata_regressors!$A$2:$A$2000,0)+1,MATCH(H$2,vdata_regressors!$A$1:$R$1,0)),"")</f>
        <v/>
      </c>
      <c r="I705" s="23" t="str">
        <f>IFERROR(INDEX(vdata_regressors!$A$1:$L$2000,MATCH($A705,vdata_regressors!$A$2:$A$2000,0)+1,MATCH(I$2,vdata_regressors!$A$1:$R$1,0)),"")</f>
        <v/>
      </c>
      <c r="J705" s="23" t="str">
        <f>IFERROR(INDEX(vdata_regressors!$A$1:$L$2000,MATCH($A705,vdata_regressors!$A$2:$A$2000,0)+1,MATCH(J$2,vdata_regressors!$A$1:$R$1,0)),"")</f>
        <v/>
      </c>
      <c r="K705" s="23" t="str">
        <f>IFERROR(INDEX(vdata_regressors!$A$1:$L$2000,MATCH($A705,vdata_regressors!$A$2:$A$2000,0)+1,MATCH(K$2,vdata_regressors!$A$1:$R$1,0)),"")</f>
        <v/>
      </c>
      <c r="L705" s="23" t="str">
        <f>IFERROR(INDEX(vdata_regressors!$A$1:$L$2000,MATCH($A705,vdata_regressors!$A$2:$A$2000,0)+1,MATCH(L$2,vdata_regressors!$A$1:$R$1,0)),"")</f>
        <v/>
      </c>
      <c r="M705" s="23" t="str">
        <f>IFERROR(VLOOKUP(A705,vdata_hours!$A$2:$B$1000,2,FALSE),"")</f>
        <v/>
      </c>
    </row>
    <row r="706" spans="1:13" x14ac:dyDescent="0.25">
      <c r="A706" s="23" t="str">
        <f>IF(vdata_hours!A705=0,"",vdata_hours!A705)</f>
        <v/>
      </c>
      <c r="B706" s="23" t="str">
        <f>IFERROR(INDEX(vdata_regressors!$A$1:$L$2000,MATCH($A706,vdata_regressors!$A$2:$A$2000,0)+1,MATCH(B$2,vdata_regressors!$A$1:$R$1,0)),"")</f>
        <v/>
      </c>
      <c r="C706" s="23" t="str">
        <f>IFERROR(INDEX(vdata_regressors!$A$1:$L$2000,MATCH($A706,vdata_regressors!$A$2:$A$2000,0)+1,MATCH(C$2,vdata_regressors!$A$1:$R$1,0)),"")</f>
        <v/>
      </c>
      <c r="D706" s="23" t="str">
        <f>IFERROR(INDEX(vdata_regressors!$A$1:$L$2000,MATCH($A706,vdata_regressors!$A$2:$A$2000,0)+1,MATCH(D$2,vdata_regressors!$A$1:$R$1,0)),"")</f>
        <v/>
      </c>
      <c r="E706" s="23" t="str">
        <f>IFERROR(INDEX(vdata_regressors!$A$1:$L$2000,MATCH($A706,vdata_regressors!$A$2:$A$2000,0)+1,MATCH(E$2,vdata_regressors!$A$1:$R$1,0)),"")</f>
        <v/>
      </c>
      <c r="F706" s="23" t="str">
        <f>IFERROR(INDEX(vdata_regressors!$A$1:$L$2000,MATCH($A706,vdata_regressors!$A$2:$A$2000,0)+1,MATCH(F$2,vdata_regressors!$A$1:$R$1,0)),"")</f>
        <v/>
      </c>
      <c r="G706" s="23" t="str">
        <f>IFERROR(INDEX(vdata_regressors!$A$1:$L$2000,MATCH($A706,vdata_regressors!$A$2:$A$2000,0)+1,MATCH(G$2,vdata_regressors!$A$1:$R$1,0)),"")</f>
        <v/>
      </c>
      <c r="H706" s="23" t="str">
        <f>IFERROR(INDEX(vdata_regressors!$A$1:$L$2000,MATCH($A706,vdata_regressors!$A$2:$A$2000,0)+1,MATCH(H$2,vdata_regressors!$A$1:$R$1,0)),"")</f>
        <v/>
      </c>
      <c r="I706" s="23" t="str">
        <f>IFERROR(INDEX(vdata_regressors!$A$1:$L$2000,MATCH($A706,vdata_regressors!$A$2:$A$2000,0)+1,MATCH(I$2,vdata_regressors!$A$1:$R$1,0)),"")</f>
        <v/>
      </c>
      <c r="J706" s="23" t="str">
        <f>IFERROR(INDEX(vdata_regressors!$A$1:$L$2000,MATCH($A706,vdata_regressors!$A$2:$A$2000,0)+1,MATCH(J$2,vdata_regressors!$A$1:$R$1,0)),"")</f>
        <v/>
      </c>
      <c r="K706" s="23" t="str">
        <f>IFERROR(INDEX(vdata_regressors!$A$1:$L$2000,MATCH($A706,vdata_regressors!$A$2:$A$2000,0)+1,MATCH(K$2,vdata_regressors!$A$1:$R$1,0)),"")</f>
        <v/>
      </c>
      <c r="L706" s="23" t="str">
        <f>IFERROR(INDEX(vdata_regressors!$A$1:$L$2000,MATCH($A706,vdata_regressors!$A$2:$A$2000,0)+1,MATCH(L$2,vdata_regressors!$A$1:$R$1,0)),"")</f>
        <v/>
      </c>
      <c r="M706" s="23" t="str">
        <f>IFERROR(VLOOKUP(A706,vdata_hours!$A$2:$B$1000,2,FALSE),"")</f>
        <v/>
      </c>
    </row>
    <row r="707" spans="1:13" x14ac:dyDescent="0.25">
      <c r="A707" s="23" t="str">
        <f>IF(vdata_hours!A706=0,"",vdata_hours!A706)</f>
        <v/>
      </c>
      <c r="B707" s="23" t="str">
        <f>IFERROR(INDEX(vdata_regressors!$A$1:$L$2000,MATCH($A707,vdata_regressors!$A$2:$A$2000,0)+1,MATCH(B$2,vdata_regressors!$A$1:$R$1,0)),"")</f>
        <v/>
      </c>
      <c r="C707" s="23" t="str">
        <f>IFERROR(INDEX(vdata_regressors!$A$1:$L$2000,MATCH($A707,vdata_regressors!$A$2:$A$2000,0)+1,MATCH(C$2,vdata_regressors!$A$1:$R$1,0)),"")</f>
        <v/>
      </c>
      <c r="D707" s="23" t="str">
        <f>IFERROR(INDEX(vdata_regressors!$A$1:$L$2000,MATCH($A707,vdata_regressors!$A$2:$A$2000,0)+1,MATCH(D$2,vdata_regressors!$A$1:$R$1,0)),"")</f>
        <v/>
      </c>
      <c r="E707" s="23" t="str">
        <f>IFERROR(INDEX(vdata_regressors!$A$1:$L$2000,MATCH($A707,vdata_regressors!$A$2:$A$2000,0)+1,MATCH(E$2,vdata_regressors!$A$1:$R$1,0)),"")</f>
        <v/>
      </c>
      <c r="F707" s="23" t="str">
        <f>IFERROR(INDEX(vdata_regressors!$A$1:$L$2000,MATCH($A707,vdata_regressors!$A$2:$A$2000,0)+1,MATCH(F$2,vdata_regressors!$A$1:$R$1,0)),"")</f>
        <v/>
      </c>
      <c r="G707" s="23" t="str">
        <f>IFERROR(INDEX(vdata_regressors!$A$1:$L$2000,MATCH($A707,vdata_regressors!$A$2:$A$2000,0)+1,MATCH(G$2,vdata_regressors!$A$1:$R$1,0)),"")</f>
        <v/>
      </c>
      <c r="H707" s="23" t="str">
        <f>IFERROR(INDEX(vdata_regressors!$A$1:$L$2000,MATCH($A707,vdata_regressors!$A$2:$A$2000,0)+1,MATCH(H$2,vdata_regressors!$A$1:$R$1,0)),"")</f>
        <v/>
      </c>
      <c r="I707" s="23" t="str">
        <f>IFERROR(INDEX(vdata_regressors!$A$1:$L$2000,MATCH($A707,vdata_regressors!$A$2:$A$2000,0)+1,MATCH(I$2,vdata_regressors!$A$1:$R$1,0)),"")</f>
        <v/>
      </c>
      <c r="J707" s="23" t="str">
        <f>IFERROR(INDEX(vdata_regressors!$A$1:$L$2000,MATCH($A707,vdata_regressors!$A$2:$A$2000,0)+1,MATCH(J$2,vdata_regressors!$A$1:$R$1,0)),"")</f>
        <v/>
      </c>
      <c r="K707" s="23" t="str">
        <f>IFERROR(INDEX(vdata_regressors!$A$1:$L$2000,MATCH($A707,vdata_regressors!$A$2:$A$2000,0)+1,MATCH(K$2,vdata_regressors!$A$1:$R$1,0)),"")</f>
        <v/>
      </c>
      <c r="L707" s="23" t="str">
        <f>IFERROR(INDEX(vdata_regressors!$A$1:$L$2000,MATCH($A707,vdata_regressors!$A$2:$A$2000,0)+1,MATCH(L$2,vdata_regressors!$A$1:$R$1,0)),"")</f>
        <v/>
      </c>
      <c r="M707" s="23" t="str">
        <f>IFERROR(VLOOKUP(A707,vdata_hours!$A$2:$B$1000,2,FALSE),"")</f>
        <v/>
      </c>
    </row>
    <row r="708" spans="1:13" x14ac:dyDescent="0.25">
      <c r="A708" s="23" t="str">
        <f>IF(vdata_hours!A707=0,"",vdata_hours!A707)</f>
        <v/>
      </c>
      <c r="B708" s="23" t="str">
        <f>IFERROR(INDEX(vdata_regressors!$A$1:$L$2000,MATCH($A708,vdata_regressors!$A$2:$A$2000,0)+1,MATCH(B$2,vdata_regressors!$A$1:$R$1,0)),"")</f>
        <v/>
      </c>
      <c r="C708" s="23" t="str">
        <f>IFERROR(INDEX(vdata_regressors!$A$1:$L$2000,MATCH($A708,vdata_regressors!$A$2:$A$2000,0)+1,MATCH(C$2,vdata_regressors!$A$1:$R$1,0)),"")</f>
        <v/>
      </c>
      <c r="D708" s="23" t="str">
        <f>IFERROR(INDEX(vdata_regressors!$A$1:$L$2000,MATCH($A708,vdata_regressors!$A$2:$A$2000,0)+1,MATCH(D$2,vdata_regressors!$A$1:$R$1,0)),"")</f>
        <v/>
      </c>
      <c r="E708" s="23" t="str">
        <f>IFERROR(INDEX(vdata_regressors!$A$1:$L$2000,MATCH($A708,vdata_regressors!$A$2:$A$2000,0)+1,MATCH(E$2,vdata_regressors!$A$1:$R$1,0)),"")</f>
        <v/>
      </c>
      <c r="F708" s="23" t="str">
        <f>IFERROR(INDEX(vdata_regressors!$A$1:$L$2000,MATCH($A708,vdata_regressors!$A$2:$A$2000,0)+1,MATCH(F$2,vdata_regressors!$A$1:$R$1,0)),"")</f>
        <v/>
      </c>
      <c r="G708" s="23" t="str">
        <f>IFERROR(INDEX(vdata_regressors!$A$1:$L$2000,MATCH($A708,vdata_regressors!$A$2:$A$2000,0)+1,MATCH(G$2,vdata_regressors!$A$1:$R$1,0)),"")</f>
        <v/>
      </c>
      <c r="H708" s="23" t="str">
        <f>IFERROR(INDEX(vdata_regressors!$A$1:$L$2000,MATCH($A708,vdata_regressors!$A$2:$A$2000,0)+1,MATCH(H$2,vdata_regressors!$A$1:$R$1,0)),"")</f>
        <v/>
      </c>
      <c r="I708" s="23" t="str">
        <f>IFERROR(INDEX(vdata_regressors!$A$1:$L$2000,MATCH($A708,vdata_regressors!$A$2:$A$2000,0)+1,MATCH(I$2,vdata_regressors!$A$1:$R$1,0)),"")</f>
        <v/>
      </c>
      <c r="J708" s="23" t="str">
        <f>IFERROR(INDEX(vdata_regressors!$A$1:$L$2000,MATCH($A708,vdata_regressors!$A$2:$A$2000,0)+1,MATCH(J$2,vdata_regressors!$A$1:$R$1,0)),"")</f>
        <v/>
      </c>
      <c r="K708" s="23" t="str">
        <f>IFERROR(INDEX(vdata_regressors!$A$1:$L$2000,MATCH($A708,vdata_regressors!$A$2:$A$2000,0)+1,MATCH(K$2,vdata_regressors!$A$1:$R$1,0)),"")</f>
        <v/>
      </c>
      <c r="L708" s="23" t="str">
        <f>IFERROR(INDEX(vdata_regressors!$A$1:$L$2000,MATCH($A708,vdata_regressors!$A$2:$A$2000,0)+1,MATCH(L$2,vdata_regressors!$A$1:$R$1,0)),"")</f>
        <v/>
      </c>
      <c r="M708" s="23" t="str">
        <f>IFERROR(VLOOKUP(A708,vdata_hours!$A$2:$B$1000,2,FALSE),"")</f>
        <v/>
      </c>
    </row>
    <row r="709" spans="1:13" x14ac:dyDescent="0.25">
      <c r="A709" s="23" t="str">
        <f>IF(vdata_hours!A708=0,"",vdata_hours!A708)</f>
        <v/>
      </c>
      <c r="B709" s="23" t="str">
        <f>IFERROR(INDEX(vdata_regressors!$A$1:$L$2000,MATCH($A709,vdata_regressors!$A$2:$A$2000,0)+1,MATCH(B$2,vdata_regressors!$A$1:$R$1,0)),"")</f>
        <v/>
      </c>
      <c r="C709" s="23" t="str">
        <f>IFERROR(INDEX(vdata_regressors!$A$1:$L$2000,MATCH($A709,vdata_regressors!$A$2:$A$2000,0)+1,MATCH(C$2,vdata_regressors!$A$1:$R$1,0)),"")</f>
        <v/>
      </c>
      <c r="D709" s="23" t="str">
        <f>IFERROR(INDEX(vdata_regressors!$A$1:$L$2000,MATCH($A709,vdata_regressors!$A$2:$A$2000,0)+1,MATCH(D$2,vdata_regressors!$A$1:$R$1,0)),"")</f>
        <v/>
      </c>
      <c r="E709" s="23" t="str">
        <f>IFERROR(INDEX(vdata_regressors!$A$1:$L$2000,MATCH($A709,vdata_regressors!$A$2:$A$2000,0)+1,MATCH(E$2,vdata_regressors!$A$1:$R$1,0)),"")</f>
        <v/>
      </c>
      <c r="F709" s="23" t="str">
        <f>IFERROR(INDEX(vdata_regressors!$A$1:$L$2000,MATCH($A709,vdata_regressors!$A$2:$A$2000,0)+1,MATCH(F$2,vdata_regressors!$A$1:$R$1,0)),"")</f>
        <v/>
      </c>
      <c r="G709" s="23" t="str">
        <f>IFERROR(INDEX(vdata_regressors!$A$1:$L$2000,MATCH($A709,vdata_regressors!$A$2:$A$2000,0)+1,MATCH(G$2,vdata_regressors!$A$1:$R$1,0)),"")</f>
        <v/>
      </c>
      <c r="H709" s="23" t="str">
        <f>IFERROR(INDEX(vdata_regressors!$A$1:$L$2000,MATCH($A709,vdata_regressors!$A$2:$A$2000,0)+1,MATCH(H$2,vdata_regressors!$A$1:$R$1,0)),"")</f>
        <v/>
      </c>
      <c r="I709" s="23" t="str">
        <f>IFERROR(INDEX(vdata_regressors!$A$1:$L$2000,MATCH($A709,vdata_regressors!$A$2:$A$2000,0)+1,MATCH(I$2,vdata_regressors!$A$1:$R$1,0)),"")</f>
        <v/>
      </c>
      <c r="J709" s="23" t="str">
        <f>IFERROR(INDEX(vdata_regressors!$A$1:$L$2000,MATCH($A709,vdata_regressors!$A$2:$A$2000,0)+1,MATCH(J$2,vdata_regressors!$A$1:$R$1,0)),"")</f>
        <v/>
      </c>
      <c r="K709" s="23" t="str">
        <f>IFERROR(INDEX(vdata_regressors!$A$1:$L$2000,MATCH($A709,vdata_regressors!$A$2:$A$2000,0)+1,MATCH(K$2,vdata_regressors!$A$1:$R$1,0)),"")</f>
        <v/>
      </c>
      <c r="L709" s="23" t="str">
        <f>IFERROR(INDEX(vdata_regressors!$A$1:$L$2000,MATCH($A709,vdata_regressors!$A$2:$A$2000,0)+1,MATCH(L$2,vdata_regressors!$A$1:$R$1,0)),"")</f>
        <v/>
      </c>
      <c r="M709" s="23" t="str">
        <f>IFERROR(VLOOKUP(A709,vdata_hours!$A$2:$B$1000,2,FALSE),"")</f>
        <v/>
      </c>
    </row>
    <row r="710" spans="1:13" x14ac:dyDescent="0.25">
      <c r="A710" s="23" t="str">
        <f>IF(vdata_hours!A709=0,"",vdata_hours!A709)</f>
        <v/>
      </c>
      <c r="B710" s="23" t="str">
        <f>IFERROR(INDEX(vdata_regressors!$A$1:$L$2000,MATCH($A710,vdata_regressors!$A$2:$A$2000,0)+1,MATCH(B$2,vdata_regressors!$A$1:$R$1,0)),"")</f>
        <v/>
      </c>
      <c r="C710" s="23" t="str">
        <f>IFERROR(INDEX(vdata_regressors!$A$1:$L$2000,MATCH($A710,vdata_regressors!$A$2:$A$2000,0)+1,MATCH(C$2,vdata_regressors!$A$1:$R$1,0)),"")</f>
        <v/>
      </c>
      <c r="D710" s="23" t="str">
        <f>IFERROR(INDEX(vdata_regressors!$A$1:$L$2000,MATCH($A710,vdata_regressors!$A$2:$A$2000,0)+1,MATCH(D$2,vdata_regressors!$A$1:$R$1,0)),"")</f>
        <v/>
      </c>
      <c r="E710" s="23" t="str">
        <f>IFERROR(INDEX(vdata_regressors!$A$1:$L$2000,MATCH($A710,vdata_regressors!$A$2:$A$2000,0)+1,MATCH(E$2,vdata_regressors!$A$1:$R$1,0)),"")</f>
        <v/>
      </c>
      <c r="F710" s="23" t="str">
        <f>IFERROR(INDEX(vdata_regressors!$A$1:$L$2000,MATCH($A710,vdata_regressors!$A$2:$A$2000,0)+1,MATCH(F$2,vdata_regressors!$A$1:$R$1,0)),"")</f>
        <v/>
      </c>
      <c r="G710" s="23" t="str">
        <f>IFERROR(INDEX(vdata_regressors!$A$1:$L$2000,MATCH($A710,vdata_regressors!$A$2:$A$2000,0)+1,MATCH(G$2,vdata_regressors!$A$1:$R$1,0)),"")</f>
        <v/>
      </c>
      <c r="H710" s="23" t="str">
        <f>IFERROR(INDEX(vdata_regressors!$A$1:$L$2000,MATCH($A710,vdata_regressors!$A$2:$A$2000,0)+1,MATCH(H$2,vdata_regressors!$A$1:$R$1,0)),"")</f>
        <v/>
      </c>
      <c r="I710" s="23" t="str">
        <f>IFERROR(INDEX(vdata_regressors!$A$1:$L$2000,MATCH($A710,vdata_regressors!$A$2:$A$2000,0)+1,MATCH(I$2,vdata_regressors!$A$1:$R$1,0)),"")</f>
        <v/>
      </c>
      <c r="J710" s="23" t="str">
        <f>IFERROR(INDEX(vdata_regressors!$A$1:$L$2000,MATCH($A710,vdata_regressors!$A$2:$A$2000,0)+1,MATCH(J$2,vdata_regressors!$A$1:$R$1,0)),"")</f>
        <v/>
      </c>
      <c r="K710" s="23" t="str">
        <f>IFERROR(INDEX(vdata_regressors!$A$1:$L$2000,MATCH($A710,vdata_regressors!$A$2:$A$2000,0)+1,MATCH(K$2,vdata_regressors!$A$1:$R$1,0)),"")</f>
        <v/>
      </c>
      <c r="L710" s="23" t="str">
        <f>IFERROR(INDEX(vdata_regressors!$A$1:$L$2000,MATCH($A710,vdata_regressors!$A$2:$A$2000,0)+1,MATCH(L$2,vdata_regressors!$A$1:$R$1,0)),"")</f>
        <v/>
      </c>
      <c r="M710" s="23" t="str">
        <f>IFERROR(VLOOKUP(A710,vdata_hours!$A$2:$B$1000,2,FALSE),"")</f>
        <v/>
      </c>
    </row>
    <row r="711" spans="1:13" x14ac:dyDescent="0.25">
      <c r="A711" s="23" t="str">
        <f>IF(vdata_hours!A710=0,"",vdata_hours!A710)</f>
        <v/>
      </c>
      <c r="B711" s="23" t="str">
        <f>IFERROR(INDEX(vdata_regressors!$A$1:$L$2000,MATCH($A711,vdata_regressors!$A$2:$A$2000,0)+1,MATCH(B$2,vdata_regressors!$A$1:$R$1,0)),"")</f>
        <v/>
      </c>
      <c r="C711" s="23" t="str">
        <f>IFERROR(INDEX(vdata_regressors!$A$1:$L$2000,MATCH($A711,vdata_regressors!$A$2:$A$2000,0)+1,MATCH(C$2,vdata_regressors!$A$1:$R$1,0)),"")</f>
        <v/>
      </c>
      <c r="D711" s="23" t="str">
        <f>IFERROR(INDEX(vdata_regressors!$A$1:$L$2000,MATCH($A711,vdata_regressors!$A$2:$A$2000,0)+1,MATCH(D$2,vdata_regressors!$A$1:$R$1,0)),"")</f>
        <v/>
      </c>
      <c r="E711" s="23" t="str">
        <f>IFERROR(INDEX(vdata_regressors!$A$1:$L$2000,MATCH($A711,vdata_regressors!$A$2:$A$2000,0)+1,MATCH(E$2,vdata_regressors!$A$1:$R$1,0)),"")</f>
        <v/>
      </c>
      <c r="F711" s="23" t="str">
        <f>IFERROR(INDEX(vdata_regressors!$A$1:$L$2000,MATCH($A711,vdata_regressors!$A$2:$A$2000,0)+1,MATCH(F$2,vdata_regressors!$A$1:$R$1,0)),"")</f>
        <v/>
      </c>
      <c r="G711" s="23" t="str">
        <f>IFERROR(INDEX(vdata_regressors!$A$1:$L$2000,MATCH($A711,vdata_regressors!$A$2:$A$2000,0)+1,MATCH(G$2,vdata_regressors!$A$1:$R$1,0)),"")</f>
        <v/>
      </c>
      <c r="H711" s="23" t="str">
        <f>IFERROR(INDEX(vdata_regressors!$A$1:$L$2000,MATCH($A711,vdata_regressors!$A$2:$A$2000,0)+1,MATCH(H$2,vdata_regressors!$A$1:$R$1,0)),"")</f>
        <v/>
      </c>
      <c r="I711" s="23" t="str">
        <f>IFERROR(INDEX(vdata_regressors!$A$1:$L$2000,MATCH($A711,vdata_regressors!$A$2:$A$2000,0)+1,MATCH(I$2,vdata_regressors!$A$1:$R$1,0)),"")</f>
        <v/>
      </c>
      <c r="J711" s="23" t="str">
        <f>IFERROR(INDEX(vdata_regressors!$A$1:$L$2000,MATCH($A711,vdata_regressors!$A$2:$A$2000,0)+1,MATCH(J$2,vdata_regressors!$A$1:$R$1,0)),"")</f>
        <v/>
      </c>
      <c r="K711" s="23" t="str">
        <f>IFERROR(INDEX(vdata_regressors!$A$1:$L$2000,MATCH($A711,vdata_regressors!$A$2:$A$2000,0)+1,MATCH(K$2,vdata_regressors!$A$1:$R$1,0)),"")</f>
        <v/>
      </c>
      <c r="L711" s="23" t="str">
        <f>IFERROR(INDEX(vdata_regressors!$A$1:$L$2000,MATCH($A711,vdata_regressors!$A$2:$A$2000,0)+1,MATCH(L$2,vdata_regressors!$A$1:$R$1,0)),"")</f>
        <v/>
      </c>
      <c r="M711" s="23" t="str">
        <f>IFERROR(VLOOKUP(A711,vdata_hours!$A$2:$B$1000,2,FALSE),"")</f>
        <v/>
      </c>
    </row>
    <row r="712" spans="1:13" x14ac:dyDescent="0.25">
      <c r="A712" s="23" t="str">
        <f>IF(vdata_hours!A711=0,"",vdata_hours!A711)</f>
        <v/>
      </c>
      <c r="B712" s="23" t="str">
        <f>IFERROR(INDEX(vdata_regressors!$A$1:$L$2000,MATCH($A712,vdata_regressors!$A$2:$A$2000,0)+1,MATCH(B$2,vdata_regressors!$A$1:$R$1,0)),"")</f>
        <v/>
      </c>
      <c r="C712" s="23" t="str">
        <f>IFERROR(INDEX(vdata_regressors!$A$1:$L$2000,MATCH($A712,vdata_regressors!$A$2:$A$2000,0)+1,MATCH(C$2,vdata_regressors!$A$1:$R$1,0)),"")</f>
        <v/>
      </c>
      <c r="D712" s="23" t="str">
        <f>IFERROR(INDEX(vdata_regressors!$A$1:$L$2000,MATCH($A712,vdata_regressors!$A$2:$A$2000,0)+1,MATCH(D$2,vdata_regressors!$A$1:$R$1,0)),"")</f>
        <v/>
      </c>
      <c r="E712" s="23" t="str">
        <f>IFERROR(INDEX(vdata_regressors!$A$1:$L$2000,MATCH($A712,vdata_regressors!$A$2:$A$2000,0)+1,MATCH(E$2,vdata_regressors!$A$1:$R$1,0)),"")</f>
        <v/>
      </c>
      <c r="F712" s="23" t="str">
        <f>IFERROR(INDEX(vdata_regressors!$A$1:$L$2000,MATCH($A712,vdata_regressors!$A$2:$A$2000,0)+1,MATCH(F$2,vdata_regressors!$A$1:$R$1,0)),"")</f>
        <v/>
      </c>
      <c r="G712" s="23" t="str">
        <f>IFERROR(INDEX(vdata_regressors!$A$1:$L$2000,MATCH($A712,vdata_regressors!$A$2:$A$2000,0)+1,MATCH(G$2,vdata_regressors!$A$1:$R$1,0)),"")</f>
        <v/>
      </c>
      <c r="H712" s="23" t="str">
        <f>IFERROR(INDEX(vdata_regressors!$A$1:$L$2000,MATCH($A712,vdata_regressors!$A$2:$A$2000,0)+1,MATCH(H$2,vdata_regressors!$A$1:$R$1,0)),"")</f>
        <v/>
      </c>
      <c r="I712" s="23" t="str">
        <f>IFERROR(INDEX(vdata_regressors!$A$1:$L$2000,MATCH($A712,vdata_regressors!$A$2:$A$2000,0)+1,MATCH(I$2,vdata_regressors!$A$1:$R$1,0)),"")</f>
        <v/>
      </c>
      <c r="J712" s="23" t="str">
        <f>IFERROR(INDEX(vdata_regressors!$A$1:$L$2000,MATCH($A712,vdata_regressors!$A$2:$A$2000,0)+1,MATCH(J$2,vdata_regressors!$A$1:$R$1,0)),"")</f>
        <v/>
      </c>
      <c r="K712" s="23" t="str">
        <f>IFERROR(INDEX(vdata_regressors!$A$1:$L$2000,MATCH($A712,vdata_regressors!$A$2:$A$2000,0)+1,MATCH(K$2,vdata_regressors!$A$1:$R$1,0)),"")</f>
        <v/>
      </c>
      <c r="L712" s="23" t="str">
        <f>IFERROR(INDEX(vdata_regressors!$A$1:$L$2000,MATCH($A712,vdata_regressors!$A$2:$A$2000,0)+1,MATCH(L$2,vdata_regressors!$A$1:$R$1,0)),"")</f>
        <v/>
      </c>
      <c r="M712" s="23" t="str">
        <f>IFERROR(VLOOKUP(A712,vdata_hours!$A$2:$B$1000,2,FALSE),"")</f>
        <v/>
      </c>
    </row>
    <row r="713" spans="1:13" x14ac:dyDescent="0.25">
      <c r="A713" s="23" t="str">
        <f>IF(vdata_hours!A712=0,"",vdata_hours!A712)</f>
        <v/>
      </c>
      <c r="B713" s="23" t="str">
        <f>IFERROR(INDEX(vdata_regressors!$A$1:$L$2000,MATCH($A713,vdata_regressors!$A$2:$A$2000,0)+1,MATCH(B$2,vdata_regressors!$A$1:$R$1,0)),"")</f>
        <v/>
      </c>
      <c r="C713" s="23" t="str">
        <f>IFERROR(INDEX(vdata_regressors!$A$1:$L$2000,MATCH($A713,vdata_regressors!$A$2:$A$2000,0)+1,MATCH(C$2,vdata_regressors!$A$1:$R$1,0)),"")</f>
        <v/>
      </c>
      <c r="D713" s="23" t="str">
        <f>IFERROR(INDEX(vdata_regressors!$A$1:$L$2000,MATCH($A713,vdata_regressors!$A$2:$A$2000,0)+1,MATCH(D$2,vdata_regressors!$A$1:$R$1,0)),"")</f>
        <v/>
      </c>
      <c r="E713" s="23" t="str">
        <f>IFERROR(INDEX(vdata_regressors!$A$1:$L$2000,MATCH($A713,vdata_regressors!$A$2:$A$2000,0)+1,MATCH(E$2,vdata_regressors!$A$1:$R$1,0)),"")</f>
        <v/>
      </c>
      <c r="F713" s="23" t="str">
        <f>IFERROR(INDEX(vdata_regressors!$A$1:$L$2000,MATCH($A713,vdata_regressors!$A$2:$A$2000,0)+1,MATCH(F$2,vdata_regressors!$A$1:$R$1,0)),"")</f>
        <v/>
      </c>
      <c r="G713" s="23" t="str">
        <f>IFERROR(INDEX(vdata_regressors!$A$1:$L$2000,MATCH($A713,vdata_regressors!$A$2:$A$2000,0)+1,MATCH(G$2,vdata_regressors!$A$1:$R$1,0)),"")</f>
        <v/>
      </c>
      <c r="H713" s="23" t="str">
        <f>IFERROR(INDEX(vdata_regressors!$A$1:$L$2000,MATCH($A713,vdata_regressors!$A$2:$A$2000,0)+1,MATCH(H$2,vdata_regressors!$A$1:$R$1,0)),"")</f>
        <v/>
      </c>
      <c r="I713" s="23" t="str">
        <f>IFERROR(INDEX(vdata_regressors!$A$1:$L$2000,MATCH($A713,vdata_regressors!$A$2:$A$2000,0)+1,MATCH(I$2,vdata_regressors!$A$1:$R$1,0)),"")</f>
        <v/>
      </c>
      <c r="J713" s="23" t="str">
        <f>IFERROR(INDEX(vdata_regressors!$A$1:$L$2000,MATCH($A713,vdata_regressors!$A$2:$A$2000,0)+1,MATCH(J$2,vdata_regressors!$A$1:$R$1,0)),"")</f>
        <v/>
      </c>
      <c r="K713" s="23" t="str">
        <f>IFERROR(INDEX(vdata_regressors!$A$1:$L$2000,MATCH($A713,vdata_regressors!$A$2:$A$2000,0)+1,MATCH(K$2,vdata_regressors!$A$1:$R$1,0)),"")</f>
        <v/>
      </c>
      <c r="L713" s="23" t="str">
        <f>IFERROR(INDEX(vdata_regressors!$A$1:$L$2000,MATCH($A713,vdata_regressors!$A$2:$A$2000,0)+1,MATCH(L$2,vdata_regressors!$A$1:$R$1,0)),"")</f>
        <v/>
      </c>
      <c r="M713" s="23" t="str">
        <f>IFERROR(VLOOKUP(A713,vdata_hours!$A$2:$B$1000,2,FALSE),"")</f>
        <v/>
      </c>
    </row>
    <row r="714" spans="1:13" x14ac:dyDescent="0.25">
      <c r="A714" s="23" t="str">
        <f>IF(vdata_hours!A713=0,"",vdata_hours!A713)</f>
        <v/>
      </c>
      <c r="B714" s="23" t="str">
        <f>IFERROR(INDEX(vdata_regressors!$A$1:$L$2000,MATCH($A714,vdata_regressors!$A$2:$A$2000,0)+1,MATCH(B$2,vdata_regressors!$A$1:$R$1,0)),"")</f>
        <v/>
      </c>
      <c r="C714" s="23" t="str">
        <f>IFERROR(INDEX(vdata_regressors!$A$1:$L$2000,MATCH($A714,vdata_regressors!$A$2:$A$2000,0)+1,MATCH(C$2,vdata_regressors!$A$1:$R$1,0)),"")</f>
        <v/>
      </c>
      <c r="D714" s="23" t="str">
        <f>IFERROR(INDEX(vdata_regressors!$A$1:$L$2000,MATCH($A714,vdata_regressors!$A$2:$A$2000,0)+1,MATCH(D$2,vdata_regressors!$A$1:$R$1,0)),"")</f>
        <v/>
      </c>
      <c r="E714" s="23" t="str">
        <f>IFERROR(INDEX(vdata_regressors!$A$1:$L$2000,MATCH($A714,vdata_regressors!$A$2:$A$2000,0)+1,MATCH(E$2,vdata_regressors!$A$1:$R$1,0)),"")</f>
        <v/>
      </c>
      <c r="F714" s="23" t="str">
        <f>IFERROR(INDEX(vdata_regressors!$A$1:$L$2000,MATCH($A714,vdata_regressors!$A$2:$A$2000,0)+1,MATCH(F$2,vdata_regressors!$A$1:$R$1,0)),"")</f>
        <v/>
      </c>
      <c r="G714" s="23" t="str">
        <f>IFERROR(INDEX(vdata_regressors!$A$1:$L$2000,MATCH($A714,vdata_regressors!$A$2:$A$2000,0)+1,MATCH(G$2,vdata_regressors!$A$1:$R$1,0)),"")</f>
        <v/>
      </c>
      <c r="H714" s="23" t="str">
        <f>IFERROR(INDEX(vdata_regressors!$A$1:$L$2000,MATCH($A714,vdata_regressors!$A$2:$A$2000,0)+1,MATCH(H$2,vdata_regressors!$A$1:$R$1,0)),"")</f>
        <v/>
      </c>
      <c r="I714" s="23" t="str">
        <f>IFERROR(INDEX(vdata_regressors!$A$1:$L$2000,MATCH($A714,vdata_regressors!$A$2:$A$2000,0)+1,MATCH(I$2,vdata_regressors!$A$1:$R$1,0)),"")</f>
        <v/>
      </c>
      <c r="J714" s="23" t="str">
        <f>IFERROR(INDEX(vdata_regressors!$A$1:$L$2000,MATCH($A714,vdata_regressors!$A$2:$A$2000,0)+1,MATCH(J$2,vdata_regressors!$A$1:$R$1,0)),"")</f>
        <v/>
      </c>
      <c r="K714" s="23" t="str">
        <f>IFERROR(INDEX(vdata_regressors!$A$1:$L$2000,MATCH($A714,vdata_regressors!$A$2:$A$2000,0)+1,MATCH(K$2,vdata_regressors!$A$1:$R$1,0)),"")</f>
        <v/>
      </c>
      <c r="L714" s="23" t="str">
        <f>IFERROR(INDEX(vdata_regressors!$A$1:$L$2000,MATCH($A714,vdata_regressors!$A$2:$A$2000,0)+1,MATCH(L$2,vdata_regressors!$A$1:$R$1,0)),"")</f>
        <v/>
      </c>
      <c r="M714" s="23" t="str">
        <f>IFERROR(VLOOKUP(A714,vdata_hours!$A$2:$B$1000,2,FALSE),"")</f>
        <v/>
      </c>
    </row>
    <row r="715" spans="1:13" x14ac:dyDescent="0.25">
      <c r="A715" s="23" t="str">
        <f>IF(vdata_hours!A714=0,"",vdata_hours!A714)</f>
        <v/>
      </c>
      <c r="B715" s="23" t="str">
        <f>IFERROR(INDEX(vdata_regressors!$A$1:$L$2000,MATCH($A715,vdata_regressors!$A$2:$A$2000,0)+1,MATCH(B$2,vdata_regressors!$A$1:$R$1,0)),"")</f>
        <v/>
      </c>
      <c r="C715" s="23" t="str">
        <f>IFERROR(INDEX(vdata_regressors!$A$1:$L$2000,MATCH($A715,vdata_regressors!$A$2:$A$2000,0)+1,MATCH(C$2,vdata_regressors!$A$1:$R$1,0)),"")</f>
        <v/>
      </c>
      <c r="D715" s="23" t="str">
        <f>IFERROR(INDEX(vdata_regressors!$A$1:$L$2000,MATCH($A715,vdata_regressors!$A$2:$A$2000,0)+1,MATCH(D$2,vdata_regressors!$A$1:$R$1,0)),"")</f>
        <v/>
      </c>
      <c r="E715" s="23" t="str">
        <f>IFERROR(INDEX(vdata_regressors!$A$1:$L$2000,MATCH($A715,vdata_regressors!$A$2:$A$2000,0)+1,MATCH(E$2,vdata_regressors!$A$1:$R$1,0)),"")</f>
        <v/>
      </c>
      <c r="F715" s="23" t="str">
        <f>IFERROR(INDEX(vdata_regressors!$A$1:$L$2000,MATCH($A715,vdata_regressors!$A$2:$A$2000,0)+1,MATCH(F$2,vdata_regressors!$A$1:$R$1,0)),"")</f>
        <v/>
      </c>
      <c r="G715" s="23" t="str">
        <f>IFERROR(INDEX(vdata_regressors!$A$1:$L$2000,MATCH($A715,vdata_regressors!$A$2:$A$2000,0)+1,MATCH(G$2,vdata_regressors!$A$1:$R$1,0)),"")</f>
        <v/>
      </c>
      <c r="H715" s="23" t="str">
        <f>IFERROR(INDEX(vdata_regressors!$A$1:$L$2000,MATCH($A715,vdata_regressors!$A$2:$A$2000,0)+1,MATCH(H$2,vdata_regressors!$A$1:$R$1,0)),"")</f>
        <v/>
      </c>
      <c r="I715" s="23" t="str">
        <f>IFERROR(INDEX(vdata_regressors!$A$1:$L$2000,MATCH($A715,vdata_regressors!$A$2:$A$2000,0)+1,MATCH(I$2,vdata_regressors!$A$1:$R$1,0)),"")</f>
        <v/>
      </c>
      <c r="J715" s="23" t="str">
        <f>IFERROR(INDEX(vdata_regressors!$A$1:$L$2000,MATCH($A715,vdata_regressors!$A$2:$A$2000,0)+1,MATCH(J$2,vdata_regressors!$A$1:$R$1,0)),"")</f>
        <v/>
      </c>
      <c r="K715" s="23" t="str">
        <f>IFERROR(INDEX(vdata_regressors!$A$1:$L$2000,MATCH($A715,vdata_regressors!$A$2:$A$2000,0)+1,MATCH(K$2,vdata_regressors!$A$1:$R$1,0)),"")</f>
        <v/>
      </c>
      <c r="L715" s="23" t="str">
        <f>IFERROR(INDEX(vdata_regressors!$A$1:$L$2000,MATCH($A715,vdata_regressors!$A$2:$A$2000,0)+1,MATCH(L$2,vdata_regressors!$A$1:$R$1,0)),"")</f>
        <v/>
      </c>
      <c r="M715" s="23" t="str">
        <f>IFERROR(VLOOKUP(A715,vdata_hours!$A$2:$B$1000,2,FALSE),"")</f>
        <v/>
      </c>
    </row>
    <row r="716" spans="1:13" x14ac:dyDescent="0.25">
      <c r="A716" s="23" t="str">
        <f>IF(vdata_hours!A715=0,"",vdata_hours!A715)</f>
        <v/>
      </c>
      <c r="B716" s="23" t="str">
        <f>IFERROR(INDEX(vdata_regressors!$A$1:$L$2000,MATCH($A716,vdata_regressors!$A$2:$A$2000,0)+1,MATCH(B$2,vdata_regressors!$A$1:$R$1,0)),"")</f>
        <v/>
      </c>
      <c r="C716" s="23" t="str">
        <f>IFERROR(INDEX(vdata_regressors!$A$1:$L$2000,MATCH($A716,vdata_regressors!$A$2:$A$2000,0)+1,MATCH(C$2,vdata_regressors!$A$1:$R$1,0)),"")</f>
        <v/>
      </c>
      <c r="D716" s="23" t="str">
        <f>IFERROR(INDEX(vdata_regressors!$A$1:$L$2000,MATCH($A716,vdata_regressors!$A$2:$A$2000,0)+1,MATCH(D$2,vdata_regressors!$A$1:$R$1,0)),"")</f>
        <v/>
      </c>
      <c r="E716" s="23" t="str">
        <f>IFERROR(INDEX(vdata_regressors!$A$1:$L$2000,MATCH($A716,vdata_regressors!$A$2:$A$2000,0)+1,MATCH(E$2,vdata_regressors!$A$1:$R$1,0)),"")</f>
        <v/>
      </c>
      <c r="F716" s="23" t="str">
        <f>IFERROR(INDEX(vdata_regressors!$A$1:$L$2000,MATCH($A716,vdata_regressors!$A$2:$A$2000,0)+1,MATCH(F$2,vdata_regressors!$A$1:$R$1,0)),"")</f>
        <v/>
      </c>
      <c r="G716" s="23" t="str">
        <f>IFERROR(INDEX(vdata_regressors!$A$1:$L$2000,MATCH($A716,vdata_regressors!$A$2:$A$2000,0)+1,MATCH(G$2,vdata_regressors!$A$1:$R$1,0)),"")</f>
        <v/>
      </c>
      <c r="H716" s="23" t="str">
        <f>IFERROR(INDEX(vdata_regressors!$A$1:$L$2000,MATCH($A716,vdata_regressors!$A$2:$A$2000,0)+1,MATCH(H$2,vdata_regressors!$A$1:$R$1,0)),"")</f>
        <v/>
      </c>
      <c r="I716" s="23" t="str">
        <f>IFERROR(INDEX(vdata_regressors!$A$1:$L$2000,MATCH($A716,vdata_regressors!$A$2:$A$2000,0)+1,MATCH(I$2,vdata_regressors!$A$1:$R$1,0)),"")</f>
        <v/>
      </c>
      <c r="J716" s="23" t="str">
        <f>IFERROR(INDEX(vdata_regressors!$A$1:$L$2000,MATCH($A716,vdata_regressors!$A$2:$A$2000,0)+1,MATCH(J$2,vdata_regressors!$A$1:$R$1,0)),"")</f>
        <v/>
      </c>
      <c r="K716" s="23" t="str">
        <f>IFERROR(INDEX(vdata_regressors!$A$1:$L$2000,MATCH($A716,vdata_regressors!$A$2:$A$2000,0)+1,MATCH(K$2,vdata_regressors!$A$1:$R$1,0)),"")</f>
        <v/>
      </c>
      <c r="L716" s="23" t="str">
        <f>IFERROR(INDEX(vdata_regressors!$A$1:$L$2000,MATCH($A716,vdata_regressors!$A$2:$A$2000,0)+1,MATCH(L$2,vdata_regressors!$A$1:$R$1,0)),"")</f>
        <v/>
      </c>
      <c r="M716" s="23" t="str">
        <f>IFERROR(VLOOKUP(A716,vdata_hours!$A$2:$B$1000,2,FALSE),"")</f>
        <v/>
      </c>
    </row>
    <row r="717" spans="1:13" x14ac:dyDescent="0.25">
      <c r="A717" s="23" t="str">
        <f>IF(vdata_hours!A716=0,"",vdata_hours!A716)</f>
        <v/>
      </c>
      <c r="B717" s="23" t="str">
        <f>IFERROR(INDEX(vdata_regressors!$A$1:$L$2000,MATCH($A717,vdata_regressors!$A$2:$A$2000,0)+1,MATCH(B$2,vdata_regressors!$A$1:$R$1,0)),"")</f>
        <v/>
      </c>
      <c r="C717" s="23" t="str">
        <f>IFERROR(INDEX(vdata_regressors!$A$1:$L$2000,MATCH($A717,vdata_regressors!$A$2:$A$2000,0)+1,MATCH(C$2,vdata_regressors!$A$1:$R$1,0)),"")</f>
        <v/>
      </c>
      <c r="D717" s="23" t="str">
        <f>IFERROR(INDEX(vdata_regressors!$A$1:$L$2000,MATCH($A717,vdata_regressors!$A$2:$A$2000,0)+1,MATCH(D$2,vdata_regressors!$A$1:$R$1,0)),"")</f>
        <v/>
      </c>
      <c r="E717" s="23" t="str">
        <f>IFERROR(INDEX(vdata_regressors!$A$1:$L$2000,MATCH($A717,vdata_regressors!$A$2:$A$2000,0)+1,MATCH(E$2,vdata_regressors!$A$1:$R$1,0)),"")</f>
        <v/>
      </c>
      <c r="F717" s="23" t="str">
        <f>IFERROR(INDEX(vdata_regressors!$A$1:$L$2000,MATCH($A717,vdata_regressors!$A$2:$A$2000,0)+1,MATCH(F$2,vdata_regressors!$A$1:$R$1,0)),"")</f>
        <v/>
      </c>
      <c r="G717" s="23" t="str">
        <f>IFERROR(INDEX(vdata_regressors!$A$1:$L$2000,MATCH($A717,vdata_regressors!$A$2:$A$2000,0)+1,MATCH(G$2,vdata_regressors!$A$1:$R$1,0)),"")</f>
        <v/>
      </c>
      <c r="H717" s="23" t="str">
        <f>IFERROR(INDEX(vdata_regressors!$A$1:$L$2000,MATCH($A717,vdata_regressors!$A$2:$A$2000,0)+1,MATCH(H$2,vdata_regressors!$A$1:$R$1,0)),"")</f>
        <v/>
      </c>
      <c r="I717" s="23" t="str">
        <f>IFERROR(INDEX(vdata_regressors!$A$1:$L$2000,MATCH($A717,vdata_regressors!$A$2:$A$2000,0)+1,MATCH(I$2,vdata_regressors!$A$1:$R$1,0)),"")</f>
        <v/>
      </c>
      <c r="J717" s="23" t="str">
        <f>IFERROR(INDEX(vdata_regressors!$A$1:$L$2000,MATCH($A717,vdata_regressors!$A$2:$A$2000,0)+1,MATCH(J$2,vdata_regressors!$A$1:$R$1,0)),"")</f>
        <v/>
      </c>
      <c r="K717" s="23" t="str">
        <f>IFERROR(INDEX(vdata_regressors!$A$1:$L$2000,MATCH($A717,vdata_regressors!$A$2:$A$2000,0)+1,MATCH(K$2,vdata_regressors!$A$1:$R$1,0)),"")</f>
        <v/>
      </c>
      <c r="L717" s="23" t="str">
        <f>IFERROR(INDEX(vdata_regressors!$A$1:$L$2000,MATCH($A717,vdata_regressors!$A$2:$A$2000,0)+1,MATCH(L$2,vdata_regressors!$A$1:$R$1,0)),"")</f>
        <v/>
      </c>
      <c r="M717" s="23" t="str">
        <f>IFERROR(VLOOKUP(A717,vdata_hours!$A$2:$B$1000,2,FALSE),"")</f>
        <v/>
      </c>
    </row>
    <row r="718" spans="1:13" x14ac:dyDescent="0.25">
      <c r="A718" s="23" t="str">
        <f>IF(vdata_hours!A717=0,"",vdata_hours!A717)</f>
        <v/>
      </c>
      <c r="B718" s="23" t="str">
        <f>IFERROR(INDEX(vdata_regressors!$A$1:$L$2000,MATCH($A718,vdata_regressors!$A$2:$A$2000,0)+1,MATCH(B$2,vdata_regressors!$A$1:$R$1,0)),"")</f>
        <v/>
      </c>
      <c r="C718" s="23" t="str">
        <f>IFERROR(INDEX(vdata_regressors!$A$1:$L$2000,MATCH($A718,vdata_regressors!$A$2:$A$2000,0)+1,MATCH(C$2,vdata_regressors!$A$1:$R$1,0)),"")</f>
        <v/>
      </c>
      <c r="D718" s="23" t="str">
        <f>IFERROR(INDEX(vdata_regressors!$A$1:$L$2000,MATCH($A718,vdata_regressors!$A$2:$A$2000,0)+1,MATCH(D$2,vdata_regressors!$A$1:$R$1,0)),"")</f>
        <v/>
      </c>
      <c r="E718" s="23" t="str">
        <f>IFERROR(INDEX(vdata_regressors!$A$1:$L$2000,MATCH($A718,vdata_regressors!$A$2:$A$2000,0)+1,MATCH(E$2,vdata_regressors!$A$1:$R$1,0)),"")</f>
        <v/>
      </c>
      <c r="F718" s="23" t="str">
        <f>IFERROR(INDEX(vdata_regressors!$A$1:$L$2000,MATCH($A718,vdata_regressors!$A$2:$A$2000,0)+1,MATCH(F$2,vdata_regressors!$A$1:$R$1,0)),"")</f>
        <v/>
      </c>
      <c r="G718" s="23" t="str">
        <f>IFERROR(INDEX(vdata_regressors!$A$1:$L$2000,MATCH($A718,vdata_regressors!$A$2:$A$2000,0)+1,MATCH(G$2,vdata_regressors!$A$1:$R$1,0)),"")</f>
        <v/>
      </c>
      <c r="H718" s="23" t="str">
        <f>IFERROR(INDEX(vdata_regressors!$A$1:$L$2000,MATCH($A718,vdata_regressors!$A$2:$A$2000,0)+1,MATCH(H$2,vdata_regressors!$A$1:$R$1,0)),"")</f>
        <v/>
      </c>
      <c r="I718" s="23" t="str">
        <f>IFERROR(INDEX(vdata_regressors!$A$1:$L$2000,MATCH($A718,vdata_regressors!$A$2:$A$2000,0)+1,MATCH(I$2,vdata_regressors!$A$1:$R$1,0)),"")</f>
        <v/>
      </c>
      <c r="J718" s="23" t="str">
        <f>IFERROR(INDEX(vdata_regressors!$A$1:$L$2000,MATCH($A718,vdata_regressors!$A$2:$A$2000,0)+1,MATCH(J$2,vdata_regressors!$A$1:$R$1,0)),"")</f>
        <v/>
      </c>
      <c r="K718" s="23" t="str">
        <f>IFERROR(INDEX(vdata_regressors!$A$1:$L$2000,MATCH($A718,vdata_regressors!$A$2:$A$2000,0)+1,MATCH(K$2,vdata_regressors!$A$1:$R$1,0)),"")</f>
        <v/>
      </c>
      <c r="L718" s="23" t="str">
        <f>IFERROR(INDEX(vdata_regressors!$A$1:$L$2000,MATCH($A718,vdata_regressors!$A$2:$A$2000,0)+1,MATCH(L$2,vdata_regressors!$A$1:$R$1,0)),"")</f>
        <v/>
      </c>
      <c r="M718" s="23" t="str">
        <f>IFERROR(VLOOKUP(A718,vdata_hours!$A$2:$B$1000,2,FALSE),"")</f>
        <v/>
      </c>
    </row>
    <row r="719" spans="1:13" x14ac:dyDescent="0.25">
      <c r="A719" s="23" t="str">
        <f>IF(vdata_hours!A718=0,"",vdata_hours!A718)</f>
        <v/>
      </c>
      <c r="B719" s="23" t="str">
        <f>IFERROR(INDEX(vdata_regressors!$A$1:$L$2000,MATCH($A719,vdata_regressors!$A$2:$A$2000,0)+1,MATCH(B$2,vdata_regressors!$A$1:$R$1,0)),"")</f>
        <v/>
      </c>
      <c r="C719" s="23" t="str">
        <f>IFERROR(INDEX(vdata_regressors!$A$1:$L$2000,MATCH($A719,vdata_regressors!$A$2:$A$2000,0)+1,MATCH(C$2,vdata_regressors!$A$1:$R$1,0)),"")</f>
        <v/>
      </c>
      <c r="D719" s="23" t="str">
        <f>IFERROR(INDEX(vdata_regressors!$A$1:$L$2000,MATCH($A719,vdata_regressors!$A$2:$A$2000,0)+1,MATCH(D$2,vdata_regressors!$A$1:$R$1,0)),"")</f>
        <v/>
      </c>
      <c r="E719" s="23" t="str">
        <f>IFERROR(INDEX(vdata_regressors!$A$1:$L$2000,MATCH($A719,vdata_regressors!$A$2:$A$2000,0)+1,MATCH(E$2,vdata_regressors!$A$1:$R$1,0)),"")</f>
        <v/>
      </c>
      <c r="F719" s="23" t="str">
        <f>IFERROR(INDEX(vdata_regressors!$A$1:$L$2000,MATCH($A719,vdata_regressors!$A$2:$A$2000,0)+1,MATCH(F$2,vdata_regressors!$A$1:$R$1,0)),"")</f>
        <v/>
      </c>
      <c r="G719" s="23" t="str">
        <f>IFERROR(INDEX(vdata_regressors!$A$1:$L$2000,MATCH($A719,vdata_regressors!$A$2:$A$2000,0)+1,MATCH(G$2,vdata_regressors!$A$1:$R$1,0)),"")</f>
        <v/>
      </c>
      <c r="H719" s="23" t="str">
        <f>IFERROR(INDEX(vdata_regressors!$A$1:$L$2000,MATCH($A719,vdata_regressors!$A$2:$A$2000,0)+1,MATCH(H$2,vdata_regressors!$A$1:$R$1,0)),"")</f>
        <v/>
      </c>
      <c r="I719" s="23" t="str">
        <f>IFERROR(INDEX(vdata_regressors!$A$1:$L$2000,MATCH($A719,vdata_regressors!$A$2:$A$2000,0)+1,MATCH(I$2,vdata_regressors!$A$1:$R$1,0)),"")</f>
        <v/>
      </c>
      <c r="J719" s="23" t="str">
        <f>IFERROR(INDEX(vdata_regressors!$A$1:$L$2000,MATCH($A719,vdata_regressors!$A$2:$A$2000,0)+1,MATCH(J$2,vdata_regressors!$A$1:$R$1,0)),"")</f>
        <v/>
      </c>
      <c r="K719" s="23" t="str">
        <f>IFERROR(INDEX(vdata_regressors!$A$1:$L$2000,MATCH($A719,vdata_regressors!$A$2:$A$2000,0)+1,MATCH(K$2,vdata_regressors!$A$1:$R$1,0)),"")</f>
        <v/>
      </c>
      <c r="L719" s="23" t="str">
        <f>IFERROR(INDEX(vdata_regressors!$A$1:$L$2000,MATCH($A719,vdata_regressors!$A$2:$A$2000,0)+1,MATCH(L$2,vdata_regressors!$A$1:$R$1,0)),"")</f>
        <v/>
      </c>
      <c r="M719" s="23" t="str">
        <f>IFERROR(VLOOKUP(A719,vdata_hours!$A$2:$B$1000,2,FALSE),"")</f>
        <v/>
      </c>
    </row>
    <row r="720" spans="1:13" x14ac:dyDescent="0.25">
      <c r="A720" s="23" t="str">
        <f>IF(vdata_hours!A719=0,"",vdata_hours!A719)</f>
        <v/>
      </c>
      <c r="B720" s="23" t="str">
        <f>IFERROR(INDEX(vdata_regressors!$A$1:$L$2000,MATCH($A720,vdata_regressors!$A$2:$A$2000,0)+1,MATCH(B$2,vdata_regressors!$A$1:$R$1,0)),"")</f>
        <v/>
      </c>
      <c r="C720" s="23" t="str">
        <f>IFERROR(INDEX(vdata_regressors!$A$1:$L$2000,MATCH($A720,vdata_regressors!$A$2:$A$2000,0)+1,MATCH(C$2,vdata_regressors!$A$1:$R$1,0)),"")</f>
        <v/>
      </c>
      <c r="D720" s="23" t="str">
        <f>IFERROR(INDEX(vdata_regressors!$A$1:$L$2000,MATCH($A720,vdata_regressors!$A$2:$A$2000,0)+1,MATCH(D$2,vdata_regressors!$A$1:$R$1,0)),"")</f>
        <v/>
      </c>
      <c r="E720" s="23" t="str">
        <f>IFERROR(INDEX(vdata_regressors!$A$1:$L$2000,MATCH($A720,vdata_regressors!$A$2:$A$2000,0)+1,MATCH(E$2,vdata_regressors!$A$1:$R$1,0)),"")</f>
        <v/>
      </c>
      <c r="F720" s="23" t="str">
        <f>IFERROR(INDEX(vdata_regressors!$A$1:$L$2000,MATCH($A720,vdata_regressors!$A$2:$A$2000,0)+1,MATCH(F$2,vdata_regressors!$A$1:$R$1,0)),"")</f>
        <v/>
      </c>
      <c r="G720" s="23" t="str">
        <f>IFERROR(INDEX(vdata_regressors!$A$1:$L$2000,MATCH($A720,vdata_regressors!$A$2:$A$2000,0)+1,MATCH(G$2,vdata_regressors!$A$1:$R$1,0)),"")</f>
        <v/>
      </c>
      <c r="H720" s="23" t="str">
        <f>IFERROR(INDEX(vdata_regressors!$A$1:$L$2000,MATCH($A720,vdata_regressors!$A$2:$A$2000,0)+1,MATCH(H$2,vdata_regressors!$A$1:$R$1,0)),"")</f>
        <v/>
      </c>
      <c r="I720" s="23" t="str">
        <f>IFERROR(INDEX(vdata_regressors!$A$1:$L$2000,MATCH($A720,vdata_regressors!$A$2:$A$2000,0)+1,MATCH(I$2,vdata_regressors!$A$1:$R$1,0)),"")</f>
        <v/>
      </c>
      <c r="J720" s="23" t="str">
        <f>IFERROR(INDEX(vdata_regressors!$A$1:$L$2000,MATCH($A720,vdata_regressors!$A$2:$A$2000,0)+1,MATCH(J$2,vdata_regressors!$A$1:$R$1,0)),"")</f>
        <v/>
      </c>
      <c r="K720" s="23" t="str">
        <f>IFERROR(INDEX(vdata_regressors!$A$1:$L$2000,MATCH($A720,vdata_regressors!$A$2:$A$2000,0)+1,MATCH(K$2,vdata_regressors!$A$1:$R$1,0)),"")</f>
        <v/>
      </c>
      <c r="L720" s="23" t="str">
        <f>IFERROR(INDEX(vdata_regressors!$A$1:$L$2000,MATCH($A720,vdata_regressors!$A$2:$A$2000,0)+1,MATCH(L$2,vdata_regressors!$A$1:$R$1,0)),"")</f>
        <v/>
      </c>
      <c r="M720" s="23" t="str">
        <f>IFERROR(VLOOKUP(A720,vdata_hours!$A$2:$B$1000,2,FALSE),"")</f>
        <v/>
      </c>
    </row>
    <row r="721" spans="1:13" x14ac:dyDescent="0.25">
      <c r="A721" s="23" t="str">
        <f>IF(vdata_hours!A720=0,"",vdata_hours!A720)</f>
        <v/>
      </c>
      <c r="B721" s="23" t="str">
        <f>IFERROR(INDEX(vdata_regressors!$A$1:$L$2000,MATCH($A721,vdata_regressors!$A$2:$A$2000,0)+1,MATCH(B$2,vdata_regressors!$A$1:$R$1,0)),"")</f>
        <v/>
      </c>
      <c r="C721" s="23" t="str">
        <f>IFERROR(INDEX(vdata_regressors!$A$1:$L$2000,MATCH($A721,vdata_regressors!$A$2:$A$2000,0)+1,MATCH(C$2,vdata_regressors!$A$1:$R$1,0)),"")</f>
        <v/>
      </c>
      <c r="D721" s="23" t="str">
        <f>IFERROR(INDEX(vdata_regressors!$A$1:$L$2000,MATCH($A721,vdata_regressors!$A$2:$A$2000,0)+1,MATCH(D$2,vdata_regressors!$A$1:$R$1,0)),"")</f>
        <v/>
      </c>
      <c r="E721" s="23" t="str">
        <f>IFERROR(INDEX(vdata_regressors!$A$1:$L$2000,MATCH($A721,vdata_regressors!$A$2:$A$2000,0)+1,MATCH(E$2,vdata_regressors!$A$1:$R$1,0)),"")</f>
        <v/>
      </c>
      <c r="F721" s="23" t="str">
        <f>IFERROR(INDEX(vdata_regressors!$A$1:$L$2000,MATCH($A721,vdata_regressors!$A$2:$A$2000,0)+1,MATCH(F$2,vdata_regressors!$A$1:$R$1,0)),"")</f>
        <v/>
      </c>
      <c r="G721" s="23" t="str">
        <f>IFERROR(INDEX(vdata_regressors!$A$1:$L$2000,MATCH($A721,vdata_regressors!$A$2:$A$2000,0)+1,MATCH(G$2,vdata_regressors!$A$1:$R$1,0)),"")</f>
        <v/>
      </c>
      <c r="H721" s="23" t="str">
        <f>IFERROR(INDEX(vdata_regressors!$A$1:$L$2000,MATCH($A721,vdata_regressors!$A$2:$A$2000,0)+1,MATCH(H$2,vdata_regressors!$A$1:$R$1,0)),"")</f>
        <v/>
      </c>
      <c r="I721" s="23" t="str">
        <f>IFERROR(INDEX(vdata_regressors!$A$1:$L$2000,MATCH($A721,vdata_regressors!$A$2:$A$2000,0)+1,MATCH(I$2,vdata_regressors!$A$1:$R$1,0)),"")</f>
        <v/>
      </c>
      <c r="J721" s="23" t="str">
        <f>IFERROR(INDEX(vdata_regressors!$A$1:$L$2000,MATCH($A721,vdata_regressors!$A$2:$A$2000,0)+1,MATCH(J$2,vdata_regressors!$A$1:$R$1,0)),"")</f>
        <v/>
      </c>
      <c r="K721" s="23" t="str">
        <f>IFERROR(INDEX(vdata_regressors!$A$1:$L$2000,MATCH($A721,vdata_regressors!$A$2:$A$2000,0)+1,MATCH(K$2,vdata_regressors!$A$1:$R$1,0)),"")</f>
        <v/>
      </c>
      <c r="L721" s="23" t="str">
        <f>IFERROR(INDEX(vdata_regressors!$A$1:$L$2000,MATCH($A721,vdata_regressors!$A$2:$A$2000,0)+1,MATCH(L$2,vdata_regressors!$A$1:$R$1,0)),"")</f>
        <v/>
      </c>
      <c r="M721" s="23" t="str">
        <f>IFERROR(VLOOKUP(A721,vdata_hours!$A$2:$B$1000,2,FALSE),"")</f>
        <v/>
      </c>
    </row>
    <row r="722" spans="1:13" x14ac:dyDescent="0.25">
      <c r="A722" s="23" t="str">
        <f>IF(vdata_hours!A721=0,"",vdata_hours!A721)</f>
        <v/>
      </c>
      <c r="B722" s="23" t="str">
        <f>IFERROR(INDEX(vdata_regressors!$A$1:$L$2000,MATCH($A722,vdata_regressors!$A$2:$A$2000,0)+1,MATCH(B$2,vdata_regressors!$A$1:$R$1,0)),"")</f>
        <v/>
      </c>
      <c r="C722" s="23" t="str">
        <f>IFERROR(INDEX(vdata_regressors!$A$1:$L$2000,MATCH($A722,vdata_regressors!$A$2:$A$2000,0)+1,MATCH(C$2,vdata_regressors!$A$1:$R$1,0)),"")</f>
        <v/>
      </c>
      <c r="D722" s="23" t="str">
        <f>IFERROR(INDEX(vdata_regressors!$A$1:$L$2000,MATCH($A722,vdata_regressors!$A$2:$A$2000,0)+1,MATCH(D$2,vdata_regressors!$A$1:$R$1,0)),"")</f>
        <v/>
      </c>
      <c r="E722" s="23" t="str">
        <f>IFERROR(INDEX(vdata_regressors!$A$1:$L$2000,MATCH($A722,vdata_regressors!$A$2:$A$2000,0)+1,MATCH(E$2,vdata_regressors!$A$1:$R$1,0)),"")</f>
        <v/>
      </c>
      <c r="F722" s="23" t="str">
        <f>IFERROR(INDEX(vdata_regressors!$A$1:$L$2000,MATCH($A722,vdata_regressors!$A$2:$A$2000,0)+1,MATCH(F$2,vdata_regressors!$A$1:$R$1,0)),"")</f>
        <v/>
      </c>
      <c r="G722" s="23" t="str">
        <f>IFERROR(INDEX(vdata_regressors!$A$1:$L$2000,MATCH($A722,vdata_regressors!$A$2:$A$2000,0)+1,MATCH(G$2,vdata_regressors!$A$1:$R$1,0)),"")</f>
        <v/>
      </c>
      <c r="H722" s="23" t="str">
        <f>IFERROR(INDEX(vdata_regressors!$A$1:$L$2000,MATCH($A722,vdata_regressors!$A$2:$A$2000,0)+1,MATCH(H$2,vdata_regressors!$A$1:$R$1,0)),"")</f>
        <v/>
      </c>
      <c r="I722" s="23" t="str">
        <f>IFERROR(INDEX(vdata_regressors!$A$1:$L$2000,MATCH($A722,vdata_regressors!$A$2:$A$2000,0)+1,MATCH(I$2,vdata_regressors!$A$1:$R$1,0)),"")</f>
        <v/>
      </c>
      <c r="J722" s="23" t="str">
        <f>IFERROR(INDEX(vdata_regressors!$A$1:$L$2000,MATCH($A722,vdata_regressors!$A$2:$A$2000,0)+1,MATCH(J$2,vdata_regressors!$A$1:$R$1,0)),"")</f>
        <v/>
      </c>
      <c r="K722" s="23" t="str">
        <f>IFERROR(INDEX(vdata_regressors!$A$1:$L$2000,MATCH($A722,vdata_regressors!$A$2:$A$2000,0)+1,MATCH(K$2,vdata_regressors!$A$1:$R$1,0)),"")</f>
        <v/>
      </c>
      <c r="L722" s="23" t="str">
        <f>IFERROR(INDEX(vdata_regressors!$A$1:$L$2000,MATCH($A722,vdata_regressors!$A$2:$A$2000,0)+1,MATCH(L$2,vdata_regressors!$A$1:$R$1,0)),"")</f>
        <v/>
      </c>
      <c r="M722" s="23" t="str">
        <f>IFERROR(VLOOKUP(A722,vdata_hours!$A$2:$B$1000,2,FALSE),"")</f>
        <v/>
      </c>
    </row>
    <row r="723" spans="1:13" x14ac:dyDescent="0.25">
      <c r="A723" s="23" t="str">
        <f>IF(vdata_hours!A722=0,"",vdata_hours!A722)</f>
        <v/>
      </c>
      <c r="B723" s="23" t="str">
        <f>IFERROR(INDEX(vdata_regressors!$A$1:$L$2000,MATCH($A723,vdata_regressors!$A$2:$A$2000,0)+1,MATCH(B$2,vdata_regressors!$A$1:$R$1,0)),"")</f>
        <v/>
      </c>
      <c r="C723" s="23" t="str">
        <f>IFERROR(INDEX(vdata_regressors!$A$1:$L$2000,MATCH($A723,vdata_regressors!$A$2:$A$2000,0)+1,MATCH(C$2,vdata_regressors!$A$1:$R$1,0)),"")</f>
        <v/>
      </c>
      <c r="D723" s="23" t="str">
        <f>IFERROR(INDEX(vdata_regressors!$A$1:$L$2000,MATCH($A723,vdata_regressors!$A$2:$A$2000,0)+1,MATCH(D$2,vdata_regressors!$A$1:$R$1,0)),"")</f>
        <v/>
      </c>
      <c r="E723" s="23" t="str">
        <f>IFERROR(INDEX(vdata_regressors!$A$1:$L$2000,MATCH($A723,vdata_regressors!$A$2:$A$2000,0)+1,MATCH(E$2,vdata_regressors!$A$1:$R$1,0)),"")</f>
        <v/>
      </c>
      <c r="F723" s="23" t="str">
        <f>IFERROR(INDEX(vdata_regressors!$A$1:$L$2000,MATCH($A723,vdata_regressors!$A$2:$A$2000,0)+1,MATCH(F$2,vdata_regressors!$A$1:$R$1,0)),"")</f>
        <v/>
      </c>
      <c r="G723" s="23" t="str">
        <f>IFERROR(INDEX(vdata_regressors!$A$1:$L$2000,MATCH($A723,vdata_regressors!$A$2:$A$2000,0)+1,MATCH(G$2,vdata_regressors!$A$1:$R$1,0)),"")</f>
        <v/>
      </c>
      <c r="H723" s="23" t="str">
        <f>IFERROR(INDEX(vdata_regressors!$A$1:$L$2000,MATCH($A723,vdata_regressors!$A$2:$A$2000,0)+1,MATCH(H$2,vdata_regressors!$A$1:$R$1,0)),"")</f>
        <v/>
      </c>
      <c r="I723" s="23" t="str">
        <f>IFERROR(INDEX(vdata_regressors!$A$1:$L$2000,MATCH($A723,vdata_regressors!$A$2:$A$2000,0)+1,MATCH(I$2,vdata_regressors!$A$1:$R$1,0)),"")</f>
        <v/>
      </c>
      <c r="J723" s="23" t="str">
        <f>IFERROR(INDEX(vdata_regressors!$A$1:$L$2000,MATCH($A723,vdata_regressors!$A$2:$A$2000,0)+1,MATCH(J$2,vdata_regressors!$A$1:$R$1,0)),"")</f>
        <v/>
      </c>
      <c r="K723" s="23" t="str">
        <f>IFERROR(INDEX(vdata_regressors!$A$1:$L$2000,MATCH($A723,vdata_regressors!$A$2:$A$2000,0)+1,MATCH(K$2,vdata_regressors!$A$1:$R$1,0)),"")</f>
        <v/>
      </c>
      <c r="L723" s="23" t="str">
        <f>IFERROR(INDEX(vdata_regressors!$A$1:$L$2000,MATCH($A723,vdata_regressors!$A$2:$A$2000,0)+1,MATCH(L$2,vdata_regressors!$A$1:$R$1,0)),"")</f>
        <v/>
      </c>
      <c r="M723" s="23" t="str">
        <f>IFERROR(VLOOKUP(A723,vdata_hours!$A$2:$B$1000,2,FALSE),"")</f>
        <v/>
      </c>
    </row>
    <row r="724" spans="1:13" x14ac:dyDescent="0.25">
      <c r="A724" s="23" t="str">
        <f>IF(vdata_hours!A723=0,"",vdata_hours!A723)</f>
        <v/>
      </c>
      <c r="B724" s="23" t="str">
        <f>IFERROR(INDEX(vdata_regressors!$A$1:$L$2000,MATCH($A724,vdata_regressors!$A$2:$A$2000,0)+1,MATCH(B$2,vdata_regressors!$A$1:$R$1,0)),"")</f>
        <v/>
      </c>
      <c r="C724" s="23" t="str">
        <f>IFERROR(INDEX(vdata_regressors!$A$1:$L$2000,MATCH($A724,vdata_regressors!$A$2:$A$2000,0)+1,MATCH(C$2,vdata_regressors!$A$1:$R$1,0)),"")</f>
        <v/>
      </c>
      <c r="D724" s="23" t="str">
        <f>IFERROR(INDEX(vdata_regressors!$A$1:$L$2000,MATCH($A724,vdata_regressors!$A$2:$A$2000,0)+1,MATCH(D$2,vdata_regressors!$A$1:$R$1,0)),"")</f>
        <v/>
      </c>
      <c r="E724" s="23" t="str">
        <f>IFERROR(INDEX(vdata_regressors!$A$1:$L$2000,MATCH($A724,vdata_regressors!$A$2:$A$2000,0)+1,MATCH(E$2,vdata_regressors!$A$1:$R$1,0)),"")</f>
        <v/>
      </c>
      <c r="F724" s="23" t="str">
        <f>IFERROR(INDEX(vdata_regressors!$A$1:$L$2000,MATCH($A724,vdata_regressors!$A$2:$A$2000,0)+1,MATCH(F$2,vdata_regressors!$A$1:$R$1,0)),"")</f>
        <v/>
      </c>
      <c r="G724" s="23" t="str">
        <f>IFERROR(INDEX(vdata_regressors!$A$1:$L$2000,MATCH($A724,vdata_regressors!$A$2:$A$2000,0)+1,MATCH(G$2,vdata_regressors!$A$1:$R$1,0)),"")</f>
        <v/>
      </c>
      <c r="H724" s="23" t="str">
        <f>IFERROR(INDEX(vdata_regressors!$A$1:$L$2000,MATCH($A724,vdata_regressors!$A$2:$A$2000,0)+1,MATCH(H$2,vdata_regressors!$A$1:$R$1,0)),"")</f>
        <v/>
      </c>
      <c r="I724" s="23" t="str">
        <f>IFERROR(INDEX(vdata_regressors!$A$1:$L$2000,MATCH($A724,vdata_regressors!$A$2:$A$2000,0)+1,MATCH(I$2,vdata_regressors!$A$1:$R$1,0)),"")</f>
        <v/>
      </c>
      <c r="J724" s="23" t="str">
        <f>IFERROR(INDEX(vdata_regressors!$A$1:$L$2000,MATCH($A724,vdata_regressors!$A$2:$A$2000,0)+1,MATCH(J$2,vdata_regressors!$A$1:$R$1,0)),"")</f>
        <v/>
      </c>
      <c r="K724" s="23" t="str">
        <f>IFERROR(INDEX(vdata_regressors!$A$1:$L$2000,MATCH($A724,vdata_regressors!$A$2:$A$2000,0)+1,MATCH(K$2,vdata_regressors!$A$1:$R$1,0)),"")</f>
        <v/>
      </c>
      <c r="L724" s="23" t="str">
        <f>IFERROR(INDEX(vdata_regressors!$A$1:$L$2000,MATCH($A724,vdata_regressors!$A$2:$A$2000,0)+1,MATCH(L$2,vdata_regressors!$A$1:$R$1,0)),"")</f>
        <v/>
      </c>
      <c r="M724" s="23" t="str">
        <f>IFERROR(VLOOKUP(A724,vdata_hours!$A$2:$B$1000,2,FALSE),"")</f>
        <v/>
      </c>
    </row>
    <row r="725" spans="1:13" x14ac:dyDescent="0.25">
      <c r="A725" s="23" t="str">
        <f>IF(vdata_hours!A724=0,"",vdata_hours!A724)</f>
        <v/>
      </c>
      <c r="B725" s="23" t="str">
        <f>IFERROR(INDEX(vdata_regressors!$A$1:$L$2000,MATCH($A725,vdata_regressors!$A$2:$A$2000,0)+1,MATCH(B$2,vdata_regressors!$A$1:$R$1,0)),"")</f>
        <v/>
      </c>
      <c r="C725" s="23" t="str">
        <f>IFERROR(INDEX(vdata_regressors!$A$1:$L$2000,MATCH($A725,vdata_regressors!$A$2:$A$2000,0)+1,MATCH(C$2,vdata_regressors!$A$1:$R$1,0)),"")</f>
        <v/>
      </c>
      <c r="D725" s="23" t="str">
        <f>IFERROR(INDEX(vdata_regressors!$A$1:$L$2000,MATCH($A725,vdata_regressors!$A$2:$A$2000,0)+1,MATCH(D$2,vdata_regressors!$A$1:$R$1,0)),"")</f>
        <v/>
      </c>
      <c r="E725" s="23" t="str">
        <f>IFERROR(INDEX(vdata_regressors!$A$1:$L$2000,MATCH($A725,vdata_regressors!$A$2:$A$2000,0)+1,MATCH(E$2,vdata_regressors!$A$1:$R$1,0)),"")</f>
        <v/>
      </c>
      <c r="F725" s="23" t="str">
        <f>IFERROR(INDEX(vdata_regressors!$A$1:$L$2000,MATCH($A725,vdata_regressors!$A$2:$A$2000,0)+1,MATCH(F$2,vdata_regressors!$A$1:$R$1,0)),"")</f>
        <v/>
      </c>
      <c r="G725" s="23" t="str">
        <f>IFERROR(INDEX(vdata_regressors!$A$1:$L$2000,MATCH($A725,vdata_regressors!$A$2:$A$2000,0)+1,MATCH(G$2,vdata_regressors!$A$1:$R$1,0)),"")</f>
        <v/>
      </c>
      <c r="H725" s="23" t="str">
        <f>IFERROR(INDEX(vdata_regressors!$A$1:$L$2000,MATCH($A725,vdata_regressors!$A$2:$A$2000,0)+1,MATCH(H$2,vdata_regressors!$A$1:$R$1,0)),"")</f>
        <v/>
      </c>
      <c r="I725" s="23" t="str">
        <f>IFERROR(INDEX(vdata_regressors!$A$1:$L$2000,MATCH($A725,vdata_regressors!$A$2:$A$2000,0)+1,MATCH(I$2,vdata_regressors!$A$1:$R$1,0)),"")</f>
        <v/>
      </c>
      <c r="J725" s="23" t="str">
        <f>IFERROR(INDEX(vdata_regressors!$A$1:$L$2000,MATCH($A725,vdata_regressors!$A$2:$A$2000,0)+1,MATCH(J$2,vdata_regressors!$A$1:$R$1,0)),"")</f>
        <v/>
      </c>
      <c r="K725" s="23" t="str">
        <f>IFERROR(INDEX(vdata_regressors!$A$1:$L$2000,MATCH($A725,vdata_regressors!$A$2:$A$2000,0)+1,MATCH(K$2,vdata_regressors!$A$1:$R$1,0)),"")</f>
        <v/>
      </c>
      <c r="L725" s="23" t="str">
        <f>IFERROR(INDEX(vdata_regressors!$A$1:$L$2000,MATCH($A725,vdata_regressors!$A$2:$A$2000,0)+1,MATCH(L$2,vdata_regressors!$A$1:$R$1,0)),"")</f>
        <v/>
      </c>
      <c r="M725" s="23" t="str">
        <f>IFERROR(VLOOKUP(A725,vdata_hours!$A$2:$B$1000,2,FALSE),"")</f>
        <v/>
      </c>
    </row>
    <row r="726" spans="1:13" x14ac:dyDescent="0.25">
      <c r="A726" s="23" t="str">
        <f>IF(vdata_hours!A725=0,"",vdata_hours!A725)</f>
        <v/>
      </c>
      <c r="B726" s="23" t="str">
        <f>IFERROR(INDEX(vdata_regressors!$A$1:$L$2000,MATCH($A726,vdata_regressors!$A$2:$A$2000,0)+1,MATCH(B$2,vdata_regressors!$A$1:$R$1,0)),"")</f>
        <v/>
      </c>
      <c r="C726" s="23" t="str">
        <f>IFERROR(INDEX(vdata_regressors!$A$1:$L$2000,MATCH($A726,vdata_regressors!$A$2:$A$2000,0)+1,MATCH(C$2,vdata_regressors!$A$1:$R$1,0)),"")</f>
        <v/>
      </c>
      <c r="D726" s="23" t="str">
        <f>IFERROR(INDEX(vdata_regressors!$A$1:$L$2000,MATCH($A726,vdata_regressors!$A$2:$A$2000,0)+1,MATCH(D$2,vdata_regressors!$A$1:$R$1,0)),"")</f>
        <v/>
      </c>
      <c r="E726" s="23" t="str">
        <f>IFERROR(INDEX(vdata_regressors!$A$1:$L$2000,MATCH($A726,vdata_regressors!$A$2:$A$2000,0)+1,MATCH(E$2,vdata_regressors!$A$1:$R$1,0)),"")</f>
        <v/>
      </c>
      <c r="F726" s="23" t="str">
        <f>IFERROR(INDEX(vdata_regressors!$A$1:$L$2000,MATCH($A726,vdata_regressors!$A$2:$A$2000,0)+1,MATCH(F$2,vdata_regressors!$A$1:$R$1,0)),"")</f>
        <v/>
      </c>
      <c r="G726" s="23" t="str">
        <f>IFERROR(INDEX(vdata_regressors!$A$1:$L$2000,MATCH($A726,vdata_regressors!$A$2:$A$2000,0)+1,MATCH(G$2,vdata_regressors!$A$1:$R$1,0)),"")</f>
        <v/>
      </c>
      <c r="H726" s="23" t="str">
        <f>IFERROR(INDEX(vdata_regressors!$A$1:$L$2000,MATCH($A726,vdata_regressors!$A$2:$A$2000,0)+1,MATCH(H$2,vdata_regressors!$A$1:$R$1,0)),"")</f>
        <v/>
      </c>
      <c r="I726" s="23" t="str">
        <f>IFERROR(INDEX(vdata_regressors!$A$1:$L$2000,MATCH($A726,vdata_regressors!$A$2:$A$2000,0)+1,MATCH(I$2,vdata_regressors!$A$1:$R$1,0)),"")</f>
        <v/>
      </c>
      <c r="J726" s="23" t="str">
        <f>IFERROR(INDEX(vdata_regressors!$A$1:$L$2000,MATCH($A726,vdata_regressors!$A$2:$A$2000,0)+1,MATCH(J$2,vdata_regressors!$A$1:$R$1,0)),"")</f>
        <v/>
      </c>
      <c r="K726" s="23" t="str">
        <f>IFERROR(INDEX(vdata_regressors!$A$1:$L$2000,MATCH($A726,vdata_regressors!$A$2:$A$2000,0)+1,MATCH(K$2,vdata_regressors!$A$1:$R$1,0)),"")</f>
        <v/>
      </c>
      <c r="L726" s="23" t="str">
        <f>IFERROR(INDEX(vdata_regressors!$A$1:$L$2000,MATCH($A726,vdata_regressors!$A$2:$A$2000,0)+1,MATCH(L$2,vdata_regressors!$A$1:$R$1,0)),"")</f>
        <v/>
      </c>
      <c r="M726" s="23" t="str">
        <f>IFERROR(VLOOKUP(A726,vdata_hours!$A$2:$B$1000,2,FALSE),"")</f>
        <v/>
      </c>
    </row>
    <row r="727" spans="1:13" x14ac:dyDescent="0.25">
      <c r="A727" s="23" t="str">
        <f>IF(vdata_hours!A726=0,"",vdata_hours!A726)</f>
        <v/>
      </c>
      <c r="B727" s="23" t="str">
        <f>IFERROR(INDEX(vdata_regressors!$A$1:$L$2000,MATCH($A727,vdata_regressors!$A$2:$A$2000,0)+1,MATCH(B$2,vdata_regressors!$A$1:$R$1,0)),"")</f>
        <v/>
      </c>
      <c r="C727" s="23" t="str">
        <f>IFERROR(INDEX(vdata_regressors!$A$1:$L$2000,MATCH($A727,vdata_regressors!$A$2:$A$2000,0)+1,MATCH(C$2,vdata_regressors!$A$1:$R$1,0)),"")</f>
        <v/>
      </c>
      <c r="D727" s="23" t="str">
        <f>IFERROR(INDEX(vdata_regressors!$A$1:$L$2000,MATCH($A727,vdata_regressors!$A$2:$A$2000,0)+1,MATCH(D$2,vdata_regressors!$A$1:$R$1,0)),"")</f>
        <v/>
      </c>
      <c r="E727" s="23" t="str">
        <f>IFERROR(INDEX(vdata_regressors!$A$1:$L$2000,MATCH($A727,vdata_regressors!$A$2:$A$2000,0)+1,MATCH(E$2,vdata_regressors!$A$1:$R$1,0)),"")</f>
        <v/>
      </c>
      <c r="F727" s="23" t="str">
        <f>IFERROR(INDEX(vdata_regressors!$A$1:$L$2000,MATCH($A727,vdata_regressors!$A$2:$A$2000,0)+1,MATCH(F$2,vdata_regressors!$A$1:$R$1,0)),"")</f>
        <v/>
      </c>
      <c r="G727" s="23" t="str">
        <f>IFERROR(INDEX(vdata_regressors!$A$1:$L$2000,MATCH($A727,vdata_regressors!$A$2:$A$2000,0)+1,MATCH(G$2,vdata_regressors!$A$1:$R$1,0)),"")</f>
        <v/>
      </c>
      <c r="H727" s="23" t="str">
        <f>IFERROR(INDEX(vdata_regressors!$A$1:$L$2000,MATCH($A727,vdata_regressors!$A$2:$A$2000,0)+1,MATCH(H$2,vdata_regressors!$A$1:$R$1,0)),"")</f>
        <v/>
      </c>
      <c r="I727" s="23" t="str">
        <f>IFERROR(INDEX(vdata_regressors!$A$1:$L$2000,MATCH($A727,vdata_regressors!$A$2:$A$2000,0)+1,MATCH(I$2,vdata_regressors!$A$1:$R$1,0)),"")</f>
        <v/>
      </c>
      <c r="J727" s="23" t="str">
        <f>IFERROR(INDEX(vdata_regressors!$A$1:$L$2000,MATCH($A727,vdata_regressors!$A$2:$A$2000,0)+1,MATCH(J$2,vdata_regressors!$A$1:$R$1,0)),"")</f>
        <v/>
      </c>
      <c r="K727" s="23" t="str">
        <f>IFERROR(INDEX(vdata_regressors!$A$1:$L$2000,MATCH($A727,vdata_regressors!$A$2:$A$2000,0)+1,MATCH(K$2,vdata_regressors!$A$1:$R$1,0)),"")</f>
        <v/>
      </c>
      <c r="L727" s="23" t="str">
        <f>IFERROR(INDEX(vdata_regressors!$A$1:$L$2000,MATCH($A727,vdata_regressors!$A$2:$A$2000,0)+1,MATCH(L$2,vdata_regressors!$A$1:$R$1,0)),"")</f>
        <v/>
      </c>
      <c r="M727" s="23" t="str">
        <f>IFERROR(VLOOKUP(A727,vdata_hours!$A$2:$B$1000,2,FALSE),"")</f>
        <v/>
      </c>
    </row>
    <row r="728" spans="1:13" x14ac:dyDescent="0.25">
      <c r="A728" s="23" t="str">
        <f>IF(vdata_hours!A727=0,"",vdata_hours!A727)</f>
        <v/>
      </c>
      <c r="B728" s="23" t="str">
        <f>IFERROR(INDEX(vdata_regressors!$A$1:$L$2000,MATCH($A728,vdata_regressors!$A$2:$A$2000,0)+1,MATCH(B$2,vdata_regressors!$A$1:$R$1,0)),"")</f>
        <v/>
      </c>
      <c r="C728" s="23" t="str">
        <f>IFERROR(INDEX(vdata_regressors!$A$1:$L$2000,MATCH($A728,vdata_regressors!$A$2:$A$2000,0)+1,MATCH(C$2,vdata_regressors!$A$1:$R$1,0)),"")</f>
        <v/>
      </c>
      <c r="D728" s="23" t="str">
        <f>IFERROR(INDEX(vdata_regressors!$A$1:$L$2000,MATCH($A728,vdata_regressors!$A$2:$A$2000,0)+1,MATCH(D$2,vdata_regressors!$A$1:$R$1,0)),"")</f>
        <v/>
      </c>
      <c r="E728" s="23" t="str">
        <f>IFERROR(INDEX(vdata_regressors!$A$1:$L$2000,MATCH($A728,vdata_regressors!$A$2:$A$2000,0)+1,MATCH(E$2,vdata_regressors!$A$1:$R$1,0)),"")</f>
        <v/>
      </c>
      <c r="F728" s="23" t="str">
        <f>IFERROR(INDEX(vdata_regressors!$A$1:$L$2000,MATCH($A728,vdata_regressors!$A$2:$A$2000,0)+1,MATCH(F$2,vdata_regressors!$A$1:$R$1,0)),"")</f>
        <v/>
      </c>
      <c r="G728" s="23" t="str">
        <f>IFERROR(INDEX(vdata_regressors!$A$1:$L$2000,MATCH($A728,vdata_regressors!$A$2:$A$2000,0)+1,MATCH(G$2,vdata_regressors!$A$1:$R$1,0)),"")</f>
        <v/>
      </c>
      <c r="H728" s="23" t="str">
        <f>IFERROR(INDEX(vdata_regressors!$A$1:$L$2000,MATCH($A728,vdata_regressors!$A$2:$A$2000,0)+1,MATCH(H$2,vdata_regressors!$A$1:$R$1,0)),"")</f>
        <v/>
      </c>
      <c r="I728" s="23" t="str">
        <f>IFERROR(INDEX(vdata_regressors!$A$1:$L$2000,MATCH($A728,vdata_regressors!$A$2:$A$2000,0)+1,MATCH(I$2,vdata_regressors!$A$1:$R$1,0)),"")</f>
        <v/>
      </c>
      <c r="J728" s="23" t="str">
        <f>IFERROR(INDEX(vdata_regressors!$A$1:$L$2000,MATCH($A728,vdata_regressors!$A$2:$A$2000,0)+1,MATCH(J$2,vdata_regressors!$A$1:$R$1,0)),"")</f>
        <v/>
      </c>
      <c r="K728" s="23" t="str">
        <f>IFERROR(INDEX(vdata_regressors!$A$1:$L$2000,MATCH($A728,vdata_regressors!$A$2:$A$2000,0)+1,MATCH(K$2,vdata_regressors!$A$1:$R$1,0)),"")</f>
        <v/>
      </c>
      <c r="L728" s="23" t="str">
        <f>IFERROR(INDEX(vdata_regressors!$A$1:$L$2000,MATCH($A728,vdata_regressors!$A$2:$A$2000,0)+1,MATCH(L$2,vdata_regressors!$A$1:$R$1,0)),"")</f>
        <v/>
      </c>
      <c r="M728" s="23" t="str">
        <f>IFERROR(VLOOKUP(A728,vdata_hours!$A$2:$B$1000,2,FALSE),"")</f>
        <v/>
      </c>
    </row>
    <row r="729" spans="1:13" x14ac:dyDescent="0.25">
      <c r="A729" s="23" t="str">
        <f>IF(vdata_hours!A728=0,"",vdata_hours!A728)</f>
        <v/>
      </c>
      <c r="B729" s="23" t="str">
        <f>IFERROR(INDEX(vdata_regressors!$A$1:$L$2000,MATCH($A729,vdata_regressors!$A$2:$A$2000,0)+1,MATCH(B$2,vdata_regressors!$A$1:$R$1,0)),"")</f>
        <v/>
      </c>
      <c r="C729" s="23" t="str">
        <f>IFERROR(INDEX(vdata_regressors!$A$1:$L$2000,MATCH($A729,vdata_regressors!$A$2:$A$2000,0)+1,MATCH(C$2,vdata_regressors!$A$1:$R$1,0)),"")</f>
        <v/>
      </c>
      <c r="D729" s="23" t="str">
        <f>IFERROR(INDEX(vdata_regressors!$A$1:$L$2000,MATCH($A729,vdata_regressors!$A$2:$A$2000,0)+1,MATCH(D$2,vdata_regressors!$A$1:$R$1,0)),"")</f>
        <v/>
      </c>
      <c r="E729" s="23" t="str">
        <f>IFERROR(INDEX(vdata_regressors!$A$1:$L$2000,MATCH($A729,vdata_regressors!$A$2:$A$2000,0)+1,MATCH(E$2,vdata_regressors!$A$1:$R$1,0)),"")</f>
        <v/>
      </c>
      <c r="F729" s="23" t="str">
        <f>IFERROR(INDEX(vdata_regressors!$A$1:$L$2000,MATCH($A729,vdata_regressors!$A$2:$A$2000,0)+1,MATCH(F$2,vdata_regressors!$A$1:$R$1,0)),"")</f>
        <v/>
      </c>
      <c r="G729" s="23" t="str">
        <f>IFERROR(INDEX(vdata_regressors!$A$1:$L$2000,MATCH($A729,vdata_regressors!$A$2:$A$2000,0)+1,MATCH(G$2,vdata_regressors!$A$1:$R$1,0)),"")</f>
        <v/>
      </c>
      <c r="H729" s="23" t="str">
        <f>IFERROR(INDEX(vdata_regressors!$A$1:$L$2000,MATCH($A729,vdata_regressors!$A$2:$A$2000,0)+1,MATCH(H$2,vdata_regressors!$A$1:$R$1,0)),"")</f>
        <v/>
      </c>
      <c r="I729" s="23" t="str">
        <f>IFERROR(INDEX(vdata_regressors!$A$1:$L$2000,MATCH($A729,vdata_regressors!$A$2:$A$2000,0)+1,MATCH(I$2,vdata_regressors!$A$1:$R$1,0)),"")</f>
        <v/>
      </c>
      <c r="J729" s="23" t="str">
        <f>IFERROR(INDEX(vdata_regressors!$A$1:$L$2000,MATCH($A729,vdata_regressors!$A$2:$A$2000,0)+1,MATCH(J$2,vdata_regressors!$A$1:$R$1,0)),"")</f>
        <v/>
      </c>
      <c r="K729" s="23" t="str">
        <f>IFERROR(INDEX(vdata_regressors!$A$1:$L$2000,MATCH($A729,vdata_regressors!$A$2:$A$2000,0)+1,MATCH(K$2,vdata_regressors!$A$1:$R$1,0)),"")</f>
        <v/>
      </c>
      <c r="L729" s="23" t="str">
        <f>IFERROR(INDEX(vdata_regressors!$A$1:$L$2000,MATCH($A729,vdata_regressors!$A$2:$A$2000,0)+1,MATCH(L$2,vdata_regressors!$A$1:$R$1,0)),"")</f>
        <v/>
      </c>
      <c r="M729" s="23" t="str">
        <f>IFERROR(VLOOKUP(A729,vdata_hours!$A$2:$B$1000,2,FALSE),"")</f>
        <v/>
      </c>
    </row>
    <row r="730" spans="1:13" x14ac:dyDescent="0.25">
      <c r="A730" s="23" t="str">
        <f>IF(vdata_hours!A729=0,"",vdata_hours!A729)</f>
        <v/>
      </c>
      <c r="B730" s="23" t="str">
        <f>IFERROR(INDEX(vdata_regressors!$A$1:$L$2000,MATCH($A730,vdata_regressors!$A$2:$A$2000,0)+1,MATCH(B$2,vdata_regressors!$A$1:$R$1,0)),"")</f>
        <v/>
      </c>
      <c r="C730" s="23" t="str">
        <f>IFERROR(INDEX(vdata_regressors!$A$1:$L$2000,MATCH($A730,vdata_regressors!$A$2:$A$2000,0)+1,MATCH(C$2,vdata_regressors!$A$1:$R$1,0)),"")</f>
        <v/>
      </c>
      <c r="D730" s="23" t="str">
        <f>IFERROR(INDEX(vdata_regressors!$A$1:$L$2000,MATCH($A730,vdata_regressors!$A$2:$A$2000,0)+1,MATCH(D$2,vdata_regressors!$A$1:$R$1,0)),"")</f>
        <v/>
      </c>
      <c r="E730" s="23" t="str">
        <f>IFERROR(INDEX(vdata_regressors!$A$1:$L$2000,MATCH($A730,vdata_regressors!$A$2:$A$2000,0)+1,MATCH(E$2,vdata_regressors!$A$1:$R$1,0)),"")</f>
        <v/>
      </c>
      <c r="F730" s="23" t="str">
        <f>IFERROR(INDEX(vdata_regressors!$A$1:$L$2000,MATCH($A730,vdata_regressors!$A$2:$A$2000,0)+1,MATCH(F$2,vdata_regressors!$A$1:$R$1,0)),"")</f>
        <v/>
      </c>
      <c r="G730" s="23" t="str">
        <f>IFERROR(INDEX(vdata_regressors!$A$1:$L$2000,MATCH($A730,vdata_regressors!$A$2:$A$2000,0)+1,MATCH(G$2,vdata_regressors!$A$1:$R$1,0)),"")</f>
        <v/>
      </c>
      <c r="H730" s="23" t="str">
        <f>IFERROR(INDEX(vdata_regressors!$A$1:$L$2000,MATCH($A730,vdata_regressors!$A$2:$A$2000,0)+1,MATCH(H$2,vdata_regressors!$A$1:$R$1,0)),"")</f>
        <v/>
      </c>
      <c r="I730" s="23" t="str">
        <f>IFERROR(INDEX(vdata_regressors!$A$1:$L$2000,MATCH($A730,vdata_regressors!$A$2:$A$2000,0)+1,MATCH(I$2,vdata_regressors!$A$1:$R$1,0)),"")</f>
        <v/>
      </c>
      <c r="J730" s="23" t="str">
        <f>IFERROR(INDEX(vdata_regressors!$A$1:$L$2000,MATCH($A730,vdata_regressors!$A$2:$A$2000,0)+1,MATCH(J$2,vdata_regressors!$A$1:$R$1,0)),"")</f>
        <v/>
      </c>
      <c r="K730" s="23" t="str">
        <f>IFERROR(INDEX(vdata_regressors!$A$1:$L$2000,MATCH($A730,vdata_regressors!$A$2:$A$2000,0)+1,MATCH(K$2,vdata_regressors!$A$1:$R$1,0)),"")</f>
        <v/>
      </c>
      <c r="L730" s="23" t="str">
        <f>IFERROR(INDEX(vdata_regressors!$A$1:$L$2000,MATCH($A730,vdata_regressors!$A$2:$A$2000,0)+1,MATCH(L$2,vdata_regressors!$A$1:$R$1,0)),"")</f>
        <v/>
      </c>
      <c r="M730" s="23" t="str">
        <f>IFERROR(VLOOKUP(A730,vdata_hours!$A$2:$B$1000,2,FALSE),"")</f>
        <v/>
      </c>
    </row>
    <row r="731" spans="1:13" x14ac:dyDescent="0.25">
      <c r="A731" s="23" t="str">
        <f>IF(vdata_hours!A730=0,"",vdata_hours!A730)</f>
        <v/>
      </c>
      <c r="B731" s="23" t="str">
        <f>IFERROR(INDEX(vdata_regressors!$A$1:$L$2000,MATCH($A731,vdata_regressors!$A$2:$A$2000,0)+1,MATCH(B$2,vdata_regressors!$A$1:$R$1,0)),"")</f>
        <v/>
      </c>
      <c r="C731" s="23" t="str">
        <f>IFERROR(INDEX(vdata_regressors!$A$1:$L$2000,MATCH($A731,vdata_regressors!$A$2:$A$2000,0)+1,MATCH(C$2,vdata_regressors!$A$1:$R$1,0)),"")</f>
        <v/>
      </c>
      <c r="D731" s="23" t="str">
        <f>IFERROR(INDEX(vdata_regressors!$A$1:$L$2000,MATCH($A731,vdata_regressors!$A$2:$A$2000,0)+1,MATCH(D$2,vdata_regressors!$A$1:$R$1,0)),"")</f>
        <v/>
      </c>
      <c r="E731" s="23" t="str">
        <f>IFERROR(INDEX(vdata_regressors!$A$1:$L$2000,MATCH($A731,vdata_regressors!$A$2:$A$2000,0)+1,MATCH(E$2,vdata_regressors!$A$1:$R$1,0)),"")</f>
        <v/>
      </c>
      <c r="F731" s="23" t="str">
        <f>IFERROR(INDEX(vdata_regressors!$A$1:$L$2000,MATCH($A731,vdata_regressors!$A$2:$A$2000,0)+1,MATCH(F$2,vdata_regressors!$A$1:$R$1,0)),"")</f>
        <v/>
      </c>
      <c r="G731" s="23" t="str">
        <f>IFERROR(INDEX(vdata_regressors!$A$1:$L$2000,MATCH($A731,vdata_regressors!$A$2:$A$2000,0)+1,MATCH(G$2,vdata_regressors!$A$1:$R$1,0)),"")</f>
        <v/>
      </c>
      <c r="H731" s="23" t="str">
        <f>IFERROR(INDEX(vdata_regressors!$A$1:$L$2000,MATCH($A731,vdata_regressors!$A$2:$A$2000,0)+1,MATCH(H$2,vdata_regressors!$A$1:$R$1,0)),"")</f>
        <v/>
      </c>
      <c r="I731" s="23" t="str">
        <f>IFERROR(INDEX(vdata_regressors!$A$1:$L$2000,MATCH($A731,vdata_regressors!$A$2:$A$2000,0)+1,MATCH(I$2,vdata_regressors!$A$1:$R$1,0)),"")</f>
        <v/>
      </c>
      <c r="J731" s="23" t="str">
        <f>IFERROR(INDEX(vdata_regressors!$A$1:$L$2000,MATCH($A731,vdata_regressors!$A$2:$A$2000,0)+1,MATCH(J$2,vdata_regressors!$A$1:$R$1,0)),"")</f>
        <v/>
      </c>
      <c r="K731" s="23" t="str">
        <f>IFERROR(INDEX(vdata_regressors!$A$1:$L$2000,MATCH($A731,vdata_regressors!$A$2:$A$2000,0)+1,MATCH(K$2,vdata_regressors!$A$1:$R$1,0)),"")</f>
        <v/>
      </c>
      <c r="L731" s="23" t="str">
        <f>IFERROR(INDEX(vdata_regressors!$A$1:$L$2000,MATCH($A731,vdata_regressors!$A$2:$A$2000,0)+1,MATCH(L$2,vdata_regressors!$A$1:$R$1,0)),"")</f>
        <v/>
      </c>
      <c r="M731" s="23" t="str">
        <f>IFERROR(VLOOKUP(A731,vdata_hours!$A$2:$B$1000,2,FALSE),"")</f>
        <v/>
      </c>
    </row>
    <row r="732" spans="1:13" x14ac:dyDescent="0.25">
      <c r="A732" s="23" t="str">
        <f>IF(vdata_hours!A731=0,"",vdata_hours!A731)</f>
        <v/>
      </c>
      <c r="B732" s="23" t="str">
        <f>IFERROR(INDEX(vdata_regressors!$A$1:$L$2000,MATCH($A732,vdata_regressors!$A$2:$A$2000,0)+1,MATCH(B$2,vdata_regressors!$A$1:$R$1,0)),"")</f>
        <v/>
      </c>
      <c r="C732" s="23" t="str">
        <f>IFERROR(INDEX(vdata_regressors!$A$1:$L$2000,MATCH($A732,vdata_regressors!$A$2:$A$2000,0)+1,MATCH(C$2,vdata_regressors!$A$1:$R$1,0)),"")</f>
        <v/>
      </c>
      <c r="D732" s="23" t="str">
        <f>IFERROR(INDEX(vdata_regressors!$A$1:$L$2000,MATCH($A732,vdata_regressors!$A$2:$A$2000,0)+1,MATCH(D$2,vdata_regressors!$A$1:$R$1,0)),"")</f>
        <v/>
      </c>
      <c r="E732" s="23" t="str">
        <f>IFERROR(INDEX(vdata_regressors!$A$1:$L$2000,MATCH($A732,vdata_regressors!$A$2:$A$2000,0)+1,MATCH(E$2,vdata_regressors!$A$1:$R$1,0)),"")</f>
        <v/>
      </c>
      <c r="F732" s="23" t="str">
        <f>IFERROR(INDEX(vdata_regressors!$A$1:$L$2000,MATCH($A732,vdata_regressors!$A$2:$A$2000,0)+1,MATCH(F$2,vdata_regressors!$A$1:$R$1,0)),"")</f>
        <v/>
      </c>
      <c r="G732" s="23" t="str">
        <f>IFERROR(INDEX(vdata_regressors!$A$1:$L$2000,MATCH($A732,vdata_regressors!$A$2:$A$2000,0)+1,MATCH(G$2,vdata_regressors!$A$1:$R$1,0)),"")</f>
        <v/>
      </c>
      <c r="H732" s="23" t="str">
        <f>IFERROR(INDEX(vdata_regressors!$A$1:$L$2000,MATCH($A732,vdata_regressors!$A$2:$A$2000,0)+1,MATCH(H$2,vdata_regressors!$A$1:$R$1,0)),"")</f>
        <v/>
      </c>
      <c r="I732" s="23" t="str">
        <f>IFERROR(INDEX(vdata_regressors!$A$1:$L$2000,MATCH($A732,vdata_regressors!$A$2:$A$2000,0)+1,MATCH(I$2,vdata_regressors!$A$1:$R$1,0)),"")</f>
        <v/>
      </c>
      <c r="J732" s="23" t="str">
        <f>IFERROR(INDEX(vdata_regressors!$A$1:$L$2000,MATCH($A732,vdata_regressors!$A$2:$A$2000,0)+1,MATCH(J$2,vdata_regressors!$A$1:$R$1,0)),"")</f>
        <v/>
      </c>
      <c r="K732" s="23" t="str">
        <f>IFERROR(INDEX(vdata_regressors!$A$1:$L$2000,MATCH($A732,vdata_regressors!$A$2:$A$2000,0)+1,MATCH(K$2,vdata_regressors!$A$1:$R$1,0)),"")</f>
        <v/>
      </c>
      <c r="L732" s="23" t="str">
        <f>IFERROR(INDEX(vdata_regressors!$A$1:$L$2000,MATCH($A732,vdata_regressors!$A$2:$A$2000,0)+1,MATCH(L$2,vdata_regressors!$A$1:$R$1,0)),"")</f>
        <v/>
      </c>
      <c r="M732" s="23" t="str">
        <f>IFERROR(VLOOKUP(A732,vdata_hours!$A$2:$B$1000,2,FALSE),"")</f>
        <v/>
      </c>
    </row>
    <row r="733" spans="1:13" x14ac:dyDescent="0.25">
      <c r="A733" s="23" t="str">
        <f>IF(vdata_hours!A732=0,"",vdata_hours!A732)</f>
        <v/>
      </c>
      <c r="B733" s="23" t="str">
        <f>IFERROR(INDEX(vdata_regressors!$A$1:$L$2000,MATCH($A733,vdata_regressors!$A$2:$A$2000,0)+1,MATCH(B$2,vdata_regressors!$A$1:$R$1,0)),"")</f>
        <v/>
      </c>
      <c r="C733" s="23" t="str">
        <f>IFERROR(INDEX(vdata_regressors!$A$1:$L$2000,MATCH($A733,vdata_regressors!$A$2:$A$2000,0)+1,MATCH(C$2,vdata_regressors!$A$1:$R$1,0)),"")</f>
        <v/>
      </c>
      <c r="D733" s="23" t="str">
        <f>IFERROR(INDEX(vdata_regressors!$A$1:$L$2000,MATCH($A733,vdata_regressors!$A$2:$A$2000,0)+1,MATCH(D$2,vdata_regressors!$A$1:$R$1,0)),"")</f>
        <v/>
      </c>
      <c r="E733" s="23" t="str">
        <f>IFERROR(INDEX(vdata_regressors!$A$1:$L$2000,MATCH($A733,vdata_regressors!$A$2:$A$2000,0)+1,MATCH(E$2,vdata_regressors!$A$1:$R$1,0)),"")</f>
        <v/>
      </c>
      <c r="F733" s="23" t="str">
        <f>IFERROR(INDEX(vdata_regressors!$A$1:$L$2000,MATCH($A733,vdata_regressors!$A$2:$A$2000,0)+1,MATCH(F$2,vdata_regressors!$A$1:$R$1,0)),"")</f>
        <v/>
      </c>
      <c r="G733" s="23" t="str">
        <f>IFERROR(INDEX(vdata_regressors!$A$1:$L$2000,MATCH($A733,vdata_regressors!$A$2:$A$2000,0)+1,MATCH(G$2,vdata_regressors!$A$1:$R$1,0)),"")</f>
        <v/>
      </c>
      <c r="H733" s="23" t="str">
        <f>IFERROR(INDEX(vdata_regressors!$A$1:$L$2000,MATCH($A733,vdata_regressors!$A$2:$A$2000,0)+1,MATCH(H$2,vdata_regressors!$A$1:$R$1,0)),"")</f>
        <v/>
      </c>
      <c r="I733" s="23" t="str">
        <f>IFERROR(INDEX(vdata_regressors!$A$1:$L$2000,MATCH($A733,vdata_regressors!$A$2:$A$2000,0)+1,MATCH(I$2,vdata_regressors!$A$1:$R$1,0)),"")</f>
        <v/>
      </c>
      <c r="J733" s="23" t="str">
        <f>IFERROR(INDEX(vdata_regressors!$A$1:$L$2000,MATCH($A733,vdata_regressors!$A$2:$A$2000,0)+1,MATCH(J$2,vdata_regressors!$A$1:$R$1,0)),"")</f>
        <v/>
      </c>
      <c r="K733" s="23" t="str">
        <f>IFERROR(INDEX(vdata_regressors!$A$1:$L$2000,MATCH($A733,vdata_regressors!$A$2:$A$2000,0)+1,MATCH(K$2,vdata_regressors!$A$1:$R$1,0)),"")</f>
        <v/>
      </c>
      <c r="L733" s="23" t="str">
        <f>IFERROR(INDEX(vdata_regressors!$A$1:$L$2000,MATCH($A733,vdata_regressors!$A$2:$A$2000,0)+1,MATCH(L$2,vdata_regressors!$A$1:$R$1,0)),"")</f>
        <v/>
      </c>
      <c r="M733" s="23" t="str">
        <f>IFERROR(VLOOKUP(A733,vdata_hours!$A$2:$B$1000,2,FALSE),"")</f>
        <v/>
      </c>
    </row>
    <row r="734" spans="1:13" x14ac:dyDescent="0.25">
      <c r="A734" s="23" t="str">
        <f>IF(vdata_hours!A733=0,"",vdata_hours!A733)</f>
        <v/>
      </c>
      <c r="B734" s="23" t="str">
        <f>IFERROR(INDEX(vdata_regressors!$A$1:$L$2000,MATCH($A734,vdata_regressors!$A$2:$A$2000,0)+1,MATCH(B$2,vdata_regressors!$A$1:$R$1,0)),"")</f>
        <v/>
      </c>
      <c r="C734" s="23" t="str">
        <f>IFERROR(INDEX(vdata_regressors!$A$1:$L$2000,MATCH($A734,vdata_regressors!$A$2:$A$2000,0)+1,MATCH(C$2,vdata_regressors!$A$1:$R$1,0)),"")</f>
        <v/>
      </c>
      <c r="D734" s="23" t="str">
        <f>IFERROR(INDEX(vdata_regressors!$A$1:$L$2000,MATCH($A734,vdata_regressors!$A$2:$A$2000,0)+1,MATCH(D$2,vdata_regressors!$A$1:$R$1,0)),"")</f>
        <v/>
      </c>
      <c r="E734" s="23" t="str">
        <f>IFERROR(INDEX(vdata_regressors!$A$1:$L$2000,MATCH($A734,vdata_regressors!$A$2:$A$2000,0)+1,MATCH(E$2,vdata_regressors!$A$1:$R$1,0)),"")</f>
        <v/>
      </c>
      <c r="F734" s="23" t="str">
        <f>IFERROR(INDEX(vdata_regressors!$A$1:$L$2000,MATCH($A734,vdata_regressors!$A$2:$A$2000,0)+1,MATCH(F$2,vdata_regressors!$A$1:$R$1,0)),"")</f>
        <v/>
      </c>
      <c r="G734" s="23" t="str">
        <f>IFERROR(INDEX(vdata_regressors!$A$1:$L$2000,MATCH($A734,vdata_regressors!$A$2:$A$2000,0)+1,MATCH(G$2,vdata_regressors!$A$1:$R$1,0)),"")</f>
        <v/>
      </c>
      <c r="H734" s="23" t="str">
        <f>IFERROR(INDEX(vdata_regressors!$A$1:$L$2000,MATCH($A734,vdata_regressors!$A$2:$A$2000,0)+1,MATCH(H$2,vdata_regressors!$A$1:$R$1,0)),"")</f>
        <v/>
      </c>
      <c r="I734" s="23" t="str">
        <f>IFERROR(INDEX(vdata_regressors!$A$1:$L$2000,MATCH($A734,vdata_regressors!$A$2:$A$2000,0)+1,MATCH(I$2,vdata_regressors!$A$1:$R$1,0)),"")</f>
        <v/>
      </c>
      <c r="J734" s="23" t="str">
        <f>IFERROR(INDEX(vdata_regressors!$A$1:$L$2000,MATCH($A734,vdata_regressors!$A$2:$A$2000,0)+1,MATCH(J$2,vdata_regressors!$A$1:$R$1,0)),"")</f>
        <v/>
      </c>
      <c r="K734" s="23" t="str">
        <f>IFERROR(INDEX(vdata_regressors!$A$1:$L$2000,MATCH($A734,vdata_regressors!$A$2:$A$2000,0)+1,MATCH(K$2,vdata_regressors!$A$1:$R$1,0)),"")</f>
        <v/>
      </c>
      <c r="L734" s="23" t="str">
        <f>IFERROR(INDEX(vdata_regressors!$A$1:$L$2000,MATCH($A734,vdata_regressors!$A$2:$A$2000,0)+1,MATCH(L$2,vdata_regressors!$A$1:$R$1,0)),"")</f>
        <v/>
      </c>
      <c r="M734" s="23" t="str">
        <f>IFERROR(VLOOKUP(A734,vdata_hours!$A$2:$B$1000,2,FALSE),"")</f>
        <v/>
      </c>
    </row>
    <row r="735" spans="1:13" x14ac:dyDescent="0.25">
      <c r="A735" s="23" t="str">
        <f>IF(vdata_hours!A734=0,"",vdata_hours!A734)</f>
        <v/>
      </c>
      <c r="B735" s="23" t="str">
        <f>IFERROR(INDEX(vdata_regressors!$A$1:$L$2000,MATCH($A735,vdata_regressors!$A$2:$A$2000,0)+1,MATCH(B$2,vdata_regressors!$A$1:$R$1,0)),"")</f>
        <v/>
      </c>
      <c r="C735" s="23" t="str">
        <f>IFERROR(INDEX(vdata_regressors!$A$1:$L$2000,MATCH($A735,vdata_regressors!$A$2:$A$2000,0)+1,MATCH(C$2,vdata_regressors!$A$1:$R$1,0)),"")</f>
        <v/>
      </c>
      <c r="D735" s="23" t="str">
        <f>IFERROR(INDEX(vdata_regressors!$A$1:$L$2000,MATCH($A735,vdata_regressors!$A$2:$A$2000,0)+1,MATCH(D$2,vdata_regressors!$A$1:$R$1,0)),"")</f>
        <v/>
      </c>
      <c r="E735" s="23" t="str">
        <f>IFERROR(INDEX(vdata_regressors!$A$1:$L$2000,MATCH($A735,vdata_regressors!$A$2:$A$2000,0)+1,MATCH(E$2,vdata_regressors!$A$1:$R$1,0)),"")</f>
        <v/>
      </c>
      <c r="F735" s="23" t="str">
        <f>IFERROR(INDEX(vdata_regressors!$A$1:$L$2000,MATCH($A735,vdata_regressors!$A$2:$A$2000,0)+1,MATCH(F$2,vdata_regressors!$A$1:$R$1,0)),"")</f>
        <v/>
      </c>
      <c r="G735" s="23" t="str">
        <f>IFERROR(INDEX(vdata_regressors!$A$1:$L$2000,MATCH($A735,vdata_regressors!$A$2:$A$2000,0)+1,MATCH(G$2,vdata_regressors!$A$1:$R$1,0)),"")</f>
        <v/>
      </c>
      <c r="H735" s="23" t="str">
        <f>IFERROR(INDEX(vdata_regressors!$A$1:$L$2000,MATCH($A735,vdata_regressors!$A$2:$A$2000,0)+1,MATCH(H$2,vdata_regressors!$A$1:$R$1,0)),"")</f>
        <v/>
      </c>
      <c r="I735" s="23" t="str">
        <f>IFERROR(INDEX(vdata_regressors!$A$1:$L$2000,MATCH($A735,vdata_regressors!$A$2:$A$2000,0)+1,MATCH(I$2,vdata_regressors!$A$1:$R$1,0)),"")</f>
        <v/>
      </c>
      <c r="J735" s="23" t="str">
        <f>IFERROR(INDEX(vdata_regressors!$A$1:$L$2000,MATCH($A735,vdata_regressors!$A$2:$A$2000,0)+1,MATCH(J$2,vdata_regressors!$A$1:$R$1,0)),"")</f>
        <v/>
      </c>
      <c r="K735" s="23" t="str">
        <f>IFERROR(INDEX(vdata_regressors!$A$1:$L$2000,MATCH($A735,vdata_regressors!$A$2:$A$2000,0)+1,MATCH(K$2,vdata_regressors!$A$1:$R$1,0)),"")</f>
        <v/>
      </c>
      <c r="L735" s="23" t="str">
        <f>IFERROR(INDEX(vdata_regressors!$A$1:$L$2000,MATCH($A735,vdata_regressors!$A$2:$A$2000,0)+1,MATCH(L$2,vdata_regressors!$A$1:$R$1,0)),"")</f>
        <v/>
      </c>
      <c r="M735" s="23" t="str">
        <f>IFERROR(VLOOKUP(A735,vdata_hours!$A$2:$B$1000,2,FALSE),"")</f>
        <v/>
      </c>
    </row>
    <row r="736" spans="1:13" x14ac:dyDescent="0.25">
      <c r="A736" s="23" t="str">
        <f>IF(vdata_hours!A735=0,"",vdata_hours!A735)</f>
        <v/>
      </c>
      <c r="B736" s="23" t="str">
        <f>IFERROR(INDEX(vdata_regressors!$A$1:$L$2000,MATCH($A736,vdata_regressors!$A$2:$A$2000,0)+1,MATCH(B$2,vdata_regressors!$A$1:$R$1,0)),"")</f>
        <v/>
      </c>
      <c r="C736" s="23" t="str">
        <f>IFERROR(INDEX(vdata_regressors!$A$1:$L$2000,MATCH($A736,vdata_regressors!$A$2:$A$2000,0)+1,MATCH(C$2,vdata_regressors!$A$1:$R$1,0)),"")</f>
        <v/>
      </c>
      <c r="D736" s="23" t="str">
        <f>IFERROR(INDEX(vdata_regressors!$A$1:$L$2000,MATCH($A736,vdata_regressors!$A$2:$A$2000,0)+1,MATCH(D$2,vdata_regressors!$A$1:$R$1,0)),"")</f>
        <v/>
      </c>
      <c r="E736" s="23" t="str">
        <f>IFERROR(INDEX(vdata_regressors!$A$1:$L$2000,MATCH($A736,vdata_regressors!$A$2:$A$2000,0)+1,MATCH(E$2,vdata_regressors!$A$1:$R$1,0)),"")</f>
        <v/>
      </c>
      <c r="F736" s="23" t="str">
        <f>IFERROR(INDEX(vdata_regressors!$A$1:$L$2000,MATCH($A736,vdata_regressors!$A$2:$A$2000,0)+1,MATCH(F$2,vdata_regressors!$A$1:$R$1,0)),"")</f>
        <v/>
      </c>
      <c r="G736" s="23" t="str">
        <f>IFERROR(INDEX(vdata_regressors!$A$1:$L$2000,MATCH($A736,vdata_regressors!$A$2:$A$2000,0)+1,MATCH(G$2,vdata_regressors!$A$1:$R$1,0)),"")</f>
        <v/>
      </c>
      <c r="H736" s="23" t="str">
        <f>IFERROR(INDEX(vdata_regressors!$A$1:$L$2000,MATCH($A736,vdata_regressors!$A$2:$A$2000,0)+1,MATCH(H$2,vdata_regressors!$A$1:$R$1,0)),"")</f>
        <v/>
      </c>
      <c r="I736" s="23" t="str">
        <f>IFERROR(INDEX(vdata_regressors!$A$1:$L$2000,MATCH($A736,vdata_regressors!$A$2:$A$2000,0)+1,MATCH(I$2,vdata_regressors!$A$1:$R$1,0)),"")</f>
        <v/>
      </c>
      <c r="J736" s="23" t="str">
        <f>IFERROR(INDEX(vdata_regressors!$A$1:$L$2000,MATCH($A736,vdata_regressors!$A$2:$A$2000,0)+1,MATCH(J$2,vdata_regressors!$A$1:$R$1,0)),"")</f>
        <v/>
      </c>
      <c r="K736" s="23" t="str">
        <f>IFERROR(INDEX(vdata_regressors!$A$1:$L$2000,MATCH($A736,vdata_regressors!$A$2:$A$2000,0)+1,MATCH(K$2,vdata_regressors!$A$1:$R$1,0)),"")</f>
        <v/>
      </c>
      <c r="L736" s="23" t="str">
        <f>IFERROR(INDEX(vdata_regressors!$A$1:$L$2000,MATCH($A736,vdata_regressors!$A$2:$A$2000,0)+1,MATCH(L$2,vdata_regressors!$A$1:$R$1,0)),"")</f>
        <v/>
      </c>
      <c r="M736" s="23" t="str">
        <f>IFERROR(VLOOKUP(A736,vdata_hours!$A$2:$B$1000,2,FALSE),"")</f>
        <v/>
      </c>
    </row>
    <row r="737" spans="1:13" x14ac:dyDescent="0.25">
      <c r="A737" s="23" t="str">
        <f>IF(vdata_hours!A736=0,"",vdata_hours!A736)</f>
        <v/>
      </c>
      <c r="B737" s="23" t="str">
        <f>IFERROR(INDEX(vdata_regressors!$A$1:$L$2000,MATCH($A737,vdata_regressors!$A$2:$A$2000,0)+1,MATCH(B$2,vdata_regressors!$A$1:$R$1,0)),"")</f>
        <v/>
      </c>
      <c r="C737" s="23" t="str">
        <f>IFERROR(INDEX(vdata_regressors!$A$1:$L$2000,MATCH($A737,vdata_regressors!$A$2:$A$2000,0)+1,MATCH(C$2,vdata_regressors!$A$1:$R$1,0)),"")</f>
        <v/>
      </c>
      <c r="D737" s="23" t="str">
        <f>IFERROR(INDEX(vdata_regressors!$A$1:$L$2000,MATCH($A737,vdata_regressors!$A$2:$A$2000,0)+1,MATCH(D$2,vdata_regressors!$A$1:$R$1,0)),"")</f>
        <v/>
      </c>
      <c r="E737" s="23" t="str">
        <f>IFERROR(INDEX(vdata_regressors!$A$1:$L$2000,MATCH($A737,vdata_regressors!$A$2:$A$2000,0)+1,MATCH(E$2,vdata_regressors!$A$1:$R$1,0)),"")</f>
        <v/>
      </c>
      <c r="F737" s="23" t="str">
        <f>IFERROR(INDEX(vdata_regressors!$A$1:$L$2000,MATCH($A737,vdata_regressors!$A$2:$A$2000,0)+1,MATCH(F$2,vdata_regressors!$A$1:$R$1,0)),"")</f>
        <v/>
      </c>
      <c r="G737" s="23" t="str">
        <f>IFERROR(INDEX(vdata_regressors!$A$1:$L$2000,MATCH($A737,vdata_regressors!$A$2:$A$2000,0)+1,MATCH(G$2,vdata_regressors!$A$1:$R$1,0)),"")</f>
        <v/>
      </c>
      <c r="H737" s="23" t="str">
        <f>IFERROR(INDEX(vdata_regressors!$A$1:$L$2000,MATCH($A737,vdata_regressors!$A$2:$A$2000,0)+1,MATCH(H$2,vdata_regressors!$A$1:$R$1,0)),"")</f>
        <v/>
      </c>
      <c r="I737" s="23" t="str">
        <f>IFERROR(INDEX(vdata_regressors!$A$1:$L$2000,MATCH($A737,vdata_regressors!$A$2:$A$2000,0)+1,MATCH(I$2,vdata_regressors!$A$1:$R$1,0)),"")</f>
        <v/>
      </c>
      <c r="J737" s="23" t="str">
        <f>IFERROR(INDEX(vdata_regressors!$A$1:$L$2000,MATCH($A737,vdata_regressors!$A$2:$A$2000,0)+1,MATCH(J$2,vdata_regressors!$A$1:$R$1,0)),"")</f>
        <v/>
      </c>
      <c r="K737" s="23" t="str">
        <f>IFERROR(INDEX(vdata_regressors!$A$1:$L$2000,MATCH($A737,vdata_regressors!$A$2:$A$2000,0)+1,MATCH(K$2,vdata_regressors!$A$1:$R$1,0)),"")</f>
        <v/>
      </c>
      <c r="L737" s="23" t="str">
        <f>IFERROR(INDEX(vdata_regressors!$A$1:$L$2000,MATCH($A737,vdata_regressors!$A$2:$A$2000,0)+1,MATCH(L$2,vdata_regressors!$A$1:$R$1,0)),"")</f>
        <v/>
      </c>
      <c r="M737" s="23" t="str">
        <f>IFERROR(VLOOKUP(A737,vdata_hours!$A$2:$B$1000,2,FALSE),"")</f>
        <v/>
      </c>
    </row>
    <row r="738" spans="1:13" x14ac:dyDescent="0.25">
      <c r="A738" s="23" t="str">
        <f>IF(vdata_hours!A737=0,"",vdata_hours!A737)</f>
        <v/>
      </c>
      <c r="B738" s="23" t="str">
        <f>IFERROR(INDEX(vdata_regressors!$A$1:$L$2000,MATCH($A738,vdata_regressors!$A$2:$A$2000,0)+1,MATCH(B$2,vdata_regressors!$A$1:$R$1,0)),"")</f>
        <v/>
      </c>
      <c r="C738" s="23" t="str">
        <f>IFERROR(INDEX(vdata_regressors!$A$1:$L$2000,MATCH($A738,vdata_regressors!$A$2:$A$2000,0)+1,MATCH(C$2,vdata_regressors!$A$1:$R$1,0)),"")</f>
        <v/>
      </c>
      <c r="D738" s="23" t="str">
        <f>IFERROR(INDEX(vdata_regressors!$A$1:$L$2000,MATCH($A738,vdata_regressors!$A$2:$A$2000,0)+1,MATCH(D$2,vdata_regressors!$A$1:$R$1,0)),"")</f>
        <v/>
      </c>
      <c r="E738" s="23" t="str">
        <f>IFERROR(INDEX(vdata_regressors!$A$1:$L$2000,MATCH($A738,vdata_regressors!$A$2:$A$2000,0)+1,MATCH(E$2,vdata_regressors!$A$1:$R$1,0)),"")</f>
        <v/>
      </c>
      <c r="F738" s="23" t="str">
        <f>IFERROR(INDEX(vdata_regressors!$A$1:$L$2000,MATCH($A738,vdata_regressors!$A$2:$A$2000,0)+1,MATCH(F$2,vdata_regressors!$A$1:$R$1,0)),"")</f>
        <v/>
      </c>
      <c r="G738" s="23" t="str">
        <f>IFERROR(INDEX(vdata_regressors!$A$1:$L$2000,MATCH($A738,vdata_regressors!$A$2:$A$2000,0)+1,MATCH(G$2,vdata_regressors!$A$1:$R$1,0)),"")</f>
        <v/>
      </c>
      <c r="H738" s="23" t="str">
        <f>IFERROR(INDEX(vdata_regressors!$A$1:$L$2000,MATCH($A738,vdata_regressors!$A$2:$A$2000,0)+1,MATCH(H$2,vdata_regressors!$A$1:$R$1,0)),"")</f>
        <v/>
      </c>
      <c r="I738" s="23" t="str">
        <f>IFERROR(INDEX(vdata_regressors!$A$1:$L$2000,MATCH($A738,vdata_regressors!$A$2:$A$2000,0)+1,MATCH(I$2,vdata_regressors!$A$1:$R$1,0)),"")</f>
        <v/>
      </c>
      <c r="J738" s="23" t="str">
        <f>IFERROR(INDEX(vdata_regressors!$A$1:$L$2000,MATCH($A738,vdata_regressors!$A$2:$A$2000,0)+1,MATCH(J$2,vdata_regressors!$A$1:$R$1,0)),"")</f>
        <v/>
      </c>
      <c r="K738" s="23" t="str">
        <f>IFERROR(INDEX(vdata_regressors!$A$1:$L$2000,MATCH($A738,vdata_regressors!$A$2:$A$2000,0)+1,MATCH(K$2,vdata_regressors!$A$1:$R$1,0)),"")</f>
        <v/>
      </c>
      <c r="L738" s="23" t="str">
        <f>IFERROR(INDEX(vdata_regressors!$A$1:$L$2000,MATCH($A738,vdata_regressors!$A$2:$A$2000,0)+1,MATCH(L$2,vdata_regressors!$A$1:$R$1,0)),"")</f>
        <v/>
      </c>
      <c r="M738" s="23" t="str">
        <f>IFERROR(VLOOKUP(A738,vdata_hours!$A$2:$B$1000,2,FALSE),"")</f>
        <v/>
      </c>
    </row>
    <row r="739" spans="1:13" x14ac:dyDescent="0.25">
      <c r="A739" s="23" t="str">
        <f>IF(vdata_hours!A738=0,"",vdata_hours!A738)</f>
        <v/>
      </c>
      <c r="B739" s="23" t="str">
        <f>IFERROR(INDEX(vdata_regressors!$A$1:$L$2000,MATCH($A739,vdata_regressors!$A$2:$A$2000,0)+1,MATCH(B$2,vdata_regressors!$A$1:$R$1,0)),"")</f>
        <v/>
      </c>
      <c r="C739" s="23" t="str">
        <f>IFERROR(INDEX(vdata_regressors!$A$1:$L$2000,MATCH($A739,vdata_regressors!$A$2:$A$2000,0)+1,MATCH(C$2,vdata_regressors!$A$1:$R$1,0)),"")</f>
        <v/>
      </c>
      <c r="D739" s="23" t="str">
        <f>IFERROR(INDEX(vdata_regressors!$A$1:$L$2000,MATCH($A739,vdata_regressors!$A$2:$A$2000,0)+1,MATCH(D$2,vdata_regressors!$A$1:$R$1,0)),"")</f>
        <v/>
      </c>
      <c r="E739" s="23" t="str">
        <f>IFERROR(INDEX(vdata_regressors!$A$1:$L$2000,MATCH($A739,vdata_regressors!$A$2:$A$2000,0)+1,MATCH(E$2,vdata_regressors!$A$1:$R$1,0)),"")</f>
        <v/>
      </c>
      <c r="F739" s="23" t="str">
        <f>IFERROR(INDEX(vdata_regressors!$A$1:$L$2000,MATCH($A739,vdata_regressors!$A$2:$A$2000,0)+1,MATCH(F$2,vdata_regressors!$A$1:$R$1,0)),"")</f>
        <v/>
      </c>
      <c r="G739" s="23" t="str">
        <f>IFERROR(INDEX(vdata_regressors!$A$1:$L$2000,MATCH($A739,vdata_regressors!$A$2:$A$2000,0)+1,MATCH(G$2,vdata_regressors!$A$1:$R$1,0)),"")</f>
        <v/>
      </c>
      <c r="H739" s="23" t="str">
        <f>IFERROR(INDEX(vdata_regressors!$A$1:$L$2000,MATCH($A739,vdata_regressors!$A$2:$A$2000,0)+1,MATCH(H$2,vdata_regressors!$A$1:$R$1,0)),"")</f>
        <v/>
      </c>
      <c r="I739" s="23" t="str">
        <f>IFERROR(INDEX(vdata_regressors!$A$1:$L$2000,MATCH($A739,vdata_regressors!$A$2:$A$2000,0)+1,MATCH(I$2,vdata_regressors!$A$1:$R$1,0)),"")</f>
        <v/>
      </c>
      <c r="J739" s="23" t="str">
        <f>IFERROR(INDEX(vdata_regressors!$A$1:$L$2000,MATCH($A739,vdata_regressors!$A$2:$A$2000,0)+1,MATCH(J$2,vdata_regressors!$A$1:$R$1,0)),"")</f>
        <v/>
      </c>
      <c r="K739" s="23" t="str">
        <f>IFERROR(INDEX(vdata_regressors!$A$1:$L$2000,MATCH($A739,vdata_regressors!$A$2:$A$2000,0)+1,MATCH(K$2,vdata_regressors!$A$1:$R$1,0)),"")</f>
        <v/>
      </c>
      <c r="L739" s="23" t="str">
        <f>IFERROR(INDEX(vdata_regressors!$A$1:$L$2000,MATCH($A739,vdata_regressors!$A$2:$A$2000,0)+1,MATCH(L$2,vdata_regressors!$A$1:$R$1,0)),"")</f>
        <v/>
      </c>
      <c r="M739" s="23" t="str">
        <f>IFERROR(VLOOKUP(A739,vdata_hours!$A$2:$B$1000,2,FALSE),"")</f>
        <v/>
      </c>
    </row>
    <row r="740" spans="1:13" x14ac:dyDescent="0.25">
      <c r="A740" s="23" t="str">
        <f>IF(vdata_hours!A739=0,"",vdata_hours!A739)</f>
        <v/>
      </c>
      <c r="B740" s="23" t="str">
        <f>IFERROR(INDEX(vdata_regressors!$A$1:$L$2000,MATCH($A740,vdata_regressors!$A$2:$A$2000,0)+1,MATCH(B$2,vdata_regressors!$A$1:$R$1,0)),"")</f>
        <v/>
      </c>
      <c r="C740" s="23" t="str">
        <f>IFERROR(INDEX(vdata_regressors!$A$1:$L$2000,MATCH($A740,vdata_regressors!$A$2:$A$2000,0)+1,MATCH(C$2,vdata_regressors!$A$1:$R$1,0)),"")</f>
        <v/>
      </c>
      <c r="D740" s="23" t="str">
        <f>IFERROR(INDEX(vdata_regressors!$A$1:$L$2000,MATCH($A740,vdata_regressors!$A$2:$A$2000,0)+1,MATCH(D$2,vdata_regressors!$A$1:$R$1,0)),"")</f>
        <v/>
      </c>
      <c r="E740" s="23" t="str">
        <f>IFERROR(INDEX(vdata_regressors!$A$1:$L$2000,MATCH($A740,vdata_regressors!$A$2:$A$2000,0)+1,MATCH(E$2,vdata_regressors!$A$1:$R$1,0)),"")</f>
        <v/>
      </c>
      <c r="F740" s="23" t="str">
        <f>IFERROR(INDEX(vdata_regressors!$A$1:$L$2000,MATCH($A740,vdata_regressors!$A$2:$A$2000,0)+1,MATCH(F$2,vdata_regressors!$A$1:$R$1,0)),"")</f>
        <v/>
      </c>
      <c r="G740" s="23" t="str">
        <f>IFERROR(INDEX(vdata_regressors!$A$1:$L$2000,MATCH($A740,vdata_regressors!$A$2:$A$2000,0)+1,MATCH(G$2,vdata_regressors!$A$1:$R$1,0)),"")</f>
        <v/>
      </c>
      <c r="H740" s="23" t="str">
        <f>IFERROR(INDEX(vdata_regressors!$A$1:$L$2000,MATCH($A740,vdata_regressors!$A$2:$A$2000,0)+1,MATCH(H$2,vdata_regressors!$A$1:$R$1,0)),"")</f>
        <v/>
      </c>
      <c r="I740" s="23" t="str">
        <f>IFERROR(INDEX(vdata_regressors!$A$1:$L$2000,MATCH($A740,vdata_regressors!$A$2:$A$2000,0)+1,MATCH(I$2,vdata_regressors!$A$1:$R$1,0)),"")</f>
        <v/>
      </c>
      <c r="J740" s="23" t="str">
        <f>IFERROR(INDEX(vdata_regressors!$A$1:$L$2000,MATCH($A740,vdata_regressors!$A$2:$A$2000,0)+1,MATCH(J$2,vdata_regressors!$A$1:$R$1,0)),"")</f>
        <v/>
      </c>
      <c r="K740" s="23" t="str">
        <f>IFERROR(INDEX(vdata_regressors!$A$1:$L$2000,MATCH($A740,vdata_regressors!$A$2:$A$2000,0)+1,MATCH(K$2,vdata_regressors!$A$1:$R$1,0)),"")</f>
        <v/>
      </c>
      <c r="L740" s="23" t="str">
        <f>IFERROR(INDEX(vdata_regressors!$A$1:$L$2000,MATCH($A740,vdata_regressors!$A$2:$A$2000,0)+1,MATCH(L$2,vdata_regressors!$A$1:$R$1,0)),"")</f>
        <v/>
      </c>
      <c r="M740" s="23" t="str">
        <f>IFERROR(VLOOKUP(A740,vdata_hours!$A$2:$B$1000,2,FALSE),"")</f>
        <v/>
      </c>
    </row>
    <row r="741" spans="1:13" x14ac:dyDescent="0.25">
      <c r="A741" s="23" t="str">
        <f>IF(vdata_hours!A740=0,"",vdata_hours!A740)</f>
        <v/>
      </c>
      <c r="B741" s="23" t="str">
        <f>IFERROR(INDEX(vdata_regressors!$A$1:$L$2000,MATCH($A741,vdata_regressors!$A$2:$A$2000,0)+1,MATCH(B$2,vdata_regressors!$A$1:$R$1,0)),"")</f>
        <v/>
      </c>
      <c r="C741" s="23" t="str">
        <f>IFERROR(INDEX(vdata_regressors!$A$1:$L$2000,MATCH($A741,vdata_regressors!$A$2:$A$2000,0)+1,MATCH(C$2,vdata_regressors!$A$1:$R$1,0)),"")</f>
        <v/>
      </c>
      <c r="D741" s="23" t="str">
        <f>IFERROR(INDEX(vdata_regressors!$A$1:$L$2000,MATCH($A741,vdata_regressors!$A$2:$A$2000,0)+1,MATCH(D$2,vdata_regressors!$A$1:$R$1,0)),"")</f>
        <v/>
      </c>
      <c r="E741" s="23" t="str">
        <f>IFERROR(INDEX(vdata_regressors!$A$1:$L$2000,MATCH($A741,vdata_regressors!$A$2:$A$2000,0)+1,MATCH(E$2,vdata_regressors!$A$1:$R$1,0)),"")</f>
        <v/>
      </c>
      <c r="F741" s="23" t="str">
        <f>IFERROR(INDEX(vdata_regressors!$A$1:$L$2000,MATCH($A741,vdata_regressors!$A$2:$A$2000,0)+1,MATCH(F$2,vdata_regressors!$A$1:$R$1,0)),"")</f>
        <v/>
      </c>
      <c r="G741" s="23" t="str">
        <f>IFERROR(INDEX(vdata_regressors!$A$1:$L$2000,MATCH($A741,vdata_regressors!$A$2:$A$2000,0)+1,MATCH(G$2,vdata_regressors!$A$1:$R$1,0)),"")</f>
        <v/>
      </c>
      <c r="H741" s="23" t="str">
        <f>IFERROR(INDEX(vdata_regressors!$A$1:$L$2000,MATCH($A741,vdata_regressors!$A$2:$A$2000,0)+1,MATCH(H$2,vdata_regressors!$A$1:$R$1,0)),"")</f>
        <v/>
      </c>
      <c r="I741" s="23" t="str">
        <f>IFERROR(INDEX(vdata_regressors!$A$1:$L$2000,MATCH($A741,vdata_regressors!$A$2:$A$2000,0)+1,MATCH(I$2,vdata_regressors!$A$1:$R$1,0)),"")</f>
        <v/>
      </c>
      <c r="J741" s="23" t="str">
        <f>IFERROR(INDEX(vdata_regressors!$A$1:$L$2000,MATCH($A741,vdata_regressors!$A$2:$A$2000,0)+1,MATCH(J$2,vdata_regressors!$A$1:$R$1,0)),"")</f>
        <v/>
      </c>
      <c r="K741" s="23" t="str">
        <f>IFERROR(INDEX(vdata_regressors!$A$1:$L$2000,MATCH($A741,vdata_regressors!$A$2:$A$2000,0)+1,MATCH(K$2,vdata_regressors!$A$1:$R$1,0)),"")</f>
        <v/>
      </c>
      <c r="L741" s="23" t="str">
        <f>IFERROR(INDEX(vdata_regressors!$A$1:$L$2000,MATCH($A741,vdata_regressors!$A$2:$A$2000,0)+1,MATCH(L$2,vdata_regressors!$A$1:$R$1,0)),"")</f>
        <v/>
      </c>
      <c r="M741" s="23" t="str">
        <f>IFERROR(VLOOKUP(A741,vdata_hours!$A$2:$B$1000,2,FALSE),"")</f>
        <v/>
      </c>
    </row>
    <row r="742" spans="1:13" x14ac:dyDescent="0.25">
      <c r="A742" s="23" t="str">
        <f>IF(vdata_hours!A741=0,"",vdata_hours!A741)</f>
        <v/>
      </c>
      <c r="B742" s="23" t="str">
        <f>IFERROR(INDEX(vdata_regressors!$A$1:$L$2000,MATCH($A742,vdata_regressors!$A$2:$A$2000,0)+1,MATCH(B$2,vdata_regressors!$A$1:$R$1,0)),"")</f>
        <v/>
      </c>
      <c r="C742" s="23" t="str">
        <f>IFERROR(INDEX(vdata_regressors!$A$1:$L$2000,MATCH($A742,vdata_regressors!$A$2:$A$2000,0)+1,MATCH(C$2,vdata_regressors!$A$1:$R$1,0)),"")</f>
        <v/>
      </c>
      <c r="D742" s="23" t="str">
        <f>IFERROR(INDEX(vdata_regressors!$A$1:$L$2000,MATCH($A742,vdata_regressors!$A$2:$A$2000,0)+1,MATCH(D$2,vdata_regressors!$A$1:$R$1,0)),"")</f>
        <v/>
      </c>
      <c r="E742" s="23" t="str">
        <f>IFERROR(INDEX(vdata_regressors!$A$1:$L$2000,MATCH($A742,vdata_regressors!$A$2:$A$2000,0)+1,MATCH(E$2,vdata_regressors!$A$1:$R$1,0)),"")</f>
        <v/>
      </c>
      <c r="F742" s="23" t="str">
        <f>IFERROR(INDEX(vdata_regressors!$A$1:$L$2000,MATCH($A742,vdata_regressors!$A$2:$A$2000,0)+1,MATCH(F$2,vdata_regressors!$A$1:$R$1,0)),"")</f>
        <v/>
      </c>
      <c r="G742" s="23" t="str">
        <f>IFERROR(INDEX(vdata_regressors!$A$1:$L$2000,MATCH($A742,vdata_regressors!$A$2:$A$2000,0)+1,MATCH(G$2,vdata_regressors!$A$1:$R$1,0)),"")</f>
        <v/>
      </c>
      <c r="H742" s="23" t="str">
        <f>IFERROR(INDEX(vdata_regressors!$A$1:$L$2000,MATCH($A742,vdata_regressors!$A$2:$A$2000,0)+1,MATCH(H$2,vdata_regressors!$A$1:$R$1,0)),"")</f>
        <v/>
      </c>
      <c r="I742" s="23" t="str">
        <f>IFERROR(INDEX(vdata_regressors!$A$1:$L$2000,MATCH($A742,vdata_regressors!$A$2:$A$2000,0)+1,MATCH(I$2,vdata_regressors!$A$1:$R$1,0)),"")</f>
        <v/>
      </c>
      <c r="J742" s="23" t="str">
        <f>IFERROR(INDEX(vdata_regressors!$A$1:$L$2000,MATCH($A742,vdata_regressors!$A$2:$A$2000,0)+1,MATCH(J$2,vdata_regressors!$A$1:$R$1,0)),"")</f>
        <v/>
      </c>
      <c r="K742" s="23" t="str">
        <f>IFERROR(INDEX(vdata_regressors!$A$1:$L$2000,MATCH($A742,vdata_regressors!$A$2:$A$2000,0)+1,MATCH(K$2,vdata_regressors!$A$1:$R$1,0)),"")</f>
        <v/>
      </c>
      <c r="L742" s="23" t="str">
        <f>IFERROR(INDEX(vdata_regressors!$A$1:$L$2000,MATCH($A742,vdata_regressors!$A$2:$A$2000,0)+1,MATCH(L$2,vdata_regressors!$A$1:$R$1,0)),"")</f>
        <v/>
      </c>
      <c r="M742" s="23" t="str">
        <f>IFERROR(VLOOKUP(A742,vdata_hours!$A$2:$B$1000,2,FALSE),"")</f>
        <v/>
      </c>
    </row>
    <row r="743" spans="1:13" x14ac:dyDescent="0.25">
      <c r="A743" s="23" t="str">
        <f>IF(vdata_hours!A742=0,"",vdata_hours!A742)</f>
        <v/>
      </c>
      <c r="B743" s="23" t="str">
        <f>IFERROR(INDEX(vdata_regressors!$A$1:$L$2000,MATCH($A743,vdata_regressors!$A$2:$A$2000,0)+1,MATCH(B$2,vdata_regressors!$A$1:$R$1,0)),"")</f>
        <v/>
      </c>
      <c r="C743" s="23" t="str">
        <f>IFERROR(INDEX(vdata_regressors!$A$1:$L$2000,MATCH($A743,vdata_regressors!$A$2:$A$2000,0)+1,MATCH(C$2,vdata_regressors!$A$1:$R$1,0)),"")</f>
        <v/>
      </c>
      <c r="D743" s="23" t="str">
        <f>IFERROR(INDEX(vdata_regressors!$A$1:$L$2000,MATCH($A743,vdata_regressors!$A$2:$A$2000,0)+1,MATCH(D$2,vdata_regressors!$A$1:$R$1,0)),"")</f>
        <v/>
      </c>
      <c r="E743" s="23" t="str">
        <f>IFERROR(INDEX(vdata_regressors!$A$1:$L$2000,MATCH($A743,vdata_regressors!$A$2:$A$2000,0)+1,MATCH(E$2,vdata_regressors!$A$1:$R$1,0)),"")</f>
        <v/>
      </c>
      <c r="F743" s="23" t="str">
        <f>IFERROR(INDEX(vdata_regressors!$A$1:$L$2000,MATCH($A743,vdata_regressors!$A$2:$A$2000,0)+1,MATCH(F$2,vdata_regressors!$A$1:$R$1,0)),"")</f>
        <v/>
      </c>
      <c r="G743" s="23" t="str">
        <f>IFERROR(INDEX(vdata_regressors!$A$1:$L$2000,MATCH($A743,vdata_regressors!$A$2:$A$2000,0)+1,MATCH(G$2,vdata_regressors!$A$1:$R$1,0)),"")</f>
        <v/>
      </c>
      <c r="H743" s="23" t="str">
        <f>IFERROR(INDEX(vdata_regressors!$A$1:$L$2000,MATCH($A743,vdata_regressors!$A$2:$A$2000,0)+1,MATCH(H$2,vdata_regressors!$A$1:$R$1,0)),"")</f>
        <v/>
      </c>
      <c r="I743" s="23" t="str">
        <f>IFERROR(INDEX(vdata_regressors!$A$1:$L$2000,MATCH($A743,vdata_regressors!$A$2:$A$2000,0)+1,MATCH(I$2,vdata_regressors!$A$1:$R$1,0)),"")</f>
        <v/>
      </c>
      <c r="J743" s="23" t="str">
        <f>IFERROR(INDEX(vdata_regressors!$A$1:$L$2000,MATCH($A743,vdata_regressors!$A$2:$A$2000,0)+1,MATCH(J$2,vdata_regressors!$A$1:$R$1,0)),"")</f>
        <v/>
      </c>
      <c r="K743" s="23" t="str">
        <f>IFERROR(INDEX(vdata_regressors!$A$1:$L$2000,MATCH($A743,vdata_regressors!$A$2:$A$2000,0)+1,MATCH(K$2,vdata_regressors!$A$1:$R$1,0)),"")</f>
        <v/>
      </c>
      <c r="L743" s="23" t="str">
        <f>IFERROR(INDEX(vdata_regressors!$A$1:$L$2000,MATCH($A743,vdata_regressors!$A$2:$A$2000,0)+1,MATCH(L$2,vdata_regressors!$A$1:$R$1,0)),"")</f>
        <v/>
      </c>
      <c r="M743" s="23" t="str">
        <f>IFERROR(VLOOKUP(A743,vdata_hours!$A$2:$B$1000,2,FALSE),"")</f>
        <v/>
      </c>
    </row>
    <row r="744" spans="1:13" x14ac:dyDescent="0.25">
      <c r="A744" s="23" t="str">
        <f>IF(vdata_hours!A743=0,"",vdata_hours!A743)</f>
        <v/>
      </c>
      <c r="B744" s="23" t="str">
        <f>IFERROR(INDEX(vdata_regressors!$A$1:$L$2000,MATCH($A744,vdata_regressors!$A$2:$A$2000,0)+1,MATCH(B$2,vdata_regressors!$A$1:$R$1,0)),"")</f>
        <v/>
      </c>
      <c r="C744" s="23" t="str">
        <f>IFERROR(INDEX(vdata_regressors!$A$1:$L$2000,MATCH($A744,vdata_regressors!$A$2:$A$2000,0)+1,MATCH(C$2,vdata_regressors!$A$1:$R$1,0)),"")</f>
        <v/>
      </c>
      <c r="D744" s="23" t="str">
        <f>IFERROR(INDEX(vdata_regressors!$A$1:$L$2000,MATCH($A744,vdata_regressors!$A$2:$A$2000,0)+1,MATCH(D$2,vdata_regressors!$A$1:$R$1,0)),"")</f>
        <v/>
      </c>
      <c r="E744" s="23" t="str">
        <f>IFERROR(INDEX(vdata_regressors!$A$1:$L$2000,MATCH($A744,vdata_regressors!$A$2:$A$2000,0)+1,MATCH(E$2,vdata_regressors!$A$1:$R$1,0)),"")</f>
        <v/>
      </c>
      <c r="F744" s="23" t="str">
        <f>IFERROR(INDEX(vdata_regressors!$A$1:$L$2000,MATCH($A744,vdata_regressors!$A$2:$A$2000,0)+1,MATCH(F$2,vdata_regressors!$A$1:$R$1,0)),"")</f>
        <v/>
      </c>
      <c r="G744" s="23" t="str">
        <f>IFERROR(INDEX(vdata_regressors!$A$1:$L$2000,MATCH($A744,vdata_regressors!$A$2:$A$2000,0)+1,MATCH(G$2,vdata_regressors!$A$1:$R$1,0)),"")</f>
        <v/>
      </c>
      <c r="H744" s="23" t="str">
        <f>IFERROR(INDEX(vdata_regressors!$A$1:$L$2000,MATCH($A744,vdata_regressors!$A$2:$A$2000,0)+1,MATCH(H$2,vdata_regressors!$A$1:$R$1,0)),"")</f>
        <v/>
      </c>
      <c r="I744" s="23" t="str">
        <f>IFERROR(INDEX(vdata_regressors!$A$1:$L$2000,MATCH($A744,vdata_regressors!$A$2:$A$2000,0)+1,MATCH(I$2,vdata_regressors!$A$1:$R$1,0)),"")</f>
        <v/>
      </c>
      <c r="J744" s="23" t="str">
        <f>IFERROR(INDEX(vdata_regressors!$A$1:$L$2000,MATCH($A744,vdata_regressors!$A$2:$A$2000,0)+1,MATCH(J$2,vdata_regressors!$A$1:$R$1,0)),"")</f>
        <v/>
      </c>
      <c r="K744" s="23" t="str">
        <f>IFERROR(INDEX(vdata_regressors!$A$1:$L$2000,MATCH($A744,vdata_regressors!$A$2:$A$2000,0)+1,MATCH(K$2,vdata_regressors!$A$1:$R$1,0)),"")</f>
        <v/>
      </c>
      <c r="L744" s="23" t="str">
        <f>IFERROR(INDEX(vdata_regressors!$A$1:$L$2000,MATCH($A744,vdata_regressors!$A$2:$A$2000,0)+1,MATCH(L$2,vdata_regressors!$A$1:$R$1,0)),"")</f>
        <v/>
      </c>
      <c r="M744" s="23" t="str">
        <f>IFERROR(VLOOKUP(A744,vdata_hours!$A$2:$B$1000,2,FALSE),"")</f>
        <v/>
      </c>
    </row>
    <row r="745" spans="1:13" x14ac:dyDescent="0.25">
      <c r="A745" s="23" t="str">
        <f>IF(vdata_hours!A744=0,"",vdata_hours!A744)</f>
        <v/>
      </c>
      <c r="B745" s="23" t="str">
        <f>IFERROR(INDEX(vdata_regressors!$A$1:$L$2000,MATCH($A745,vdata_regressors!$A$2:$A$2000,0)+1,MATCH(B$2,vdata_regressors!$A$1:$R$1,0)),"")</f>
        <v/>
      </c>
      <c r="C745" s="23" t="str">
        <f>IFERROR(INDEX(vdata_regressors!$A$1:$L$2000,MATCH($A745,vdata_regressors!$A$2:$A$2000,0)+1,MATCH(C$2,vdata_regressors!$A$1:$R$1,0)),"")</f>
        <v/>
      </c>
      <c r="D745" s="23" t="str">
        <f>IFERROR(INDEX(vdata_regressors!$A$1:$L$2000,MATCH($A745,vdata_regressors!$A$2:$A$2000,0)+1,MATCH(D$2,vdata_regressors!$A$1:$R$1,0)),"")</f>
        <v/>
      </c>
      <c r="E745" s="23" t="str">
        <f>IFERROR(INDEX(vdata_regressors!$A$1:$L$2000,MATCH($A745,vdata_regressors!$A$2:$A$2000,0)+1,MATCH(E$2,vdata_regressors!$A$1:$R$1,0)),"")</f>
        <v/>
      </c>
      <c r="F745" s="23" t="str">
        <f>IFERROR(INDEX(vdata_regressors!$A$1:$L$2000,MATCH($A745,vdata_regressors!$A$2:$A$2000,0)+1,MATCH(F$2,vdata_regressors!$A$1:$R$1,0)),"")</f>
        <v/>
      </c>
      <c r="G745" s="23" t="str">
        <f>IFERROR(INDEX(vdata_regressors!$A$1:$L$2000,MATCH($A745,vdata_regressors!$A$2:$A$2000,0)+1,MATCH(G$2,vdata_regressors!$A$1:$R$1,0)),"")</f>
        <v/>
      </c>
      <c r="H745" s="23" t="str">
        <f>IFERROR(INDEX(vdata_regressors!$A$1:$L$2000,MATCH($A745,vdata_regressors!$A$2:$A$2000,0)+1,MATCH(H$2,vdata_regressors!$A$1:$R$1,0)),"")</f>
        <v/>
      </c>
      <c r="I745" s="23" t="str">
        <f>IFERROR(INDEX(vdata_regressors!$A$1:$L$2000,MATCH($A745,vdata_regressors!$A$2:$A$2000,0)+1,MATCH(I$2,vdata_regressors!$A$1:$R$1,0)),"")</f>
        <v/>
      </c>
      <c r="J745" s="23" t="str">
        <f>IFERROR(INDEX(vdata_regressors!$A$1:$L$2000,MATCH($A745,vdata_regressors!$A$2:$A$2000,0)+1,MATCH(J$2,vdata_regressors!$A$1:$R$1,0)),"")</f>
        <v/>
      </c>
      <c r="K745" s="23" t="str">
        <f>IFERROR(INDEX(vdata_regressors!$A$1:$L$2000,MATCH($A745,vdata_regressors!$A$2:$A$2000,0)+1,MATCH(K$2,vdata_regressors!$A$1:$R$1,0)),"")</f>
        <v/>
      </c>
      <c r="L745" s="23" t="str">
        <f>IFERROR(INDEX(vdata_regressors!$A$1:$L$2000,MATCH($A745,vdata_regressors!$A$2:$A$2000,0)+1,MATCH(L$2,vdata_regressors!$A$1:$R$1,0)),"")</f>
        <v/>
      </c>
      <c r="M745" s="23" t="str">
        <f>IFERROR(VLOOKUP(A745,vdata_hours!$A$2:$B$1000,2,FALSE),"")</f>
        <v/>
      </c>
    </row>
    <row r="746" spans="1:13" x14ac:dyDescent="0.25">
      <c r="A746" s="23" t="str">
        <f>IF(vdata_hours!A745=0,"",vdata_hours!A745)</f>
        <v/>
      </c>
      <c r="B746" s="23" t="str">
        <f>IFERROR(INDEX(vdata_regressors!$A$1:$L$2000,MATCH($A746,vdata_regressors!$A$2:$A$2000,0)+1,MATCH(B$2,vdata_regressors!$A$1:$R$1,0)),"")</f>
        <v/>
      </c>
      <c r="C746" s="23" t="str">
        <f>IFERROR(INDEX(vdata_regressors!$A$1:$L$2000,MATCH($A746,vdata_regressors!$A$2:$A$2000,0)+1,MATCH(C$2,vdata_regressors!$A$1:$R$1,0)),"")</f>
        <v/>
      </c>
      <c r="D746" s="23" t="str">
        <f>IFERROR(INDEX(vdata_regressors!$A$1:$L$2000,MATCH($A746,vdata_regressors!$A$2:$A$2000,0)+1,MATCH(D$2,vdata_regressors!$A$1:$R$1,0)),"")</f>
        <v/>
      </c>
      <c r="E746" s="23" t="str">
        <f>IFERROR(INDEX(vdata_regressors!$A$1:$L$2000,MATCH($A746,vdata_regressors!$A$2:$A$2000,0)+1,MATCH(E$2,vdata_regressors!$A$1:$R$1,0)),"")</f>
        <v/>
      </c>
      <c r="F746" s="23" t="str">
        <f>IFERROR(INDEX(vdata_regressors!$A$1:$L$2000,MATCH($A746,vdata_regressors!$A$2:$A$2000,0)+1,MATCH(F$2,vdata_regressors!$A$1:$R$1,0)),"")</f>
        <v/>
      </c>
      <c r="G746" s="23" t="str">
        <f>IFERROR(INDEX(vdata_regressors!$A$1:$L$2000,MATCH($A746,vdata_regressors!$A$2:$A$2000,0)+1,MATCH(G$2,vdata_regressors!$A$1:$R$1,0)),"")</f>
        <v/>
      </c>
      <c r="H746" s="23" t="str">
        <f>IFERROR(INDEX(vdata_regressors!$A$1:$L$2000,MATCH($A746,vdata_regressors!$A$2:$A$2000,0)+1,MATCH(H$2,vdata_regressors!$A$1:$R$1,0)),"")</f>
        <v/>
      </c>
      <c r="I746" s="23" t="str">
        <f>IFERROR(INDEX(vdata_regressors!$A$1:$L$2000,MATCH($A746,vdata_regressors!$A$2:$A$2000,0)+1,MATCH(I$2,vdata_regressors!$A$1:$R$1,0)),"")</f>
        <v/>
      </c>
      <c r="J746" s="23" t="str">
        <f>IFERROR(INDEX(vdata_regressors!$A$1:$L$2000,MATCH($A746,vdata_regressors!$A$2:$A$2000,0)+1,MATCH(J$2,vdata_regressors!$A$1:$R$1,0)),"")</f>
        <v/>
      </c>
      <c r="K746" s="23" t="str">
        <f>IFERROR(INDEX(vdata_regressors!$A$1:$L$2000,MATCH($A746,vdata_regressors!$A$2:$A$2000,0)+1,MATCH(K$2,vdata_regressors!$A$1:$R$1,0)),"")</f>
        <v/>
      </c>
      <c r="L746" s="23" t="str">
        <f>IFERROR(INDEX(vdata_regressors!$A$1:$L$2000,MATCH($A746,vdata_regressors!$A$2:$A$2000,0)+1,MATCH(L$2,vdata_regressors!$A$1:$R$1,0)),"")</f>
        <v/>
      </c>
      <c r="M746" s="23" t="str">
        <f>IFERROR(VLOOKUP(A746,vdata_hours!$A$2:$B$1000,2,FALSE),"")</f>
        <v/>
      </c>
    </row>
    <row r="747" spans="1:13" x14ac:dyDescent="0.25">
      <c r="A747" s="23" t="str">
        <f>IF(vdata_hours!A746=0,"",vdata_hours!A746)</f>
        <v/>
      </c>
      <c r="B747" s="23" t="str">
        <f>IFERROR(INDEX(vdata_regressors!$A$1:$L$2000,MATCH($A747,vdata_regressors!$A$2:$A$2000,0)+1,MATCH(B$2,vdata_regressors!$A$1:$R$1,0)),"")</f>
        <v/>
      </c>
      <c r="C747" s="23" t="str">
        <f>IFERROR(INDEX(vdata_regressors!$A$1:$L$2000,MATCH($A747,vdata_regressors!$A$2:$A$2000,0)+1,MATCH(C$2,vdata_regressors!$A$1:$R$1,0)),"")</f>
        <v/>
      </c>
      <c r="D747" s="23" t="str">
        <f>IFERROR(INDEX(vdata_regressors!$A$1:$L$2000,MATCH($A747,vdata_regressors!$A$2:$A$2000,0)+1,MATCH(D$2,vdata_regressors!$A$1:$R$1,0)),"")</f>
        <v/>
      </c>
      <c r="E747" s="23" t="str">
        <f>IFERROR(INDEX(vdata_regressors!$A$1:$L$2000,MATCH($A747,vdata_regressors!$A$2:$A$2000,0)+1,MATCH(E$2,vdata_regressors!$A$1:$R$1,0)),"")</f>
        <v/>
      </c>
      <c r="F747" s="23" t="str">
        <f>IFERROR(INDEX(vdata_regressors!$A$1:$L$2000,MATCH($A747,vdata_regressors!$A$2:$A$2000,0)+1,MATCH(F$2,vdata_regressors!$A$1:$R$1,0)),"")</f>
        <v/>
      </c>
      <c r="G747" s="23" t="str">
        <f>IFERROR(INDEX(vdata_regressors!$A$1:$L$2000,MATCH($A747,vdata_regressors!$A$2:$A$2000,0)+1,MATCH(G$2,vdata_regressors!$A$1:$R$1,0)),"")</f>
        <v/>
      </c>
      <c r="H747" s="23" t="str">
        <f>IFERROR(INDEX(vdata_regressors!$A$1:$L$2000,MATCH($A747,vdata_regressors!$A$2:$A$2000,0)+1,MATCH(H$2,vdata_regressors!$A$1:$R$1,0)),"")</f>
        <v/>
      </c>
      <c r="I747" s="23" t="str">
        <f>IFERROR(INDEX(vdata_regressors!$A$1:$L$2000,MATCH($A747,vdata_regressors!$A$2:$A$2000,0)+1,MATCH(I$2,vdata_regressors!$A$1:$R$1,0)),"")</f>
        <v/>
      </c>
      <c r="J747" s="23" t="str">
        <f>IFERROR(INDEX(vdata_regressors!$A$1:$L$2000,MATCH($A747,vdata_regressors!$A$2:$A$2000,0)+1,MATCH(J$2,vdata_regressors!$A$1:$R$1,0)),"")</f>
        <v/>
      </c>
      <c r="K747" s="23" t="str">
        <f>IFERROR(INDEX(vdata_regressors!$A$1:$L$2000,MATCH($A747,vdata_regressors!$A$2:$A$2000,0)+1,MATCH(K$2,vdata_regressors!$A$1:$R$1,0)),"")</f>
        <v/>
      </c>
      <c r="L747" s="23" t="str">
        <f>IFERROR(INDEX(vdata_regressors!$A$1:$L$2000,MATCH($A747,vdata_regressors!$A$2:$A$2000,0)+1,MATCH(L$2,vdata_regressors!$A$1:$R$1,0)),"")</f>
        <v/>
      </c>
      <c r="M747" s="23" t="str">
        <f>IFERROR(VLOOKUP(A747,vdata_hours!$A$2:$B$1000,2,FALSE),"")</f>
        <v/>
      </c>
    </row>
    <row r="748" spans="1:13" x14ac:dyDescent="0.25">
      <c r="A748" s="23" t="str">
        <f>IF(vdata_hours!A747=0,"",vdata_hours!A747)</f>
        <v/>
      </c>
      <c r="B748" s="23" t="str">
        <f>IFERROR(INDEX(vdata_regressors!$A$1:$L$2000,MATCH($A748,vdata_regressors!$A$2:$A$2000,0)+1,MATCH(B$2,vdata_regressors!$A$1:$R$1,0)),"")</f>
        <v/>
      </c>
      <c r="C748" s="23" t="str">
        <f>IFERROR(INDEX(vdata_regressors!$A$1:$L$2000,MATCH($A748,vdata_regressors!$A$2:$A$2000,0)+1,MATCH(C$2,vdata_regressors!$A$1:$R$1,0)),"")</f>
        <v/>
      </c>
      <c r="D748" s="23" t="str">
        <f>IFERROR(INDEX(vdata_regressors!$A$1:$L$2000,MATCH($A748,vdata_regressors!$A$2:$A$2000,0)+1,MATCH(D$2,vdata_regressors!$A$1:$R$1,0)),"")</f>
        <v/>
      </c>
      <c r="E748" s="23" t="str">
        <f>IFERROR(INDEX(vdata_regressors!$A$1:$L$2000,MATCH($A748,vdata_regressors!$A$2:$A$2000,0)+1,MATCH(E$2,vdata_regressors!$A$1:$R$1,0)),"")</f>
        <v/>
      </c>
      <c r="F748" s="23" t="str">
        <f>IFERROR(INDEX(vdata_regressors!$A$1:$L$2000,MATCH($A748,vdata_regressors!$A$2:$A$2000,0)+1,MATCH(F$2,vdata_regressors!$A$1:$R$1,0)),"")</f>
        <v/>
      </c>
      <c r="G748" s="23" t="str">
        <f>IFERROR(INDEX(vdata_regressors!$A$1:$L$2000,MATCH($A748,vdata_regressors!$A$2:$A$2000,0)+1,MATCH(G$2,vdata_regressors!$A$1:$R$1,0)),"")</f>
        <v/>
      </c>
      <c r="H748" s="23" t="str">
        <f>IFERROR(INDEX(vdata_regressors!$A$1:$L$2000,MATCH($A748,vdata_regressors!$A$2:$A$2000,0)+1,MATCH(H$2,vdata_regressors!$A$1:$R$1,0)),"")</f>
        <v/>
      </c>
      <c r="I748" s="23" t="str">
        <f>IFERROR(INDEX(vdata_regressors!$A$1:$L$2000,MATCH($A748,vdata_regressors!$A$2:$A$2000,0)+1,MATCH(I$2,vdata_regressors!$A$1:$R$1,0)),"")</f>
        <v/>
      </c>
      <c r="J748" s="23" t="str">
        <f>IFERROR(INDEX(vdata_regressors!$A$1:$L$2000,MATCH($A748,vdata_regressors!$A$2:$A$2000,0)+1,MATCH(J$2,vdata_regressors!$A$1:$R$1,0)),"")</f>
        <v/>
      </c>
      <c r="K748" s="23" t="str">
        <f>IFERROR(INDEX(vdata_regressors!$A$1:$L$2000,MATCH($A748,vdata_regressors!$A$2:$A$2000,0)+1,MATCH(K$2,vdata_regressors!$A$1:$R$1,0)),"")</f>
        <v/>
      </c>
      <c r="L748" s="23" t="str">
        <f>IFERROR(INDEX(vdata_regressors!$A$1:$L$2000,MATCH($A748,vdata_regressors!$A$2:$A$2000,0)+1,MATCH(L$2,vdata_regressors!$A$1:$R$1,0)),"")</f>
        <v/>
      </c>
      <c r="M748" s="23" t="str">
        <f>IFERROR(VLOOKUP(A748,vdata_hours!$A$2:$B$1000,2,FALSE),"")</f>
        <v/>
      </c>
    </row>
    <row r="749" spans="1:13" x14ac:dyDescent="0.25">
      <c r="A749" s="23" t="str">
        <f>IF(vdata_hours!A748=0,"",vdata_hours!A748)</f>
        <v/>
      </c>
      <c r="B749" s="23" t="str">
        <f>IFERROR(INDEX(vdata_regressors!$A$1:$L$2000,MATCH($A749,vdata_regressors!$A$2:$A$2000,0)+1,MATCH(B$2,vdata_regressors!$A$1:$R$1,0)),"")</f>
        <v/>
      </c>
      <c r="C749" s="23" t="str">
        <f>IFERROR(INDEX(vdata_regressors!$A$1:$L$2000,MATCH($A749,vdata_regressors!$A$2:$A$2000,0)+1,MATCH(C$2,vdata_regressors!$A$1:$R$1,0)),"")</f>
        <v/>
      </c>
      <c r="D749" s="23" t="str">
        <f>IFERROR(INDEX(vdata_regressors!$A$1:$L$2000,MATCH($A749,vdata_regressors!$A$2:$A$2000,0)+1,MATCH(D$2,vdata_regressors!$A$1:$R$1,0)),"")</f>
        <v/>
      </c>
      <c r="E749" s="23" t="str">
        <f>IFERROR(INDEX(vdata_regressors!$A$1:$L$2000,MATCH($A749,vdata_regressors!$A$2:$A$2000,0)+1,MATCH(E$2,vdata_regressors!$A$1:$R$1,0)),"")</f>
        <v/>
      </c>
      <c r="F749" s="23" t="str">
        <f>IFERROR(INDEX(vdata_regressors!$A$1:$L$2000,MATCH($A749,vdata_regressors!$A$2:$A$2000,0)+1,MATCH(F$2,vdata_regressors!$A$1:$R$1,0)),"")</f>
        <v/>
      </c>
      <c r="G749" s="23" t="str">
        <f>IFERROR(INDEX(vdata_regressors!$A$1:$L$2000,MATCH($A749,vdata_regressors!$A$2:$A$2000,0)+1,MATCH(G$2,vdata_regressors!$A$1:$R$1,0)),"")</f>
        <v/>
      </c>
      <c r="H749" s="23" t="str">
        <f>IFERROR(INDEX(vdata_regressors!$A$1:$L$2000,MATCH($A749,vdata_regressors!$A$2:$A$2000,0)+1,MATCH(H$2,vdata_regressors!$A$1:$R$1,0)),"")</f>
        <v/>
      </c>
      <c r="I749" s="23" t="str">
        <f>IFERROR(INDEX(vdata_regressors!$A$1:$L$2000,MATCH($A749,vdata_regressors!$A$2:$A$2000,0)+1,MATCH(I$2,vdata_regressors!$A$1:$R$1,0)),"")</f>
        <v/>
      </c>
      <c r="J749" s="23" t="str">
        <f>IFERROR(INDEX(vdata_regressors!$A$1:$L$2000,MATCH($A749,vdata_regressors!$A$2:$A$2000,0)+1,MATCH(J$2,vdata_regressors!$A$1:$R$1,0)),"")</f>
        <v/>
      </c>
      <c r="K749" s="23" t="str">
        <f>IFERROR(INDEX(vdata_regressors!$A$1:$L$2000,MATCH($A749,vdata_regressors!$A$2:$A$2000,0)+1,MATCH(K$2,vdata_regressors!$A$1:$R$1,0)),"")</f>
        <v/>
      </c>
      <c r="L749" s="23" t="str">
        <f>IFERROR(INDEX(vdata_regressors!$A$1:$L$2000,MATCH($A749,vdata_regressors!$A$2:$A$2000,0)+1,MATCH(L$2,vdata_regressors!$A$1:$R$1,0)),"")</f>
        <v/>
      </c>
      <c r="M749" s="23" t="str">
        <f>IFERROR(VLOOKUP(A749,vdata_hours!$A$2:$B$1000,2,FALSE),"")</f>
        <v/>
      </c>
    </row>
    <row r="750" spans="1:13" x14ac:dyDescent="0.25">
      <c r="A750" s="23" t="str">
        <f>IF(vdata_hours!A749=0,"",vdata_hours!A749)</f>
        <v/>
      </c>
      <c r="B750" s="23" t="str">
        <f>IFERROR(INDEX(vdata_regressors!$A$1:$L$2000,MATCH($A750,vdata_regressors!$A$2:$A$2000,0)+1,MATCH(B$2,vdata_regressors!$A$1:$R$1,0)),"")</f>
        <v/>
      </c>
      <c r="C750" s="23" t="str">
        <f>IFERROR(INDEX(vdata_regressors!$A$1:$L$2000,MATCH($A750,vdata_regressors!$A$2:$A$2000,0)+1,MATCH(C$2,vdata_regressors!$A$1:$R$1,0)),"")</f>
        <v/>
      </c>
      <c r="D750" s="23" t="str">
        <f>IFERROR(INDEX(vdata_regressors!$A$1:$L$2000,MATCH($A750,vdata_regressors!$A$2:$A$2000,0)+1,MATCH(D$2,vdata_regressors!$A$1:$R$1,0)),"")</f>
        <v/>
      </c>
      <c r="E750" s="23" t="str">
        <f>IFERROR(INDEX(vdata_regressors!$A$1:$L$2000,MATCH($A750,vdata_regressors!$A$2:$A$2000,0)+1,MATCH(E$2,vdata_regressors!$A$1:$R$1,0)),"")</f>
        <v/>
      </c>
      <c r="F750" s="23" t="str">
        <f>IFERROR(INDEX(vdata_regressors!$A$1:$L$2000,MATCH($A750,vdata_regressors!$A$2:$A$2000,0)+1,MATCH(F$2,vdata_regressors!$A$1:$R$1,0)),"")</f>
        <v/>
      </c>
      <c r="G750" s="23" t="str">
        <f>IFERROR(INDEX(vdata_regressors!$A$1:$L$2000,MATCH($A750,vdata_regressors!$A$2:$A$2000,0)+1,MATCH(G$2,vdata_regressors!$A$1:$R$1,0)),"")</f>
        <v/>
      </c>
      <c r="H750" s="23" t="str">
        <f>IFERROR(INDEX(vdata_regressors!$A$1:$L$2000,MATCH($A750,vdata_regressors!$A$2:$A$2000,0)+1,MATCH(H$2,vdata_regressors!$A$1:$R$1,0)),"")</f>
        <v/>
      </c>
      <c r="I750" s="23" t="str">
        <f>IFERROR(INDEX(vdata_regressors!$A$1:$L$2000,MATCH($A750,vdata_regressors!$A$2:$A$2000,0)+1,MATCH(I$2,vdata_regressors!$A$1:$R$1,0)),"")</f>
        <v/>
      </c>
      <c r="J750" s="23" t="str">
        <f>IFERROR(INDEX(vdata_regressors!$A$1:$L$2000,MATCH($A750,vdata_regressors!$A$2:$A$2000,0)+1,MATCH(J$2,vdata_regressors!$A$1:$R$1,0)),"")</f>
        <v/>
      </c>
      <c r="K750" s="23" t="str">
        <f>IFERROR(INDEX(vdata_regressors!$A$1:$L$2000,MATCH($A750,vdata_regressors!$A$2:$A$2000,0)+1,MATCH(K$2,vdata_regressors!$A$1:$R$1,0)),"")</f>
        <v/>
      </c>
      <c r="L750" s="23" t="str">
        <f>IFERROR(INDEX(vdata_regressors!$A$1:$L$2000,MATCH($A750,vdata_regressors!$A$2:$A$2000,0)+1,MATCH(L$2,vdata_regressors!$A$1:$R$1,0)),"")</f>
        <v/>
      </c>
      <c r="M750" s="23" t="str">
        <f>IFERROR(VLOOKUP(A750,vdata_hours!$A$2:$B$1000,2,FALSE),"")</f>
        <v/>
      </c>
    </row>
    <row r="751" spans="1:13" x14ac:dyDescent="0.25">
      <c r="A751" s="23" t="str">
        <f>IF(vdata_hours!A750=0,"",vdata_hours!A750)</f>
        <v/>
      </c>
      <c r="B751" s="23" t="str">
        <f>IFERROR(INDEX(vdata_regressors!$A$1:$L$2000,MATCH($A751,vdata_regressors!$A$2:$A$2000,0)+1,MATCH(B$2,vdata_regressors!$A$1:$R$1,0)),"")</f>
        <v/>
      </c>
      <c r="C751" s="23" t="str">
        <f>IFERROR(INDEX(vdata_regressors!$A$1:$L$2000,MATCH($A751,vdata_regressors!$A$2:$A$2000,0)+1,MATCH(C$2,vdata_regressors!$A$1:$R$1,0)),"")</f>
        <v/>
      </c>
      <c r="D751" s="23" t="str">
        <f>IFERROR(INDEX(vdata_regressors!$A$1:$L$2000,MATCH($A751,vdata_regressors!$A$2:$A$2000,0)+1,MATCH(D$2,vdata_regressors!$A$1:$R$1,0)),"")</f>
        <v/>
      </c>
      <c r="E751" s="23" t="str">
        <f>IFERROR(INDEX(vdata_regressors!$A$1:$L$2000,MATCH($A751,vdata_regressors!$A$2:$A$2000,0)+1,MATCH(E$2,vdata_regressors!$A$1:$R$1,0)),"")</f>
        <v/>
      </c>
      <c r="F751" s="23" t="str">
        <f>IFERROR(INDEX(vdata_regressors!$A$1:$L$2000,MATCH($A751,vdata_regressors!$A$2:$A$2000,0)+1,MATCH(F$2,vdata_regressors!$A$1:$R$1,0)),"")</f>
        <v/>
      </c>
      <c r="G751" s="23" t="str">
        <f>IFERROR(INDEX(vdata_regressors!$A$1:$L$2000,MATCH($A751,vdata_regressors!$A$2:$A$2000,0)+1,MATCH(G$2,vdata_regressors!$A$1:$R$1,0)),"")</f>
        <v/>
      </c>
      <c r="H751" s="23" t="str">
        <f>IFERROR(INDEX(vdata_regressors!$A$1:$L$2000,MATCH($A751,vdata_regressors!$A$2:$A$2000,0)+1,MATCH(H$2,vdata_regressors!$A$1:$R$1,0)),"")</f>
        <v/>
      </c>
      <c r="I751" s="23" t="str">
        <f>IFERROR(INDEX(vdata_regressors!$A$1:$L$2000,MATCH($A751,vdata_regressors!$A$2:$A$2000,0)+1,MATCH(I$2,vdata_regressors!$A$1:$R$1,0)),"")</f>
        <v/>
      </c>
      <c r="J751" s="23" t="str">
        <f>IFERROR(INDEX(vdata_regressors!$A$1:$L$2000,MATCH($A751,vdata_regressors!$A$2:$A$2000,0)+1,MATCH(J$2,vdata_regressors!$A$1:$R$1,0)),"")</f>
        <v/>
      </c>
      <c r="K751" s="23" t="str">
        <f>IFERROR(INDEX(vdata_regressors!$A$1:$L$2000,MATCH($A751,vdata_regressors!$A$2:$A$2000,0)+1,MATCH(K$2,vdata_regressors!$A$1:$R$1,0)),"")</f>
        <v/>
      </c>
      <c r="L751" s="23" t="str">
        <f>IFERROR(INDEX(vdata_regressors!$A$1:$L$2000,MATCH($A751,vdata_regressors!$A$2:$A$2000,0)+1,MATCH(L$2,vdata_regressors!$A$1:$R$1,0)),"")</f>
        <v/>
      </c>
      <c r="M751" s="23" t="str">
        <f>IFERROR(VLOOKUP(A751,vdata_hours!$A$2:$B$1000,2,FALSE),"")</f>
        <v/>
      </c>
    </row>
    <row r="752" spans="1:13" x14ac:dyDescent="0.25">
      <c r="A752" s="23" t="str">
        <f>IF(vdata_hours!A751=0,"",vdata_hours!A751)</f>
        <v/>
      </c>
      <c r="B752" s="23" t="str">
        <f>IFERROR(INDEX(vdata_regressors!$A$1:$L$2000,MATCH($A752,vdata_regressors!$A$2:$A$2000,0)+1,MATCH(B$2,vdata_regressors!$A$1:$R$1,0)),"")</f>
        <v/>
      </c>
      <c r="C752" s="23" t="str">
        <f>IFERROR(INDEX(vdata_regressors!$A$1:$L$2000,MATCH($A752,vdata_regressors!$A$2:$A$2000,0)+1,MATCH(C$2,vdata_regressors!$A$1:$R$1,0)),"")</f>
        <v/>
      </c>
      <c r="D752" s="23" t="str">
        <f>IFERROR(INDEX(vdata_regressors!$A$1:$L$2000,MATCH($A752,vdata_regressors!$A$2:$A$2000,0)+1,MATCH(D$2,vdata_regressors!$A$1:$R$1,0)),"")</f>
        <v/>
      </c>
      <c r="E752" s="23" t="str">
        <f>IFERROR(INDEX(vdata_regressors!$A$1:$L$2000,MATCH($A752,vdata_regressors!$A$2:$A$2000,0)+1,MATCH(E$2,vdata_regressors!$A$1:$R$1,0)),"")</f>
        <v/>
      </c>
      <c r="F752" s="23" t="str">
        <f>IFERROR(INDEX(vdata_regressors!$A$1:$L$2000,MATCH($A752,vdata_regressors!$A$2:$A$2000,0)+1,MATCH(F$2,vdata_regressors!$A$1:$R$1,0)),"")</f>
        <v/>
      </c>
      <c r="G752" s="23" t="str">
        <f>IFERROR(INDEX(vdata_regressors!$A$1:$L$2000,MATCH($A752,vdata_regressors!$A$2:$A$2000,0)+1,MATCH(G$2,vdata_regressors!$A$1:$R$1,0)),"")</f>
        <v/>
      </c>
      <c r="H752" s="23" t="str">
        <f>IFERROR(INDEX(vdata_regressors!$A$1:$L$2000,MATCH($A752,vdata_regressors!$A$2:$A$2000,0)+1,MATCH(H$2,vdata_regressors!$A$1:$R$1,0)),"")</f>
        <v/>
      </c>
      <c r="I752" s="23" t="str">
        <f>IFERROR(INDEX(vdata_regressors!$A$1:$L$2000,MATCH($A752,vdata_regressors!$A$2:$A$2000,0)+1,MATCH(I$2,vdata_regressors!$A$1:$R$1,0)),"")</f>
        <v/>
      </c>
      <c r="J752" s="23" t="str">
        <f>IFERROR(INDEX(vdata_regressors!$A$1:$L$2000,MATCH($A752,vdata_regressors!$A$2:$A$2000,0)+1,MATCH(J$2,vdata_regressors!$A$1:$R$1,0)),"")</f>
        <v/>
      </c>
      <c r="K752" s="23" t="str">
        <f>IFERROR(INDEX(vdata_regressors!$A$1:$L$2000,MATCH($A752,vdata_regressors!$A$2:$A$2000,0)+1,MATCH(K$2,vdata_regressors!$A$1:$R$1,0)),"")</f>
        <v/>
      </c>
      <c r="L752" s="23" t="str">
        <f>IFERROR(INDEX(vdata_regressors!$A$1:$L$2000,MATCH($A752,vdata_regressors!$A$2:$A$2000,0)+1,MATCH(L$2,vdata_regressors!$A$1:$R$1,0)),"")</f>
        <v/>
      </c>
      <c r="M752" s="23" t="str">
        <f>IFERROR(VLOOKUP(A752,vdata_hours!$A$2:$B$1000,2,FALSE),"")</f>
        <v/>
      </c>
    </row>
    <row r="753" spans="1:13" x14ac:dyDescent="0.25">
      <c r="A753" s="23" t="str">
        <f>IF(vdata_hours!A752=0,"",vdata_hours!A752)</f>
        <v/>
      </c>
      <c r="B753" s="23" t="str">
        <f>IFERROR(INDEX(vdata_regressors!$A$1:$L$2000,MATCH($A753,vdata_regressors!$A$2:$A$2000,0)+1,MATCH(B$2,vdata_regressors!$A$1:$R$1,0)),"")</f>
        <v/>
      </c>
      <c r="C753" s="23" t="str">
        <f>IFERROR(INDEX(vdata_regressors!$A$1:$L$2000,MATCH($A753,vdata_regressors!$A$2:$A$2000,0)+1,MATCH(C$2,vdata_regressors!$A$1:$R$1,0)),"")</f>
        <v/>
      </c>
      <c r="D753" s="23" t="str">
        <f>IFERROR(INDEX(vdata_regressors!$A$1:$L$2000,MATCH($A753,vdata_regressors!$A$2:$A$2000,0)+1,MATCH(D$2,vdata_regressors!$A$1:$R$1,0)),"")</f>
        <v/>
      </c>
      <c r="E753" s="23" t="str">
        <f>IFERROR(INDEX(vdata_regressors!$A$1:$L$2000,MATCH($A753,vdata_regressors!$A$2:$A$2000,0)+1,MATCH(E$2,vdata_regressors!$A$1:$R$1,0)),"")</f>
        <v/>
      </c>
      <c r="F753" s="23" t="str">
        <f>IFERROR(INDEX(vdata_regressors!$A$1:$L$2000,MATCH($A753,vdata_regressors!$A$2:$A$2000,0)+1,MATCH(F$2,vdata_regressors!$A$1:$R$1,0)),"")</f>
        <v/>
      </c>
      <c r="G753" s="23" t="str">
        <f>IFERROR(INDEX(vdata_regressors!$A$1:$L$2000,MATCH($A753,vdata_regressors!$A$2:$A$2000,0)+1,MATCH(G$2,vdata_regressors!$A$1:$R$1,0)),"")</f>
        <v/>
      </c>
      <c r="H753" s="23" t="str">
        <f>IFERROR(INDEX(vdata_regressors!$A$1:$L$2000,MATCH($A753,vdata_regressors!$A$2:$A$2000,0)+1,MATCH(H$2,vdata_regressors!$A$1:$R$1,0)),"")</f>
        <v/>
      </c>
      <c r="I753" s="23" t="str">
        <f>IFERROR(INDEX(vdata_regressors!$A$1:$L$2000,MATCH($A753,vdata_regressors!$A$2:$A$2000,0)+1,MATCH(I$2,vdata_regressors!$A$1:$R$1,0)),"")</f>
        <v/>
      </c>
      <c r="J753" s="23" t="str">
        <f>IFERROR(INDEX(vdata_regressors!$A$1:$L$2000,MATCH($A753,vdata_regressors!$A$2:$A$2000,0)+1,MATCH(J$2,vdata_regressors!$A$1:$R$1,0)),"")</f>
        <v/>
      </c>
      <c r="K753" s="23" t="str">
        <f>IFERROR(INDEX(vdata_regressors!$A$1:$L$2000,MATCH($A753,vdata_regressors!$A$2:$A$2000,0)+1,MATCH(K$2,vdata_regressors!$A$1:$R$1,0)),"")</f>
        <v/>
      </c>
      <c r="L753" s="23" t="str">
        <f>IFERROR(INDEX(vdata_regressors!$A$1:$L$2000,MATCH($A753,vdata_regressors!$A$2:$A$2000,0)+1,MATCH(L$2,vdata_regressors!$A$1:$R$1,0)),"")</f>
        <v/>
      </c>
      <c r="M753" s="23" t="str">
        <f>IFERROR(VLOOKUP(A753,vdata_hours!$A$2:$B$1000,2,FALSE),"")</f>
        <v/>
      </c>
    </row>
    <row r="754" spans="1:13" x14ac:dyDescent="0.25">
      <c r="A754" s="23" t="str">
        <f>IF(vdata_hours!A753=0,"",vdata_hours!A753)</f>
        <v/>
      </c>
      <c r="B754" s="23" t="str">
        <f>IFERROR(INDEX(vdata_regressors!$A$1:$L$2000,MATCH($A754,vdata_regressors!$A$2:$A$2000,0)+1,MATCH(B$2,vdata_regressors!$A$1:$R$1,0)),"")</f>
        <v/>
      </c>
      <c r="C754" s="23" t="str">
        <f>IFERROR(INDEX(vdata_regressors!$A$1:$L$2000,MATCH($A754,vdata_regressors!$A$2:$A$2000,0)+1,MATCH(C$2,vdata_regressors!$A$1:$R$1,0)),"")</f>
        <v/>
      </c>
      <c r="D754" s="23" t="str">
        <f>IFERROR(INDEX(vdata_regressors!$A$1:$L$2000,MATCH($A754,vdata_regressors!$A$2:$A$2000,0)+1,MATCH(D$2,vdata_regressors!$A$1:$R$1,0)),"")</f>
        <v/>
      </c>
      <c r="E754" s="23" t="str">
        <f>IFERROR(INDEX(vdata_regressors!$A$1:$L$2000,MATCH($A754,vdata_regressors!$A$2:$A$2000,0)+1,MATCH(E$2,vdata_regressors!$A$1:$R$1,0)),"")</f>
        <v/>
      </c>
      <c r="F754" s="23" t="str">
        <f>IFERROR(INDEX(vdata_regressors!$A$1:$L$2000,MATCH($A754,vdata_regressors!$A$2:$A$2000,0)+1,MATCH(F$2,vdata_regressors!$A$1:$R$1,0)),"")</f>
        <v/>
      </c>
      <c r="G754" s="23" t="str">
        <f>IFERROR(INDEX(vdata_regressors!$A$1:$L$2000,MATCH($A754,vdata_regressors!$A$2:$A$2000,0)+1,MATCH(G$2,vdata_regressors!$A$1:$R$1,0)),"")</f>
        <v/>
      </c>
      <c r="H754" s="23" t="str">
        <f>IFERROR(INDEX(vdata_regressors!$A$1:$L$2000,MATCH($A754,vdata_regressors!$A$2:$A$2000,0)+1,MATCH(H$2,vdata_regressors!$A$1:$R$1,0)),"")</f>
        <v/>
      </c>
      <c r="I754" s="23" t="str">
        <f>IFERROR(INDEX(vdata_regressors!$A$1:$L$2000,MATCH($A754,vdata_regressors!$A$2:$A$2000,0)+1,MATCH(I$2,vdata_regressors!$A$1:$R$1,0)),"")</f>
        <v/>
      </c>
      <c r="J754" s="23" t="str">
        <f>IFERROR(INDEX(vdata_regressors!$A$1:$L$2000,MATCH($A754,vdata_regressors!$A$2:$A$2000,0)+1,MATCH(J$2,vdata_regressors!$A$1:$R$1,0)),"")</f>
        <v/>
      </c>
      <c r="K754" s="23" t="str">
        <f>IFERROR(INDEX(vdata_regressors!$A$1:$L$2000,MATCH($A754,vdata_regressors!$A$2:$A$2000,0)+1,MATCH(K$2,vdata_regressors!$A$1:$R$1,0)),"")</f>
        <v/>
      </c>
      <c r="L754" s="23" t="str">
        <f>IFERROR(INDEX(vdata_regressors!$A$1:$L$2000,MATCH($A754,vdata_regressors!$A$2:$A$2000,0)+1,MATCH(L$2,vdata_regressors!$A$1:$R$1,0)),"")</f>
        <v/>
      </c>
      <c r="M754" s="23" t="str">
        <f>IFERROR(VLOOKUP(A754,vdata_hours!$A$2:$B$1000,2,FALSE),"")</f>
        <v/>
      </c>
    </row>
    <row r="755" spans="1:13" x14ac:dyDescent="0.25">
      <c r="A755" s="23" t="str">
        <f>IF(vdata_hours!A754=0,"",vdata_hours!A754)</f>
        <v/>
      </c>
      <c r="B755" s="23" t="str">
        <f>IFERROR(INDEX(vdata_regressors!$A$1:$L$2000,MATCH($A755,vdata_regressors!$A$2:$A$2000,0)+1,MATCH(B$2,vdata_regressors!$A$1:$R$1,0)),"")</f>
        <v/>
      </c>
      <c r="C755" s="23" t="str">
        <f>IFERROR(INDEX(vdata_regressors!$A$1:$L$2000,MATCH($A755,vdata_regressors!$A$2:$A$2000,0)+1,MATCH(C$2,vdata_regressors!$A$1:$R$1,0)),"")</f>
        <v/>
      </c>
      <c r="D755" s="23" t="str">
        <f>IFERROR(INDEX(vdata_regressors!$A$1:$L$2000,MATCH($A755,vdata_regressors!$A$2:$A$2000,0)+1,MATCH(D$2,vdata_regressors!$A$1:$R$1,0)),"")</f>
        <v/>
      </c>
      <c r="E755" s="23" t="str">
        <f>IFERROR(INDEX(vdata_regressors!$A$1:$L$2000,MATCH($A755,vdata_regressors!$A$2:$A$2000,0)+1,MATCH(E$2,vdata_regressors!$A$1:$R$1,0)),"")</f>
        <v/>
      </c>
      <c r="F755" s="23" t="str">
        <f>IFERROR(INDEX(vdata_regressors!$A$1:$L$2000,MATCH($A755,vdata_regressors!$A$2:$A$2000,0)+1,MATCH(F$2,vdata_regressors!$A$1:$R$1,0)),"")</f>
        <v/>
      </c>
      <c r="G755" s="23" t="str">
        <f>IFERROR(INDEX(vdata_regressors!$A$1:$L$2000,MATCH($A755,vdata_regressors!$A$2:$A$2000,0)+1,MATCH(G$2,vdata_regressors!$A$1:$R$1,0)),"")</f>
        <v/>
      </c>
      <c r="H755" s="23" t="str">
        <f>IFERROR(INDEX(vdata_regressors!$A$1:$L$2000,MATCH($A755,vdata_regressors!$A$2:$A$2000,0)+1,MATCH(H$2,vdata_regressors!$A$1:$R$1,0)),"")</f>
        <v/>
      </c>
      <c r="I755" s="23" t="str">
        <f>IFERROR(INDEX(vdata_regressors!$A$1:$L$2000,MATCH($A755,vdata_regressors!$A$2:$A$2000,0)+1,MATCH(I$2,vdata_regressors!$A$1:$R$1,0)),"")</f>
        <v/>
      </c>
      <c r="J755" s="23" t="str">
        <f>IFERROR(INDEX(vdata_regressors!$A$1:$L$2000,MATCH($A755,vdata_regressors!$A$2:$A$2000,0)+1,MATCH(J$2,vdata_regressors!$A$1:$R$1,0)),"")</f>
        <v/>
      </c>
      <c r="K755" s="23" t="str">
        <f>IFERROR(INDEX(vdata_regressors!$A$1:$L$2000,MATCH($A755,vdata_regressors!$A$2:$A$2000,0)+1,MATCH(K$2,vdata_regressors!$A$1:$R$1,0)),"")</f>
        <v/>
      </c>
      <c r="L755" s="23" t="str">
        <f>IFERROR(INDEX(vdata_regressors!$A$1:$L$2000,MATCH($A755,vdata_regressors!$A$2:$A$2000,0)+1,MATCH(L$2,vdata_regressors!$A$1:$R$1,0)),"")</f>
        <v/>
      </c>
      <c r="M755" s="23" t="str">
        <f>IFERROR(VLOOKUP(A755,vdata_hours!$A$2:$B$1000,2,FALSE),"")</f>
        <v/>
      </c>
    </row>
    <row r="756" spans="1:13" x14ac:dyDescent="0.25">
      <c r="A756" s="23" t="str">
        <f>IF(vdata_hours!A755=0,"",vdata_hours!A755)</f>
        <v/>
      </c>
      <c r="B756" s="23" t="str">
        <f>IFERROR(INDEX(vdata_regressors!$A$1:$L$2000,MATCH($A756,vdata_regressors!$A$2:$A$2000,0)+1,MATCH(B$2,vdata_regressors!$A$1:$R$1,0)),"")</f>
        <v/>
      </c>
      <c r="C756" s="23" t="str">
        <f>IFERROR(INDEX(vdata_regressors!$A$1:$L$2000,MATCH($A756,vdata_regressors!$A$2:$A$2000,0)+1,MATCH(C$2,vdata_regressors!$A$1:$R$1,0)),"")</f>
        <v/>
      </c>
      <c r="D756" s="23" t="str">
        <f>IFERROR(INDEX(vdata_regressors!$A$1:$L$2000,MATCH($A756,vdata_regressors!$A$2:$A$2000,0)+1,MATCH(D$2,vdata_regressors!$A$1:$R$1,0)),"")</f>
        <v/>
      </c>
      <c r="E756" s="23" t="str">
        <f>IFERROR(INDEX(vdata_regressors!$A$1:$L$2000,MATCH($A756,vdata_regressors!$A$2:$A$2000,0)+1,MATCH(E$2,vdata_regressors!$A$1:$R$1,0)),"")</f>
        <v/>
      </c>
      <c r="F756" s="23" t="str">
        <f>IFERROR(INDEX(vdata_regressors!$A$1:$L$2000,MATCH($A756,vdata_regressors!$A$2:$A$2000,0)+1,MATCH(F$2,vdata_regressors!$A$1:$R$1,0)),"")</f>
        <v/>
      </c>
      <c r="G756" s="23" t="str">
        <f>IFERROR(INDEX(vdata_regressors!$A$1:$L$2000,MATCH($A756,vdata_regressors!$A$2:$A$2000,0)+1,MATCH(G$2,vdata_regressors!$A$1:$R$1,0)),"")</f>
        <v/>
      </c>
      <c r="H756" s="23" t="str">
        <f>IFERROR(INDEX(vdata_regressors!$A$1:$L$2000,MATCH($A756,vdata_regressors!$A$2:$A$2000,0)+1,MATCH(H$2,vdata_regressors!$A$1:$R$1,0)),"")</f>
        <v/>
      </c>
      <c r="I756" s="23" t="str">
        <f>IFERROR(INDEX(vdata_regressors!$A$1:$L$2000,MATCH($A756,vdata_regressors!$A$2:$A$2000,0)+1,MATCH(I$2,vdata_regressors!$A$1:$R$1,0)),"")</f>
        <v/>
      </c>
      <c r="J756" s="23" t="str">
        <f>IFERROR(INDEX(vdata_regressors!$A$1:$L$2000,MATCH($A756,vdata_regressors!$A$2:$A$2000,0)+1,MATCH(J$2,vdata_regressors!$A$1:$R$1,0)),"")</f>
        <v/>
      </c>
      <c r="K756" s="23" t="str">
        <f>IFERROR(INDEX(vdata_regressors!$A$1:$L$2000,MATCH($A756,vdata_regressors!$A$2:$A$2000,0)+1,MATCH(K$2,vdata_regressors!$A$1:$R$1,0)),"")</f>
        <v/>
      </c>
      <c r="L756" s="23" t="str">
        <f>IFERROR(INDEX(vdata_regressors!$A$1:$L$2000,MATCH($A756,vdata_regressors!$A$2:$A$2000,0)+1,MATCH(L$2,vdata_regressors!$A$1:$R$1,0)),"")</f>
        <v/>
      </c>
      <c r="M756" s="23" t="str">
        <f>IFERROR(VLOOKUP(A756,vdata_hours!$A$2:$B$1000,2,FALSE),"")</f>
        <v/>
      </c>
    </row>
    <row r="757" spans="1:13" x14ac:dyDescent="0.25">
      <c r="A757" s="23" t="str">
        <f>IF(vdata_hours!A756=0,"",vdata_hours!A756)</f>
        <v/>
      </c>
      <c r="B757" s="23" t="str">
        <f>IFERROR(INDEX(vdata_regressors!$A$1:$L$2000,MATCH($A757,vdata_regressors!$A$2:$A$2000,0)+1,MATCH(B$2,vdata_regressors!$A$1:$R$1,0)),"")</f>
        <v/>
      </c>
      <c r="C757" s="23" t="str">
        <f>IFERROR(INDEX(vdata_regressors!$A$1:$L$2000,MATCH($A757,vdata_regressors!$A$2:$A$2000,0)+1,MATCH(C$2,vdata_regressors!$A$1:$R$1,0)),"")</f>
        <v/>
      </c>
      <c r="D757" s="23" t="str">
        <f>IFERROR(INDEX(vdata_regressors!$A$1:$L$2000,MATCH($A757,vdata_regressors!$A$2:$A$2000,0)+1,MATCH(D$2,vdata_regressors!$A$1:$R$1,0)),"")</f>
        <v/>
      </c>
      <c r="E757" s="23" t="str">
        <f>IFERROR(INDEX(vdata_regressors!$A$1:$L$2000,MATCH($A757,vdata_regressors!$A$2:$A$2000,0)+1,MATCH(E$2,vdata_regressors!$A$1:$R$1,0)),"")</f>
        <v/>
      </c>
      <c r="F757" s="23" t="str">
        <f>IFERROR(INDEX(vdata_regressors!$A$1:$L$2000,MATCH($A757,vdata_regressors!$A$2:$A$2000,0)+1,MATCH(F$2,vdata_regressors!$A$1:$R$1,0)),"")</f>
        <v/>
      </c>
      <c r="G757" s="23" t="str">
        <f>IFERROR(INDEX(vdata_regressors!$A$1:$L$2000,MATCH($A757,vdata_regressors!$A$2:$A$2000,0)+1,MATCH(G$2,vdata_regressors!$A$1:$R$1,0)),"")</f>
        <v/>
      </c>
      <c r="H757" s="23" t="str">
        <f>IFERROR(INDEX(vdata_regressors!$A$1:$L$2000,MATCH($A757,vdata_regressors!$A$2:$A$2000,0)+1,MATCH(H$2,vdata_regressors!$A$1:$R$1,0)),"")</f>
        <v/>
      </c>
      <c r="I757" s="23" t="str">
        <f>IFERROR(INDEX(vdata_regressors!$A$1:$L$2000,MATCH($A757,vdata_regressors!$A$2:$A$2000,0)+1,MATCH(I$2,vdata_regressors!$A$1:$R$1,0)),"")</f>
        <v/>
      </c>
      <c r="J757" s="23" t="str">
        <f>IFERROR(INDEX(vdata_regressors!$A$1:$L$2000,MATCH($A757,vdata_regressors!$A$2:$A$2000,0)+1,MATCH(J$2,vdata_regressors!$A$1:$R$1,0)),"")</f>
        <v/>
      </c>
      <c r="K757" s="23" t="str">
        <f>IFERROR(INDEX(vdata_regressors!$A$1:$L$2000,MATCH($A757,vdata_regressors!$A$2:$A$2000,0)+1,MATCH(K$2,vdata_regressors!$A$1:$R$1,0)),"")</f>
        <v/>
      </c>
      <c r="L757" s="23" t="str">
        <f>IFERROR(INDEX(vdata_regressors!$A$1:$L$2000,MATCH($A757,vdata_regressors!$A$2:$A$2000,0)+1,MATCH(L$2,vdata_regressors!$A$1:$R$1,0)),"")</f>
        <v/>
      </c>
      <c r="M757" s="23" t="str">
        <f>IFERROR(VLOOKUP(A757,vdata_hours!$A$2:$B$1000,2,FALSE),"")</f>
        <v/>
      </c>
    </row>
    <row r="758" spans="1:13" x14ac:dyDescent="0.25">
      <c r="A758" s="23" t="str">
        <f>IF(vdata_hours!A757=0,"",vdata_hours!A757)</f>
        <v/>
      </c>
      <c r="B758" s="23" t="str">
        <f>IFERROR(INDEX(vdata_regressors!$A$1:$L$2000,MATCH($A758,vdata_regressors!$A$2:$A$2000,0)+1,MATCH(B$2,vdata_regressors!$A$1:$R$1,0)),"")</f>
        <v/>
      </c>
      <c r="C758" s="23" t="str">
        <f>IFERROR(INDEX(vdata_regressors!$A$1:$L$2000,MATCH($A758,vdata_regressors!$A$2:$A$2000,0)+1,MATCH(C$2,vdata_regressors!$A$1:$R$1,0)),"")</f>
        <v/>
      </c>
      <c r="D758" s="23" t="str">
        <f>IFERROR(INDEX(vdata_regressors!$A$1:$L$2000,MATCH($A758,vdata_regressors!$A$2:$A$2000,0)+1,MATCH(D$2,vdata_regressors!$A$1:$R$1,0)),"")</f>
        <v/>
      </c>
      <c r="E758" s="23" t="str">
        <f>IFERROR(INDEX(vdata_regressors!$A$1:$L$2000,MATCH($A758,vdata_regressors!$A$2:$A$2000,0)+1,MATCH(E$2,vdata_regressors!$A$1:$R$1,0)),"")</f>
        <v/>
      </c>
      <c r="F758" s="23" t="str">
        <f>IFERROR(INDEX(vdata_regressors!$A$1:$L$2000,MATCH($A758,vdata_regressors!$A$2:$A$2000,0)+1,MATCH(F$2,vdata_regressors!$A$1:$R$1,0)),"")</f>
        <v/>
      </c>
      <c r="G758" s="23" t="str">
        <f>IFERROR(INDEX(vdata_regressors!$A$1:$L$2000,MATCH($A758,vdata_regressors!$A$2:$A$2000,0)+1,MATCH(G$2,vdata_regressors!$A$1:$R$1,0)),"")</f>
        <v/>
      </c>
      <c r="H758" s="23" t="str">
        <f>IFERROR(INDEX(vdata_regressors!$A$1:$L$2000,MATCH($A758,vdata_regressors!$A$2:$A$2000,0)+1,MATCH(H$2,vdata_regressors!$A$1:$R$1,0)),"")</f>
        <v/>
      </c>
      <c r="I758" s="23" t="str">
        <f>IFERROR(INDEX(vdata_regressors!$A$1:$L$2000,MATCH($A758,vdata_regressors!$A$2:$A$2000,0)+1,MATCH(I$2,vdata_regressors!$A$1:$R$1,0)),"")</f>
        <v/>
      </c>
      <c r="J758" s="23" t="str">
        <f>IFERROR(INDEX(vdata_regressors!$A$1:$L$2000,MATCH($A758,vdata_regressors!$A$2:$A$2000,0)+1,MATCH(J$2,vdata_regressors!$A$1:$R$1,0)),"")</f>
        <v/>
      </c>
      <c r="K758" s="23" t="str">
        <f>IFERROR(INDEX(vdata_regressors!$A$1:$L$2000,MATCH($A758,vdata_regressors!$A$2:$A$2000,0)+1,MATCH(K$2,vdata_regressors!$A$1:$R$1,0)),"")</f>
        <v/>
      </c>
      <c r="L758" s="23" t="str">
        <f>IFERROR(INDEX(vdata_regressors!$A$1:$L$2000,MATCH($A758,vdata_regressors!$A$2:$A$2000,0)+1,MATCH(L$2,vdata_regressors!$A$1:$R$1,0)),"")</f>
        <v/>
      </c>
      <c r="M758" s="23" t="str">
        <f>IFERROR(VLOOKUP(A758,vdata_hours!$A$2:$B$1000,2,FALSE),"")</f>
        <v/>
      </c>
    </row>
    <row r="759" spans="1:13" x14ac:dyDescent="0.25">
      <c r="A759" s="23" t="str">
        <f>IF(vdata_hours!A758=0,"",vdata_hours!A758)</f>
        <v/>
      </c>
      <c r="B759" s="23" t="str">
        <f>IFERROR(INDEX(vdata_regressors!$A$1:$L$2000,MATCH($A759,vdata_regressors!$A$2:$A$2000,0)+1,MATCH(B$2,vdata_regressors!$A$1:$R$1,0)),"")</f>
        <v/>
      </c>
      <c r="C759" s="23" t="str">
        <f>IFERROR(INDEX(vdata_regressors!$A$1:$L$2000,MATCH($A759,vdata_regressors!$A$2:$A$2000,0)+1,MATCH(C$2,vdata_regressors!$A$1:$R$1,0)),"")</f>
        <v/>
      </c>
      <c r="D759" s="23" t="str">
        <f>IFERROR(INDEX(vdata_regressors!$A$1:$L$2000,MATCH($A759,vdata_regressors!$A$2:$A$2000,0)+1,MATCH(D$2,vdata_regressors!$A$1:$R$1,0)),"")</f>
        <v/>
      </c>
      <c r="E759" s="23" t="str">
        <f>IFERROR(INDEX(vdata_regressors!$A$1:$L$2000,MATCH($A759,vdata_regressors!$A$2:$A$2000,0)+1,MATCH(E$2,vdata_regressors!$A$1:$R$1,0)),"")</f>
        <v/>
      </c>
      <c r="F759" s="23" t="str">
        <f>IFERROR(INDEX(vdata_regressors!$A$1:$L$2000,MATCH($A759,vdata_regressors!$A$2:$A$2000,0)+1,MATCH(F$2,vdata_regressors!$A$1:$R$1,0)),"")</f>
        <v/>
      </c>
      <c r="G759" s="23" t="str">
        <f>IFERROR(INDEX(vdata_regressors!$A$1:$L$2000,MATCH($A759,vdata_regressors!$A$2:$A$2000,0)+1,MATCH(G$2,vdata_regressors!$A$1:$R$1,0)),"")</f>
        <v/>
      </c>
      <c r="H759" s="23" t="str">
        <f>IFERROR(INDEX(vdata_regressors!$A$1:$L$2000,MATCH($A759,vdata_regressors!$A$2:$A$2000,0)+1,MATCH(H$2,vdata_regressors!$A$1:$R$1,0)),"")</f>
        <v/>
      </c>
      <c r="I759" s="23" t="str">
        <f>IFERROR(INDEX(vdata_regressors!$A$1:$L$2000,MATCH($A759,vdata_regressors!$A$2:$A$2000,0)+1,MATCH(I$2,vdata_regressors!$A$1:$R$1,0)),"")</f>
        <v/>
      </c>
      <c r="J759" s="23" t="str">
        <f>IFERROR(INDEX(vdata_regressors!$A$1:$L$2000,MATCH($A759,vdata_regressors!$A$2:$A$2000,0)+1,MATCH(J$2,vdata_regressors!$A$1:$R$1,0)),"")</f>
        <v/>
      </c>
      <c r="K759" s="23" t="str">
        <f>IFERROR(INDEX(vdata_regressors!$A$1:$L$2000,MATCH($A759,vdata_regressors!$A$2:$A$2000,0)+1,MATCH(K$2,vdata_regressors!$A$1:$R$1,0)),"")</f>
        <v/>
      </c>
      <c r="L759" s="23" t="str">
        <f>IFERROR(INDEX(vdata_regressors!$A$1:$L$2000,MATCH($A759,vdata_regressors!$A$2:$A$2000,0)+1,MATCH(L$2,vdata_regressors!$A$1:$R$1,0)),"")</f>
        <v/>
      </c>
      <c r="M759" s="23" t="str">
        <f>IFERROR(VLOOKUP(A759,vdata_hours!$A$2:$B$1000,2,FALSE),"")</f>
        <v/>
      </c>
    </row>
    <row r="760" spans="1:13" x14ac:dyDescent="0.25">
      <c r="A760" s="23" t="str">
        <f>IF(vdata_hours!A759=0,"",vdata_hours!A759)</f>
        <v/>
      </c>
      <c r="B760" s="23" t="str">
        <f>IFERROR(INDEX(vdata_regressors!$A$1:$L$2000,MATCH($A760,vdata_regressors!$A$2:$A$2000,0)+1,MATCH(B$2,vdata_regressors!$A$1:$R$1,0)),"")</f>
        <v/>
      </c>
      <c r="C760" s="23" t="str">
        <f>IFERROR(INDEX(vdata_regressors!$A$1:$L$2000,MATCH($A760,vdata_regressors!$A$2:$A$2000,0)+1,MATCH(C$2,vdata_regressors!$A$1:$R$1,0)),"")</f>
        <v/>
      </c>
      <c r="D760" s="23" t="str">
        <f>IFERROR(INDEX(vdata_regressors!$A$1:$L$2000,MATCH($A760,vdata_regressors!$A$2:$A$2000,0)+1,MATCH(D$2,vdata_regressors!$A$1:$R$1,0)),"")</f>
        <v/>
      </c>
      <c r="E760" s="23" t="str">
        <f>IFERROR(INDEX(vdata_regressors!$A$1:$L$2000,MATCH($A760,vdata_regressors!$A$2:$A$2000,0)+1,MATCH(E$2,vdata_regressors!$A$1:$R$1,0)),"")</f>
        <v/>
      </c>
      <c r="F760" s="23" t="str">
        <f>IFERROR(INDEX(vdata_regressors!$A$1:$L$2000,MATCH($A760,vdata_regressors!$A$2:$A$2000,0)+1,MATCH(F$2,vdata_regressors!$A$1:$R$1,0)),"")</f>
        <v/>
      </c>
      <c r="G760" s="23" t="str">
        <f>IFERROR(INDEX(vdata_regressors!$A$1:$L$2000,MATCH($A760,vdata_regressors!$A$2:$A$2000,0)+1,MATCH(G$2,vdata_regressors!$A$1:$R$1,0)),"")</f>
        <v/>
      </c>
      <c r="H760" s="23" t="str">
        <f>IFERROR(INDEX(vdata_regressors!$A$1:$L$2000,MATCH($A760,vdata_regressors!$A$2:$A$2000,0)+1,MATCH(H$2,vdata_regressors!$A$1:$R$1,0)),"")</f>
        <v/>
      </c>
      <c r="I760" s="23" t="str">
        <f>IFERROR(INDEX(vdata_regressors!$A$1:$L$2000,MATCH($A760,vdata_regressors!$A$2:$A$2000,0)+1,MATCH(I$2,vdata_regressors!$A$1:$R$1,0)),"")</f>
        <v/>
      </c>
      <c r="J760" s="23" t="str">
        <f>IFERROR(INDEX(vdata_regressors!$A$1:$L$2000,MATCH($A760,vdata_regressors!$A$2:$A$2000,0)+1,MATCH(J$2,vdata_regressors!$A$1:$R$1,0)),"")</f>
        <v/>
      </c>
      <c r="K760" s="23" t="str">
        <f>IFERROR(INDEX(vdata_regressors!$A$1:$L$2000,MATCH($A760,vdata_regressors!$A$2:$A$2000,0)+1,MATCH(K$2,vdata_regressors!$A$1:$R$1,0)),"")</f>
        <v/>
      </c>
      <c r="L760" s="23" t="str">
        <f>IFERROR(INDEX(vdata_regressors!$A$1:$L$2000,MATCH($A760,vdata_regressors!$A$2:$A$2000,0)+1,MATCH(L$2,vdata_regressors!$A$1:$R$1,0)),"")</f>
        <v/>
      </c>
      <c r="M760" s="23" t="str">
        <f>IFERROR(VLOOKUP(A760,vdata_hours!$A$2:$B$1000,2,FALSE),"")</f>
        <v/>
      </c>
    </row>
    <row r="761" spans="1:13" x14ac:dyDescent="0.25">
      <c r="A761" s="23" t="str">
        <f>IF(vdata_hours!A760=0,"",vdata_hours!A760)</f>
        <v/>
      </c>
      <c r="B761" s="23" t="str">
        <f>IFERROR(INDEX(vdata_regressors!$A$1:$L$2000,MATCH($A761,vdata_regressors!$A$2:$A$2000,0)+1,MATCH(B$2,vdata_regressors!$A$1:$R$1,0)),"")</f>
        <v/>
      </c>
      <c r="C761" s="23" t="str">
        <f>IFERROR(INDEX(vdata_regressors!$A$1:$L$2000,MATCH($A761,vdata_regressors!$A$2:$A$2000,0)+1,MATCH(C$2,vdata_regressors!$A$1:$R$1,0)),"")</f>
        <v/>
      </c>
      <c r="D761" s="23" t="str">
        <f>IFERROR(INDEX(vdata_regressors!$A$1:$L$2000,MATCH($A761,vdata_regressors!$A$2:$A$2000,0)+1,MATCH(D$2,vdata_regressors!$A$1:$R$1,0)),"")</f>
        <v/>
      </c>
      <c r="E761" s="23" t="str">
        <f>IFERROR(INDEX(vdata_regressors!$A$1:$L$2000,MATCH($A761,vdata_regressors!$A$2:$A$2000,0)+1,MATCH(E$2,vdata_regressors!$A$1:$R$1,0)),"")</f>
        <v/>
      </c>
      <c r="F761" s="23" t="str">
        <f>IFERROR(INDEX(vdata_regressors!$A$1:$L$2000,MATCH($A761,vdata_regressors!$A$2:$A$2000,0)+1,MATCH(F$2,vdata_regressors!$A$1:$R$1,0)),"")</f>
        <v/>
      </c>
      <c r="G761" s="23" t="str">
        <f>IFERROR(INDEX(vdata_regressors!$A$1:$L$2000,MATCH($A761,vdata_regressors!$A$2:$A$2000,0)+1,MATCH(G$2,vdata_regressors!$A$1:$R$1,0)),"")</f>
        <v/>
      </c>
      <c r="H761" s="23" t="str">
        <f>IFERROR(INDEX(vdata_regressors!$A$1:$L$2000,MATCH($A761,vdata_regressors!$A$2:$A$2000,0)+1,MATCH(H$2,vdata_regressors!$A$1:$R$1,0)),"")</f>
        <v/>
      </c>
      <c r="I761" s="23" t="str">
        <f>IFERROR(INDEX(vdata_regressors!$A$1:$L$2000,MATCH($A761,vdata_regressors!$A$2:$A$2000,0)+1,MATCH(I$2,vdata_regressors!$A$1:$R$1,0)),"")</f>
        <v/>
      </c>
      <c r="J761" s="23" t="str">
        <f>IFERROR(INDEX(vdata_regressors!$A$1:$L$2000,MATCH($A761,vdata_regressors!$A$2:$A$2000,0)+1,MATCH(J$2,vdata_regressors!$A$1:$R$1,0)),"")</f>
        <v/>
      </c>
      <c r="K761" s="23" t="str">
        <f>IFERROR(INDEX(vdata_regressors!$A$1:$L$2000,MATCH($A761,vdata_regressors!$A$2:$A$2000,0)+1,MATCH(K$2,vdata_regressors!$A$1:$R$1,0)),"")</f>
        <v/>
      </c>
      <c r="L761" s="23" t="str">
        <f>IFERROR(INDEX(vdata_regressors!$A$1:$L$2000,MATCH($A761,vdata_regressors!$A$2:$A$2000,0)+1,MATCH(L$2,vdata_regressors!$A$1:$R$1,0)),"")</f>
        <v/>
      </c>
      <c r="M761" s="23" t="str">
        <f>IFERROR(VLOOKUP(A761,vdata_hours!$A$2:$B$1000,2,FALSE),"")</f>
        <v/>
      </c>
    </row>
    <row r="762" spans="1:13" x14ac:dyDescent="0.25">
      <c r="A762" s="23" t="str">
        <f>IF(vdata_hours!A761=0,"",vdata_hours!A761)</f>
        <v/>
      </c>
      <c r="B762" s="23" t="str">
        <f>IFERROR(INDEX(vdata_regressors!$A$1:$L$2000,MATCH($A762,vdata_regressors!$A$2:$A$2000,0)+1,MATCH(B$2,vdata_regressors!$A$1:$R$1,0)),"")</f>
        <v/>
      </c>
      <c r="C762" s="23" t="str">
        <f>IFERROR(INDEX(vdata_regressors!$A$1:$L$2000,MATCH($A762,vdata_regressors!$A$2:$A$2000,0)+1,MATCH(C$2,vdata_regressors!$A$1:$R$1,0)),"")</f>
        <v/>
      </c>
      <c r="D762" s="23" t="str">
        <f>IFERROR(INDEX(vdata_regressors!$A$1:$L$2000,MATCH($A762,vdata_regressors!$A$2:$A$2000,0)+1,MATCH(D$2,vdata_regressors!$A$1:$R$1,0)),"")</f>
        <v/>
      </c>
      <c r="E762" s="23" t="str">
        <f>IFERROR(INDEX(vdata_regressors!$A$1:$L$2000,MATCH($A762,vdata_regressors!$A$2:$A$2000,0)+1,MATCH(E$2,vdata_regressors!$A$1:$R$1,0)),"")</f>
        <v/>
      </c>
      <c r="F762" s="23" t="str">
        <f>IFERROR(INDEX(vdata_regressors!$A$1:$L$2000,MATCH($A762,vdata_regressors!$A$2:$A$2000,0)+1,MATCH(F$2,vdata_regressors!$A$1:$R$1,0)),"")</f>
        <v/>
      </c>
      <c r="G762" s="23" t="str">
        <f>IFERROR(INDEX(vdata_regressors!$A$1:$L$2000,MATCH($A762,vdata_regressors!$A$2:$A$2000,0)+1,MATCH(G$2,vdata_regressors!$A$1:$R$1,0)),"")</f>
        <v/>
      </c>
      <c r="H762" s="23" t="str">
        <f>IFERROR(INDEX(vdata_regressors!$A$1:$L$2000,MATCH($A762,vdata_regressors!$A$2:$A$2000,0)+1,MATCH(H$2,vdata_regressors!$A$1:$R$1,0)),"")</f>
        <v/>
      </c>
      <c r="I762" s="23" t="str">
        <f>IFERROR(INDEX(vdata_regressors!$A$1:$L$2000,MATCH($A762,vdata_regressors!$A$2:$A$2000,0)+1,MATCH(I$2,vdata_regressors!$A$1:$R$1,0)),"")</f>
        <v/>
      </c>
      <c r="J762" s="23" t="str">
        <f>IFERROR(INDEX(vdata_regressors!$A$1:$L$2000,MATCH($A762,vdata_regressors!$A$2:$A$2000,0)+1,MATCH(J$2,vdata_regressors!$A$1:$R$1,0)),"")</f>
        <v/>
      </c>
      <c r="K762" s="23" t="str">
        <f>IFERROR(INDEX(vdata_regressors!$A$1:$L$2000,MATCH($A762,vdata_regressors!$A$2:$A$2000,0)+1,MATCH(K$2,vdata_regressors!$A$1:$R$1,0)),"")</f>
        <v/>
      </c>
      <c r="L762" s="23" t="str">
        <f>IFERROR(INDEX(vdata_regressors!$A$1:$L$2000,MATCH($A762,vdata_regressors!$A$2:$A$2000,0)+1,MATCH(L$2,vdata_regressors!$A$1:$R$1,0)),"")</f>
        <v/>
      </c>
      <c r="M762" s="23" t="str">
        <f>IFERROR(VLOOKUP(A762,vdata_hours!$A$2:$B$1000,2,FALSE),"")</f>
        <v/>
      </c>
    </row>
    <row r="763" spans="1:13" x14ac:dyDescent="0.25">
      <c r="A763" s="23" t="str">
        <f>IF(vdata_hours!A762=0,"",vdata_hours!A762)</f>
        <v/>
      </c>
      <c r="B763" s="23" t="str">
        <f>IFERROR(INDEX(vdata_regressors!$A$1:$L$2000,MATCH($A763,vdata_regressors!$A$2:$A$2000,0)+1,MATCH(B$2,vdata_regressors!$A$1:$R$1,0)),"")</f>
        <v/>
      </c>
      <c r="C763" s="23" t="str">
        <f>IFERROR(INDEX(vdata_regressors!$A$1:$L$2000,MATCH($A763,vdata_regressors!$A$2:$A$2000,0)+1,MATCH(C$2,vdata_regressors!$A$1:$R$1,0)),"")</f>
        <v/>
      </c>
      <c r="D763" s="23" t="str">
        <f>IFERROR(INDEX(vdata_regressors!$A$1:$L$2000,MATCH($A763,vdata_regressors!$A$2:$A$2000,0)+1,MATCH(D$2,vdata_regressors!$A$1:$R$1,0)),"")</f>
        <v/>
      </c>
      <c r="E763" s="23" t="str">
        <f>IFERROR(INDEX(vdata_regressors!$A$1:$L$2000,MATCH($A763,vdata_regressors!$A$2:$A$2000,0)+1,MATCH(E$2,vdata_regressors!$A$1:$R$1,0)),"")</f>
        <v/>
      </c>
      <c r="F763" s="23" t="str">
        <f>IFERROR(INDEX(vdata_regressors!$A$1:$L$2000,MATCH($A763,vdata_regressors!$A$2:$A$2000,0)+1,MATCH(F$2,vdata_regressors!$A$1:$R$1,0)),"")</f>
        <v/>
      </c>
      <c r="G763" s="23" t="str">
        <f>IFERROR(INDEX(vdata_regressors!$A$1:$L$2000,MATCH($A763,vdata_regressors!$A$2:$A$2000,0)+1,MATCH(G$2,vdata_regressors!$A$1:$R$1,0)),"")</f>
        <v/>
      </c>
      <c r="H763" s="23" t="str">
        <f>IFERROR(INDEX(vdata_regressors!$A$1:$L$2000,MATCH($A763,vdata_regressors!$A$2:$A$2000,0)+1,MATCH(H$2,vdata_regressors!$A$1:$R$1,0)),"")</f>
        <v/>
      </c>
      <c r="I763" s="23" t="str">
        <f>IFERROR(INDEX(vdata_regressors!$A$1:$L$2000,MATCH($A763,vdata_regressors!$A$2:$A$2000,0)+1,MATCH(I$2,vdata_regressors!$A$1:$R$1,0)),"")</f>
        <v/>
      </c>
      <c r="J763" s="23" t="str">
        <f>IFERROR(INDEX(vdata_regressors!$A$1:$L$2000,MATCH($A763,vdata_regressors!$A$2:$A$2000,0)+1,MATCH(J$2,vdata_regressors!$A$1:$R$1,0)),"")</f>
        <v/>
      </c>
      <c r="K763" s="23" t="str">
        <f>IFERROR(INDEX(vdata_regressors!$A$1:$L$2000,MATCH($A763,vdata_regressors!$A$2:$A$2000,0)+1,MATCH(K$2,vdata_regressors!$A$1:$R$1,0)),"")</f>
        <v/>
      </c>
      <c r="L763" s="23" t="str">
        <f>IFERROR(INDEX(vdata_regressors!$A$1:$L$2000,MATCH($A763,vdata_regressors!$A$2:$A$2000,0)+1,MATCH(L$2,vdata_regressors!$A$1:$R$1,0)),"")</f>
        <v/>
      </c>
      <c r="M763" s="23" t="str">
        <f>IFERROR(VLOOKUP(A763,vdata_hours!$A$2:$B$1000,2,FALSE),"")</f>
        <v/>
      </c>
    </row>
    <row r="764" spans="1:13" x14ac:dyDescent="0.25">
      <c r="A764" s="23" t="str">
        <f>IF(vdata_hours!A763=0,"",vdata_hours!A763)</f>
        <v/>
      </c>
      <c r="B764" s="23" t="str">
        <f>IFERROR(INDEX(vdata_regressors!$A$1:$L$2000,MATCH($A764,vdata_regressors!$A$2:$A$2000,0)+1,MATCH(B$2,vdata_regressors!$A$1:$R$1,0)),"")</f>
        <v/>
      </c>
      <c r="C764" s="23" t="str">
        <f>IFERROR(INDEX(vdata_regressors!$A$1:$L$2000,MATCH($A764,vdata_regressors!$A$2:$A$2000,0)+1,MATCH(C$2,vdata_regressors!$A$1:$R$1,0)),"")</f>
        <v/>
      </c>
      <c r="D764" s="23" t="str">
        <f>IFERROR(INDEX(vdata_regressors!$A$1:$L$2000,MATCH($A764,vdata_regressors!$A$2:$A$2000,0)+1,MATCH(D$2,vdata_regressors!$A$1:$R$1,0)),"")</f>
        <v/>
      </c>
      <c r="E764" s="23" t="str">
        <f>IFERROR(INDEX(vdata_regressors!$A$1:$L$2000,MATCH($A764,vdata_regressors!$A$2:$A$2000,0)+1,MATCH(E$2,vdata_regressors!$A$1:$R$1,0)),"")</f>
        <v/>
      </c>
      <c r="F764" s="23" t="str">
        <f>IFERROR(INDEX(vdata_regressors!$A$1:$L$2000,MATCH($A764,vdata_regressors!$A$2:$A$2000,0)+1,MATCH(F$2,vdata_regressors!$A$1:$R$1,0)),"")</f>
        <v/>
      </c>
      <c r="G764" s="23" t="str">
        <f>IFERROR(INDEX(vdata_regressors!$A$1:$L$2000,MATCH($A764,vdata_regressors!$A$2:$A$2000,0)+1,MATCH(G$2,vdata_regressors!$A$1:$R$1,0)),"")</f>
        <v/>
      </c>
      <c r="H764" s="23" t="str">
        <f>IFERROR(INDEX(vdata_regressors!$A$1:$L$2000,MATCH($A764,vdata_regressors!$A$2:$A$2000,0)+1,MATCH(H$2,vdata_regressors!$A$1:$R$1,0)),"")</f>
        <v/>
      </c>
      <c r="I764" s="23" t="str">
        <f>IFERROR(INDEX(vdata_regressors!$A$1:$L$2000,MATCH($A764,vdata_regressors!$A$2:$A$2000,0)+1,MATCH(I$2,vdata_regressors!$A$1:$R$1,0)),"")</f>
        <v/>
      </c>
      <c r="J764" s="23" t="str">
        <f>IFERROR(INDEX(vdata_regressors!$A$1:$L$2000,MATCH($A764,vdata_regressors!$A$2:$A$2000,0)+1,MATCH(J$2,vdata_regressors!$A$1:$R$1,0)),"")</f>
        <v/>
      </c>
      <c r="K764" s="23" t="str">
        <f>IFERROR(INDEX(vdata_regressors!$A$1:$L$2000,MATCH($A764,vdata_regressors!$A$2:$A$2000,0)+1,MATCH(K$2,vdata_regressors!$A$1:$R$1,0)),"")</f>
        <v/>
      </c>
      <c r="L764" s="23" t="str">
        <f>IFERROR(INDEX(vdata_regressors!$A$1:$L$2000,MATCH($A764,vdata_regressors!$A$2:$A$2000,0)+1,MATCH(L$2,vdata_regressors!$A$1:$R$1,0)),"")</f>
        <v/>
      </c>
      <c r="M764" s="23" t="str">
        <f>IFERROR(VLOOKUP(A764,vdata_hours!$A$2:$B$1000,2,FALSE),"")</f>
        <v/>
      </c>
    </row>
    <row r="765" spans="1:13" x14ac:dyDescent="0.25">
      <c r="A765" s="23" t="str">
        <f>IF(vdata_hours!A764=0,"",vdata_hours!A764)</f>
        <v/>
      </c>
      <c r="B765" s="23" t="str">
        <f>IFERROR(INDEX(vdata_regressors!$A$1:$L$2000,MATCH($A765,vdata_regressors!$A$2:$A$2000,0)+1,MATCH(B$2,vdata_regressors!$A$1:$R$1,0)),"")</f>
        <v/>
      </c>
      <c r="C765" s="23" t="str">
        <f>IFERROR(INDEX(vdata_regressors!$A$1:$L$2000,MATCH($A765,vdata_regressors!$A$2:$A$2000,0)+1,MATCH(C$2,vdata_regressors!$A$1:$R$1,0)),"")</f>
        <v/>
      </c>
      <c r="D765" s="23" t="str">
        <f>IFERROR(INDEX(vdata_regressors!$A$1:$L$2000,MATCH($A765,vdata_regressors!$A$2:$A$2000,0)+1,MATCH(D$2,vdata_regressors!$A$1:$R$1,0)),"")</f>
        <v/>
      </c>
      <c r="E765" s="23" t="str">
        <f>IFERROR(INDEX(vdata_regressors!$A$1:$L$2000,MATCH($A765,vdata_regressors!$A$2:$A$2000,0)+1,MATCH(E$2,vdata_regressors!$A$1:$R$1,0)),"")</f>
        <v/>
      </c>
      <c r="F765" s="23" t="str">
        <f>IFERROR(INDEX(vdata_regressors!$A$1:$L$2000,MATCH($A765,vdata_regressors!$A$2:$A$2000,0)+1,MATCH(F$2,vdata_regressors!$A$1:$R$1,0)),"")</f>
        <v/>
      </c>
      <c r="G765" s="23" t="str">
        <f>IFERROR(INDEX(vdata_regressors!$A$1:$L$2000,MATCH($A765,vdata_regressors!$A$2:$A$2000,0)+1,MATCH(G$2,vdata_regressors!$A$1:$R$1,0)),"")</f>
        <v/>
      </c>
      <c r="H765" s="23" t="str">
        <f>IFERROR(INDEX(vdata_regressors!$A$1:$L$2000,MATCH($A765,vdata_regressors!$A$2:$A$2000,0)+1,MATCH(H$2,vdata_regressors!$A$1:$R$1,0)),"")</f>
        <v/>
      </c>
      <c r="I765" s="23" t="str">
        <f>IFERROR(INDEX(vdata_regressors!$A$1:$L$2000,MATCH($A765,vdata_regressors!$A$2:$A$2000,0)+1,MATCH(I$2,vdata_regressors!$A$1:$R$1,0)),"")</f>
        <v/>
      </c>
      <c r="J765" s="23" t="str">
        <f>IFERROR(INDEX(vdata_regressors!$A$1:$L$2000,MATCH($A765,vdata_regressors!$A$2:$A$2000,0)+1,MATCH(J$2,vdata_regressors!$A$1:$R$1,0)),"")</f>
        <v/>
      </c>
      <c r="K765" s="23" t="str">
        <f>IFERROR(INDEX(vdata_regressors!$A$1:$L$2000,MATCH($A765,vdata_regressors!$A$2:$A$2000,0)+1,MATCH(K$2,vdata_regressors!$A$1:$R$1,0)),"")</f>
        <v/>
      </c>
      <c r="L765" s="23" t="str">
        <f>IFERROR(INDEX(vdata_regressors!$A$1:$L$2000,MATCH($A765,vdata_regressors!$A$2:$A$2000,0)+1,MATCH(L$2,vdata_regressors!$A$1:$R$1,0)),"")</f>
        <v/>
      </c>
      <c r="M765" s="23" t="str">
        <f>IFERROR(VLOOKUP(A765,vdata_hours!$A$2:$B$1000,2,FALSE),"")</f>
        <v/>
      </c>
    </row>
    <row r="766" spans="1:13" x14ac:dyDescent="0.25">
      <c r="A766" s="23" t="str">
        <f>IF(vdata_hours!A765=0,"",vdata_hours!A765)</f>
        <v/>
      </c>
      <c r="B766" s="23" t="str">
        <f>IFERROR(INDEX(vdata_regressors!$A$1:$L$2000,MATCH($A766,vdata_regressors!$A$2:$A$2000,0)+1,MATCH(B$2,vdata_regressors!$A$1:$R$1,0)),"")</f>
        <v/>
      </c>
      <c r="C766" s="23" t="str">
        <f>IFERROR(INDEX(vdata_regressors!$A$1:$L$2000,MATCH($A766,vdata_regressors!$A$2:$A$2000,0)+1,MATCH(C$2,vdata_regressors!$A$1:$R$1,0)),"")</f>
        <v/>
      </c>
      <c r="D766" s="23" t="str">
        <f>IFERROR(INDEX(vdata_regressors!$A$1:$L$2000,MATCH($A766,vdata_regressors!$A$2:$A$2000,0)+1,MATCH(D$2,vdata_regressors!$A$1:$R$1,0)),"")</f>
        <v/>
      </c>
      <c r="E766" s="23" t="str">
        <f>IFERROR(INDEX(vdata_regressors!$A$1:$L$2000,MATCH($A766,vdata_regressors!$A$2:$A$2000,0)+1,MATCH(E$2,vdata_regressors!$A$1:$R$1,0)),"")</f>
        <v/>
      </c>
      <c r="F766" s="23" t="str">
        <f>IFERROR(INDEX(vdata_regressors!$A$1:$L$2000,MATCH($A766,vdata_regressors!$A$2:$A$2000,0)+1,MATCH(F$2,vdata_regressors!$A$1:$R$1,0)),"")</f>
        <v/>
      </c>
      <c r="G766" s="23" t="str">
        <f>IFERROR(INDEX(vdata_regressors!$A$1:$L$2000,MATCH($A766,vdata_regressors!$A$2:$A$2000,0)+1,MATCH(G$2,vdata_regressors!$A$1:$R$1,0)),"")</f>
        <v/>
      </c>
      <c r="H766" s="23" t="str">
        <f>IFERROR(INDEX(vdata_regressors!$A$1:$L$2000,MATCH($A766,vdata_regressors!$A$2:$A$2000,0)+1,MATCH(H$2,vdata_regressors!$A$1:$R$1,0)),"")</f>
        <v/>
      </c>
      <c r="I766" s="23" t="str">
        <f>IFERROR(INDEX(vdata_regressors!$A$1:$L$2000,MATCH($A766,vdata_regressors!$A$2:$A$2000,0)+1,MATCH(I$2,vdata_regressors!$A$1:$R$1,0)),"")</f>
        <v/>
      </c>
      <c r="J766" s="23" t="str">
        <f>IFERROR(INDEX(vdata_regressors!$A$1:$L$2000,MATCH($A766,vdata_regressors!$A$2:$A$2000,0)+1,MATCH(J$2,vdata_regressors!$A$1:$R$1,0)),"")</f>
        <v/>
      </c>
      <c r="K766" s="23" t="str">
        <f>IFERROR(INDEX(vdata_regressors!$A$1:$L$2000,MATCH($A766,vdata_regressors!$A$2:$A$2000,0)+1,MATCH(K$2,vdata_regressors!$A$1:$R$1,0)),"")</f>
        <v/>
      </c>
      <c r="L766" s="23" t="str">
        <f>IFERROR(INDEX(vdata_regressors!$A$1:$L$2000,MATCH($A766,vdata_regressors!$A$2:$A$2000,0)+1,MATCH(L$2,vdata_regressors!$A$1:$R$1,0)),"")</f>
        <v/>
      </c>
      <c r="M766" s="23" t="str">
        <f>IFERROR(VLOOKUP(A766,vdata_hours!$A$2:$B$1000,2,FALSE),"")</f>
        <v/>
      </c>
    </row>
    <row r="767" spans="1:13" x14ac:dyDescent="0.25">
      <c r="A767" s="23" t="str">
        <f>IF(vdata_hours!A766=0,"",vdata_hours!A766)</f>
        <v/>
      </c>
      <c r="B767" s="23" t="str">
        <f>IFERROR(INDEX(vdata_regressors!$A$1:$L$2000,MATCH($A767,vdata_regressors!$A$2:$A$2000,0)+1,MATCH(B$2,vdata_regressors!$A$1:$R$1,0)),"")</f>
        <v/>
      </c>
      <c r="C767" s="23" t="str">
        <f>IFERROR(INDEX(vdata_regressors!$A$1:$L$2000,MATCH($A767,vdata_regressors!$A$2:$A$2000,0)+1,MATCH(C$2,vdata_regressors!$A$1:$R$1,0)),"")</f>
        <v/>
      </c>
      <c r="D767" s="23" t="str">
        <f>IFERROR(INDEX(vdata_regressors!$A$1:$L$2000,MATCH($A767,vdata_regressors!$A$2:$A$2000,0)+1,MATCH(D$2,vdata_regressors!$A$1:$R$1,0)),"")</f>
        <v/>
      </c>
      <c r="E767" s="23" t="str">
        <f>IFERROR(INDEX(vdata_regressors!$A$1:$L$2000,MATCH($A767,vdata_regressors!$A$2:$A$2000,0)+1,MATCH(E$2,vdata_regressors!$A$1:$R$1,0)),"")</f>
        <v/>
      </c>
      <c r="F767" s="23" t="str">
        <f>IFERROR(INDEX(vdata_regressors!$A$1:$L$2000,MATCH($A767,vdata_regressors!$A$2:$A$2000,0)+1,MATCH(F$2,vdata_regressors!$A$1:$R$1,0)),"")</f>
        <v/>
      </c>
      <c r="G767" s="23" t="str">
        <f>IFERROR(INDEX(vdata_regressors!$A$1:$L$2000,MATCH($A767,vdata_regressors!$A$2:$A$2000,0)+1,MATCH(G$2,vdata_regressors!$A$1:$R$1,0)),"")</f>
        <v/>
      </c>
      <c r="H767" s="23" t="str">
        <f>IFERROR(INDEX(vdata_regressors!$A$1:$L$2000,MATCH($A767,vdata_regressors!$A$2:$A$2000,0)+1,MATCH(H$2,vdata_regressors!$A$1:$R$1,0)),"")</f>
        <v/>
      </c>
      <c r="I767" s="23" t="str">
        <f>IFERROR(INDEX(vdata_regressors!$A$1:$L$2000,MATCH($A767,vdata_regressors!$A$2:$A$2000,0)+1,MATCH(I$2,vdata_regressors!$A$1:$R$1,0)),"")</f>
        <v/>
      </c>
      <c r="J767" s="23" t="str">
        <f>IFERROR(INDEX(vdata_regressors!$A$1:$L$2000,MATCH($A767,vdata_regressors!$A$2:$A$2000,0)+1,MATCH(J$2,vdata_regressors!$A$1:$R$1,0)),"")</f>
        <v/>
      </c>
      <c r="K767" s="23" t="str">
        <f>IFERROR(INDEX(vdata_regressors!$A$1:$L$2000,MATCH($A767,vdata_regressors!$A$2:$A$2000,0)+1,MATCH(K$2,vdata_regressors!$A$1:$R$1,0)),"")</f>
        <v/>
      </c>
      <c r="L767" s="23" t="str">
        <f>IFERROR(INDEX(vdata_regressors!$A$1:$L$2000,MATCH($A767,vdata_regressors!$A$2:$A$2000,0)+1,MATCH(L$2,vdata_regressors!$A$1:$R$1,0)),"")</f>
        <v/>
      </c>
      <c r="M767" s="23" t="str">
        <f>IFERROR(VLOOKUP(A767,vdata_hours!$A$2:$B$1000,2,FALSE),"")</f>
        <v/>
      </c>
    </row>
    <row r="768" spans="1:13" x14ac:dyDescent="0.25">
      <c r="A768" s="23" t="str">
        <f>IF(vdata_hours!A767=0,"",vdata_hours!A767)</f>
        <v/>
      </c>
      <c r="B768" s="23" t="str">
        <f>IFERROR(INDEX(vdata_regressors!$A$1:$L$2000,MATCH($A768,vdata_regressors!$A$2:$A$2000,0)+1,MATCH(B$2,vdata_regressors!$A$1:$R$1,0)),"")</f>
        <v/>
      </c>
      <c r="C768" s="23" t="str">
        <f>IFERROR(INDEX(vdata_regressors!$A$1:$L$2000,MATCH($A768,vdata_regressors!$A$2:$A$2000,0)+1,MATCH(C$2,vdata_regressors!$A$1:$R$1,0)),"")</f>
        <v/>
      </c>
      <c r="D768" s="23" t="str">
        <f>IFERROR(INDEX(vdata_regressors!$A$1:$L$2000,MATCH($A768,vdata_regressors!$A$2:$A$2000,0)+1,MATCH(D$2,vdata_regressors!$A$1:$R$1,0)),"")</f>
        <v/>
      </c>
      <c r="E768" s="23" t="str">
        <f>IFERROR(INDEX(vdata_regressors!$A$1:$L$2000,MATCH($A768,vdata_regressors!$A$2:$A$2000,0)+1,MATCH(E$2,vdata_regressors!$A$1:$R$1,0)),"")</f>
        <v/>
      </c>
      <c r="F768" s="23" t="str">
        <f>IFERROR(INDEX(vdata_regressors!$A$1:$L$2000,MATCH($A768,vdata_regressors!$A$2:$A$2000,0)+1,MATCH(F$2,vdata_regressors!$A$1:$R$1,0)),"")</f>
        <v/>
      </c>
      <c r="G768" s="23" t="str">
        <f>IFERROR(INDEX(vdata_regressors!$A$1:$L$2000,MATCH($A768,vdata_regressors!$A$2:$A$2000,0)+1,MATCH(G$2,vdata_regressors!$A$1:$R$1,0)),"")</f>
        <v/>
      </c>
      <c r="H768" s="23" t="str">
        <f>IFERROR(INDEX(vdata_regressors!$A$1:$L$2000,MATCH($A768,vdata_regressors!$A$2:$A$2000,0)+1,MATCH(H$2,vdata_regressors!$A$1:$R$1,0)),"")</f>
        <v/>
      </c>
      <c r="I768" s="23" t="str">
        <f>IFERROR(INDEX(vdata_regressors!$A$1:$L$2000,MATCH($A768,vdata_regressors!$A$2:$A$2000,0)+1,MATCH(I$2,vdata_regressors!$A$1:$R$1,0)),"")</f>
        <v/>
      </c>
      <c r="J768" s="23" t="str">
        <f>IFERROR(INDEX(vdata_regressors!$A$1:$L$2000,MATCH($A768,vdata_regressors!$A$2:$A$2000,0)+1,MATCH(J$2,vdata_regressors!$A$1:$R$1,0)),"")</f>
        <v/>
      </c>
      <c r="K768" s="23" t="str">
        <f>IFERROR(INDEX(vdata_regressors!$A$1:$L$2000,MATCH($A768,vdata_regressors!$A$2:$A$2000,0)+1,MATCH(K$2,vdata_regressors!$A$1:$R$1,0)),"")</f>
        <v/>
      </c>
      <c r="L768" s="23" t="str">
        <f>IFERROR(INDEX(vdata_regressors!$A$1:$L$2000,MATCH($A768,vdata_regressors!$A$2:$A$2000,0)+1,MATCH(L$2,vdata_regressors!$A$1:$R$1,0)),"")</f>
        <v/>
      </c>
      <c r="M768" s="23" t="str">
        <f>IFERROR(VLOOKUP(A768,vdata_hours!$A$2:$B$1000,2,FALSE),"")</f>
        <v/>
      </c>
    </row>
    <row r="769" spans="1:13" x14ac:dyDescent="0.25">
      <c r="A769" s="23" t="str">
        <f>IF(vdata_hours!A768=0,"",vdata_hours!A768)</f>
        <v/>
      </c>
      <c r="B769" s="23" t="str">
        <f>IFERROR(INDEX(vdata_regressors!$A$1:$L$2000,MATCH($A769,vdata_regressors!$A$2:$A$2000,0)+1,MATCH(B$2,vdata_regressors!$A$1:$R$1,0)),"")</f>
        <v/>
      </c>
      <c r="C769" s="23" t="str">
        <f>IFERROR(INDEX(vdata_regressors!$A$1:$L$2000,MATCH($A769,vdata_regressors!$A$2:$A$2000,0)+1,MATCH(C$2,vdata_regressors!$A$1:$R$1,0)),"")</f>
        <v/>
      </c>
      <c r="D769" s="23" t="str">
        <f>IFERROR(INDEX(vdata_regressors!$A$1:$L$2000,MATCH($A769,vdata_regressors!$A$2:$A$2000,0)+1,MATCH(D$2,vdata_regressors!$A$1:$R$1,0)),"")</f>
        <v/>
      </c>
      <c r="E769" s="23" t="str">
        <f>IFERROR(INDEX(vdata_regressors!$A$1:$L$2000,MATCH($A769,vdata_regressors!$A$2:$A$2000,0)+1,MATCH(E$2,vdata_regressors!$A$1:$R$1,0)),"")</f>
        <v/>
      </c>
      <c r="F769" s="23" t="str">
        <f>IFERROR(INDEX(vdata_regressors!$A$1:$L$2000,MATCH($A769,vdata_regressors!$A$2:$A$2000,0)+1,MATCH(F$2,vdata_regressors!$A$1:$R$1,0)),"")</f>
        <v/>
      </c>
      <c r="G769" s="23" t="str">
        <f>IFERROR(INDEX(vdata_regressors!$A$1:$L$2000,MATCH($A769,vdata_regressors!$A$2:$A$2000,0)+1,MATCH(G$2,vdata_regressors!$A$1:$R$1,0)),"")</f>
        <v/>
      </c>
      <c r="H769" s="23" t="str">
        <f>IFERROR(INDEX(vdata_regressors!$A$1:$L$2000,MATCH($A769,vdata_regressors!$A$2:$A$2000,0)+1,MATCH(H$2,vdata_regressors!$A$1:$R$1,0)),"")</f>
        <v/>
      </c>
      <c r="I769" s="23" t="str">
        <f>IFERROR(INDEX(vdata_regressors!$A$1:$L$2000,MATCH($A769,vdata_regressors!$A$2:$A$2000,0)+1,MATCH(I$2,vdata_regressors!$A$1:$R$1,0)),"")</f>
        <v/>
      </c>
      <c r="J769" s="23" t="str">
        <f>IFERROR(INDEX(vdata_regressors!$A$1:$L$2000,MATCH($A769,vdata_regressors!$A$2:$A$2000,0)+1,MATCH(J$2,vdata_regressors!$A$1:$R$1,0)),"")</f>
        <v/>
      </c>
      <c r="K769" s="23" t="str">
        <f>IFERROR(INDEX(vdata_regressors!$A$1:$L$2000,MATCH($A769,vdata_regressors!$A$2:$A$2000,0)+1,MATCH(K$2,vdata_regressors!$A$1:$R$1,0)),"")</f>
        <v/>
      </c>
      <c r="L769" s="23" t="str">
        <f>IFERROR(INDEX(vdata_regressors!$A$1:$L$2000,MATCH($A769,vdata_regressors!$A$2:$A$2000,0)+1,MATCH(L$2,vdata_regressors!$A$1:$R$1,0)),"")</f>
        <v/>
      </c>
      <c r="M769" s="23" t="str">
        <f>IFERROR(VLOOKUP(A769,vdata_hours!$A$2:$B$1000,2,FALSE),"")</f>
        <v/>
      </c>
    </row>
    <row r="770" spans="1:13" x14ac:dyDescent="0.25">
      <c r="A770" s="23" t="str">
        <f>IF(vdata_hours!A769=0,"",vdata_hours!A769)</f>
        <v/>
      </c>
      <c r="B770" s="23" t="str">
        <f>IFERROR(INDEX(vdata_regressors!$A$1:$L$2000,MATCH($A770,vdata_regressors!$A$2:$A$2000,0)+1,MATCH(B$2,vdata_regressors!$A$1:$R$1,0)),"")</f>
        <v/>
      </c>
      <c r="C770" s="23" t="str">
        <f>IFERROR(INDEX(vdata_regressors!$A$1:$L$2000,MATCH($A770,vdata_regressors!$A$2:$A$2000,0)+1,MATCH(C$2,vdata_regressors!$A$1:$R$1,0)),"")</f>
        <v/>
      </c>
      <c r="D770" s="23" t="str">
        <f>IFERROR(INDEX(vdata_regressors!$A$1:$L$2000,MATCH($A770,vdata_regressors!$A$2:$A$2000,0)+1,MATCH(D$2,vdata_regressors!$A$1:$R$1,0)),"")</f>
        <v/>
      </c>
      <c r="E770" s="23" t="str">
        <f>IFERROR(INDEX(vdata_regressors!$A$1:$L$2000,MATCH($A770,vdata_regressors!$A$2:$A$2000,0)+1,MATCH(E$2,vdata_regressors!$A$1:$R$1,0)),"")</f>
        <v/>
      </c>
      <c r="F770" s="23" t="str">
        <f>IFERROR(INDEX(vdata_regressors!$A$1:$L$2000,MATCH($A770,vdata_regressors!$A$2:$A$2000,0)+1,MATCH(F$2,vdata_regressors!$A$1:$R$1,0)),"")</f>
        <v/>
      </c>
      <c r="G770" s="23" t="str">
        <f>IFERROR(INDEX(vdata_regressors!$A$1:$L$2000,MATCH($A770,vdata_regressors!$A$2:$A$2000,0)+1,MATCH(G$2,vdata_regressors!$A$1:$R$1,0)),"")</f>
        <v/>
      </c>
      <c r="H770" s="23" t="str">
        <f>IFERROR(INDEX(vdata_regressors!$A$1:$L$2000,MATCH($A770,vdata_regressors!$A$2:$A$2000,0)+1,MATCH(H$2,vdata_regressors!$A$1:$R$1,0)),"")</f>
        <v/>
      </c>
      <c r="I770" s="23" t="str">
        <f>IFERROR(INDEX(vdata_regressors!$A$1:$L$2000,MATCH($A770,vdata_regressors!$A$2:$A$2000,0)+1,MATCH(I$2,vdata_regressors!$A$1:$R$1,0)),"")</f>
        <v/>
      </c>
      <c r="J770" s="23" t="str">
        <f>IFERROR(INDEX(vdata_regressors!$A$1:$L$2000,MATCH($A770,vdata_regressors!$A$2:$A$2000,0)+1,MATCH(J$2,vdata_regressors!$A$1:$R$1,0)),"")</f>
        <v/>
      </c>
      <c r="K770" s="23" t="str">
        <f>IFERROR(INDEX(vdata_regressors!$A$1:$L$2000,MATCH($A770,vdata_regressors!$A$2:$A$2000,0)+1,MATCH(K$2,vdata_regressors!$A$1:$R$1,0)),"")</f>
        <v/>
      </c>
      <c r="L770" s="23" t="str">
        <f>IFERROR(INDEX(vdata_regressors!$A$1:$L$2000,MATCH($A770,vdata_regressors!$A$2:$A$2000,0)+1,MATCH(L$2,vdata_regressors!$A$1:$R$1,0)),"")</f>
        <v/>
      </c>
      <c r="M770" s="23" t="str">
        <f>IFERROR(VLOOKUP(A770,vdata_hours!$A$2:$B$1000,2,FALSE),"")</f>
        <v/>
      </c>
    </row>
    <row r="771" spans="1:13" x14ac:dyDescent="0.25">
      <c r="A771" s="23" t="str">
        <f>IF(vdata_hours!A770=0,"",vdata_hours!A770)</f>
        <v/>
      </c>
      <c r="B771" s="23" t="str">
        <f>IFERROR(INDEX(vdata_regressors!$A$1:$L$2000,MATCH($A771,vdata_regressors!$A$2:$A$2000,0)+1,MATCH(B$2,vdata_regressors!$A$1:$R$1,0)),"")</f>
        <v/>
      </c>
      <c r="C771" s="23" t="str">
        <f>IFERROR(INDEX(vdata_regressors!$A$1:$L$2000,MATCH($A771,vdata_regressors!$A$2:$A$2000,0)+1,MATCH(C$2,vdata_regressors!$A$1:$R$1,0)),"")</f>
        <v/>
      </c>
      <c r="D771" s="23" t="str">
        <f>IFERROR(INDEX(vdata_regressors!$A$1:$L$2000,MATCH($A771,vdata_regressors!$A$2:$A$2000,0)+1,MATCH(D$2,vdata_regressors!$A$1:$R$1,0)),"")</f>
        <v/>
      </c>
      <c r="E771" s="23" t="str">
        <f>IFERROR(INDEX(vdata_regressors!$A$1:$L$2000,MATCH($A771,vdata_regressors!$A$2:$A$2000,0)+1,MATCH(E$2,vdata_regressors!$A$1:$R$1,0)),"")</f>
        <v/>
      </c>
      <c r="F771" s="23" t="str">
        <f>IFERROR(INDEX(vdata_regressors!$A$1:$L$2000,MATCH($A771,vdata_regressors!$A$2:$A$2000,0)+1,MATCH(F$2,vdata_regressors!$A$1:$R$1,0)),"")</f>
        <v/>
      </c>
      <c r="G771" s="23" t="str">
        <f>IFERROR(INDEX(vdata_regressors!$A$1:$L$2000,MATCH($A771,vdata_regressors!$A$2:$A$2000,0)+1,MATCH(G$2,vdata_regressors!$A$1:$R$1,0)),"")</f>
        <v/>
      </c>
      <c r="H771" s="23" t="str">
        <f>IFERROR(INDEX(vdata_regressors!$A$1:$L$2000,MATCH($A771,vdata_regressors!$A$2:$A$2000,0)+1,MATCH(H$2,vdata_regressors!$A$1:$R$1,0)),"")</f>
        <v/>
      </c>
      <c r="I771" s="23" t="str">
        <f>IFERROR(INDEX(vdata_regressors!$A$1:$L$2000,MATCH($A771,vdata_regressors!$A$2:$A$2000,0)+1,MATCH(I$2,vdata_regressors!$A$1:$R$1,0)),"")</f>
        <v/>
      </c>
      <c r="J771" s="23" t="str">
        <f>IFERROR(INDEX(vdata_regressors!$A$1:$L$2000,MATCH($A771,vdata_regressors!$A$2:$A$2000,0)+1,MATCH(J$2,vdata_regressors!$A$1:$R$1,0)),"")</f>
        <v/>
      </c>
      <c r="K771" s="23" t="str">
        <f>IFERROR(INDEX(vdata_regressors!$A$1:$L$2000,MATCH($A771,vdata_regressors!$A$2:$A$2000,0)+1,MATCH(K$2,vdata_regressors!$A$1:$R$1,0)),"")</f>
        <v/>
      </c>
      <c r="L771" s="23" t="str">
        <f>IFERROR(INDEX(vdata_regressors!$A$1:$L$2000,MATCH($A771,vdata_regressors!$A$2:$A$2000,0)+1,MATCH(L$2,vdata_regressors!$A$1:$R$1,0)),"")</f>
        <v/>
      </c>
      <c r="M771" s="23" t="str">
        <f>IFERROR(VLOOKUP(A771,vdata_hours!$A$2:$B$1000,2,FALSE),"")</f>
        <v/>
      </c>
    </row>
    <row r="772" spans="1:13" x14ac:dyDescent="0.25">
      <c r="A772" s="23" t="str">
        <f>IF(vdata_hours!A771=0,"",vdata_hours!A771)</f>
        <v/>
      </c>
      <c r="B772" s="23" t="str">
        <f>IFERROR(INDEX(vdata_regressors!$A$1:$L$2000,MATCH($A772,vdata_regressors!$A$2:$A$2000,0)+1,MATCH(B$2,vdata_regressors!$A$1:$R$1,0)),"")</f>
        <v/>
      </c>
      <c r="C772" s="23" t="str">
        <f>IFERROR(INDEX(vdata_regressors!$A$1:$L$2000,MATCH($A772,vdata_regressors!$A$2:$A$2000,0)+1,MATCH(C$2,vdata_regressors!$A$1:$R$1,0)),"")</f>
        <v/>
      </c>
      <c r="D772" s="23" t="str">
        <f>IFERROR(INDEX(vdata_regressors!$A$1:$L$2000,MATCH($A772,vdata_regressors!$A$2:$A$2000,0)+1,MATCH(D$2,vdata_regressors!$A$1:$R$1,0)),"")</f>
        <v/>
      </c>
      <c r="E772" s="23" t="str">
        <f>IFERROR(INDEX(vdata_regressors!$A$1:$L$2000,MATCH($A772,vdata_regressors!$A$2:$A$2000,0)+1,MATCH(E$2,vdata_regressors!$A$1:$R$1,0)),"")</f>
        <v/>
      </c>
      <c r="F772" s="23" t="str">
        <f>IFERROR(INDEX(vdata_regressors!$A$1:$L$2000,MATCH($A772,vdata_regressors!$A$2:$A$2000,0)+1,MATCH(F$2,vdata_regressors!$A$1:$R$1,0)),"")</f>
        <v/>
      </c>
      <c r="G772" s="23" t="str">
        <f>IFERROR(INDEX(vdata_regressors!$A$1:$L$2000,MATCH($A772,vdata_regressors!$A$2:$A$2000,0)+1,MATCH(G$2,vdata_regressors!$A$1:$R$1,0)),"")</f>
        <v/>
      </c>
      <c r="H772" s="23" t="str">
        <f>IFERROR(INDEX(vdata_regressors!$A$1:$L$2000,MATCH($A772,vdata_regressors!$A$2:$A$2000,0)+1,MATCH(H$2,vdata_regressors!$A$1:$R$1,0)),"")</f>
        <v/>
      </c>
      <c r="I772" s="23" t="str">
        <f>IFERROR(INDEX(vdata_regressors!$A$1:$L$2000,MATCH($A772,vdata_regressors!$A$2:$A$2000,0)+1,MATCH(I$2,vdata_regressors!$A$1:$R$1,0)),"")</f>
        <v/>
      </c>
      <c r="J772" s="23" t="str">
        <f>IFERROR(INDEX(vdata_regressors!$A$1:$L$2000,MATCH($A772,vdata_regressors!$A$2:$A$2000,0)+1,MATCH(J$2,vdata_regressors!$A$1:$R$1,0)),"")</f>
        <v/>
      </c>
      <c r="K772" s="23" t="str">
        <f>IFERROR(INDEX(vdata_regressors!$A$1:$L$2000,MATCH($A772,vdata_regressors!$A$2:$A$2000,0)+1,MATCH(K$2,vdata_regressors!$A$1:$R$1,0)),"")</f>
        <v/>
      </c>
      <c r="L772" s="23" t="str">
        <f>IFERROR(INDEX(vdata_regressors!$A$1:$L$2000,MATCH($A772,vdata_regressors!$A$2:$A$2000,0)+1,MATCH(L$2,vdata_regressors!$A$1:$R$1,0)),"")</f>
        <v/>
      </c>
      <c r="M772" s="23" t="str">
        <f>IFERROR(VLOOKUP(A772,vdata_hours!$A$2:$B$1000,2,FALSE),"")</f>
        <v/>
      </c>
    </row>
    <row r="773" spans="1:13" x14ac:dyDescent="0.25">
      <c r="A773" s="23" t="str">
        <f>IF(vdata_hours!A772=0,"",vdata_hours!A772)</f>
        <v/>
      </c>
      <c r="B773" s="23" t="str">
        <f>IFERROR(INDEX(vdata_regressors!$A$1:$L$2000,MATCH($A773,vdata_regressors!$A$2:$A$2000,0)+1,MATCH(B$2,vdata_regressors!$A$1:$R$1,0)),"")</f>
        <v/>
      </c>
      <c r="C773" s="23" t="str">
        <f>IFERROR(INDEX(vdata_regressors!$A$1:$L$2000,MATCH($A773,vdata_regressors!$A$2:$A$2000,0)+1,MATCH(C$2,vdata_regressors!$A$1:$R$1,0)),"")</f>
        <v/>
      </c>
      <c r="D773" s="23" t="str">
        <f>IFERROR(INDEX(vdata_regressors!$A$1:$L$2000,MATCH($A773,vdata_regressors!$A$2:$A$2000,0)+1,MATCH(D$2,vdata_regressors!$A$1:$R$1,0)),"")</f>
        <v/>
      </c>
      <c r="E773" s="23" t="str">
        <f>IFERROR(INDEX(vdata_regressors!$A$1:$L$2000,MATCH($A773,vdata_regressors!$A$2:$A$2000,0)+1,MATCH(E$2,vdata_regressors!$A$1:$R$1,0)),"")</f>
        <v/>
      </c>
      <c r="F773" s="23" t="str">
        <f>IFERROR(INDEX(vdata_regressors!$A$1:$L$2000,MATCH($A773,vdata_regressors!$A$2:$A$2000,0)+1,MATCH(F$2,vdata_regressors!$A$1:$R$1,0)),"")</f>
        <v/>
      </c>
      <c r="G773" s="23" t="str">
        <f>IFERROR(INDEX(vdata_regressors!$A$1:$L$2000,MATCH($A773,vdata_regressors!$A$2:$A$2000,0)+1,MATCH(G$2,vdata_regressors!$A$1:$R$1,0)),"")</f>
        <v/>
      </c>
      <c r="H773" s="23" t="str">
        <f>IFERROR(INDEX(vdata_regressors!$A$1:$L$2000,MATCH($A773,vdata_regressors!$A$2:$A$2000,0)+1,MATCH(H$2,vdata_regressors!$A$1:$R$1,0)),"")</f>
        <v/>
      </c>
      <c r="I773" s="23" t="str">
        <f>IFERROR(INDEX(vdata_regressors!$A$1:$L$2000,MATCH($A773,vdata_regressors!$A$2:$A$2000,0)+1,MATCH(I$2,vdata_regressors!$A$1:$R$1,0)),"")</f>
        <v/>
      </c>
      <c r="J773" s="23" t="str">
        <f>IFERROR(INDEX(vdata_regressors!$A$1:$L$2000,MATCH($A773,vdata_regressors!$A$2:$A$2000,0)+1,MATCH(J$2,vdata_regressors!$A$1:$R$1,0)),"")</f>
        <v/>
      </c>
      <c r="K773" s="23" t="str">
        <f>IFERROR(INDEX(vdata_regressors!$A$1:$L$2000,MATCH($A773,vdata_regressors!$A$2:$A$2000,0)+1,MATCH(K$2,vdata_regressors!$A$1:$R$1,0)),"")</f>
        <v/>
      </c>
      <c r="L773" s="23" t="str">
        <f>IFERROR(INDEX(vdata_regressors!$A$1:$L$2000,MATCH($A773,vdata_regressors!$A$2:$A$2000,0)+1,MATCH(L$2,vdata_regressors!$A$1:$R$1,0)),"")</f>
        <v/>
      </c>
      <c r="M773" s="23" t="str">
        <f>IFERROR(VLOOKUP(A773,vdata_hours!$A$2:$B$1000,2,FALSE),"")</f>
        <v/>
      </c>
    </row>
    <row r="774" spans="1:13" x14ac:dyDescent="0.25">
      <c r="A774" s="23" t="str">
        <f>IF(vdata_hours!A773=0,"",vdata_hours!A773)</f>
        <v/>
      </c>
      <c r="B774" s="23" t="str">
        <f>IFERROR(INDEX(vdata_regressors!$A$1:$L$2000,MATCH($A774,vdata_regressors!$A$2:$A$2000,0)+1,MATCH(B$2,vdata_regressors!$A$1:$R$1,0)),"")</f>
        <v/>
      </c>
      <c r="C774" s="23" t="str">
        <f>IFERROR(INDEX(vdata_regressors!$A$1:$L$2000,MATCH($A774,vdata_regressors!$A$2:$A$2000,0)+1,MATCH(C$2,vdata_regressors!$A$1:$R$1,0)),"")</f>
        <v/>
      </c>
      <c r="D774" s="23" t="str">
        <f>IFERROR(INDEX(vdata_regressors!$A$1:$L$2000,MATCH($A774,vdata_regressors!$A$2:$A$2000,0)+1,MATCH(D$2,vdata_regressors!$A$1:$R$1,0)),"")</f>
        <v/>
      </c>
      <c r="E774" s="23" t="str">
        <f>IFERROR(INDEX(vdata_regressors!$A$1:$L$2000,MATCH($A774,vdata_regressors!$A$2:$A$2000,0)+1,MATCH(E$2,vdata_regressors!$A$1:$R$1,0)),"")</f>
        <v/>
      </c>
      <c r="F774" s="23" t="str">
        <f>IFERROR(INDEX(vdata_regressors!$A$1:$L$2000,MATCH($A774,vdata_regressors!$A$2:$A$2000,0)+1,MATCH(F$2,vdata_regressors!$A$1:$R$1,0)),"")</f>
        <v/>
      </c>
      <c r="G774" s="23" t="str">
        <f>IFERROR(INDEX(vdata_regressors!$A$1:$L$2000,MATCH($A774,vdata_regressors!$A$2:$A$2000,0)+1,MATCH(G$2,vdata_regressors!$A$1:$R$1,0)),"")</f>
        <v/>
      </c>
      <c r="H774" s="23" t="str">
        <f>IFERROR(INDEX(vdata_regressors!$A$1:$L$2000,MATCH($A774,vdata_regressors!$A$2:$A$2000,0)+1,MATCH(H$2,vdata_regressors!$A$1:$R$1,0)),"")</f>
        <v/>
      </c>
      <c r="I774" s="23" t="str">
        <f>IFERROR(INDEX(vdata_regressors!$A$1:$L$2000,MATCH($A774,vdata_regressors!$A$2:$A$2000,0)+1,MATCH(I$2,vdata_regressors!$A$1:$R$1,0)),"")</f>
        <v/>
      </c>
      <c r="J774" s="23" t="str">
        <f>IFERROR(INDEX(vdata_regressors!$A$1:$L$2000,MATCH($A774,vdata_regressors!$A$2:$A$2000,0)+1,MATCH(J$2,vdata_regressors!$A$1:$R$1,0)),"")</f>
        <v/>
      </c>
      <c r="K774" s="23" t="str">
        <f>IFERROR(INDEX(vdata_regressors!$A$1:$L$2000,MATCH($A774,vdata_regressors!$A$2:$A$2000,0)+1,MATCH(K$2,vdata_regressors!$A$1:$R$1,0)),"")</f>
        <v/>
      </c>
      <c r="L774" s="23" t="str">
        <f>IFERROR(INDEX(vdata_regressors!$A$1:$L$2000,MATCH($A774,vdata_regressors!$A$2:$A$2000,0)+1,MATCH(L$2,vdata_regressors!$A$1:$R$1,0)),"")</f>
        <v/>
      </c>
      <c r="M774" s="23" t="str">
        <f>IFERROR(VLOOKUP(A774,vdata_hours!$A$2:$B$1000,2,FALSE),"")</f>
        <v/>
      </c>
    </row>
    <row r="775" spans="1:13" x14ac:dyDescent="0.25">
      <c r="A775" s="23" t="str">
        <f>IF(vdata_hours!A774=0,"",vdata_hours!A774)</f>
        <v/>
      </c>
      <c r="B775" s="23" t="str">
        <f>IFERROR(INDEX(vdata_regressors!$A$1:$L$2000,MATCH($A775,vdata_regressors!$A$2:$A$2000,0)+1,MATCH(B$2,vdata_regressors!$A$1:$R$1,0)),"")</f>
        <v/>
      </c>
      <c r="C775" s="23" t="str">
        <f>IFERROR(INDEX(vdata_regressors!$A$1:$L$2000,MATCH($A775,vdata_regressors!$A$2:$A$2000,0)+1,MATCH(C$2,vdata_regressors!$A$1:$R$1,0)),"")</f>
        <v/>
      </c>
      <c r="D775" s="23" t="str">
        <f>IFERROR(INDEX(vdata_regressors!$A$1:$L$2000,MATCH($A775,vdata_regressors!$A$2:$A$2000,0)+1,MATCH(D$2,vdata_regressors!$A$1:$R$1,0)),"")</f>
        <v/>
      </c>
      <c r="E775" s="23" t="str">
        <f>IFERROR(INDEX(vdata_regressors!$A$1:$L$2000,MATCH($A775,vdata_regressors!$A$2:$A$2000,0)+1,MATCH(E$2,vdata_regressors!$A$1:$R$1,0)),"")</f>
        <v/>
      </c>
      <c r="F775" s="23" t="str">
        <f>IFERROR(INDEX(vdata_regressors!$A$1:$L$2000,MATCH($A775,vdata_regressors!$A$2:$A$2000,0)+1,MATCH(F$2,vdata_regressors!$A$1:$R$1,0)),"")</f>
        <v/>
      </c>
      <c r="G775" s="23" t="str">
        <f>IFERROR(INDEX(vdata_regressors!$A$1:$L$2000,MATCH($A775,vdata_regressors!$A$2:$A$2000,0)+1,MATCH(G$2,vdata_regressors!$A$1:$R$1,0)),"")</f>
        <v/>
      </c>
      <c r="H775" s="23" t="str">
        <f>IFERROR(INDEX(vdata_regressors!$A$1:$L$2000,MATCH($A775,vdata_regressors!$A$2:$A$2000,0)+1,MATCH(H$2,vdata_regressors!$A$1:$R$1,0)),"")</f>
        <v/>
      </c>
      <c r="I775" s="23" t="str">
        <f>IFERROR(INDEX(vdata_regressors!$A$1:$L$2000,MATCH($A775,vdata_regressors!$A$2:$A$2000,0)+1,MATCH(I$2,vdata_regressors!$A$1:$R$1,0)),"")</f>
        <v/>
      </c>
      <c r="J775" s="23" t="str">
        <f>IFERROR(INDEX(vdata_regressors!$A$1:$L$2000,MATCH($A775,vdata_regressors!$A$2:$A$2000,0)+1,MATCH(J$2,vdata_regressors!$A$1:$R$1,0)),"")</f>
        <v/>
      </c>
      <c r="K775" s="23" t="str">
        <f>IFERROR(INDEX(vdata_regressors!$A$1:$L$2000,MATCH($A775,vdata_regressors!$A$2:$A$2000,0)+1,MATCH(K$2,vdata_regressors!$A$1:$R$1,0)),"")</f>
        <v/>
      </c>
      <c r="L775" s="23" t="str">
        <f>IFERROR(INDEX(vdata_regressors!$A$1:$L$2000,MATCH($A775,vdata_regressors!$A$2:$A$2000,0)+1,MATCH(L$2,vdata_regressors!$A$1:$R$1,0)),"")</f>
        <v/>
      </c>
      <c r="M775" s="23" t="str">
        <f>IFERROR(VLOOKUP(A775,vdata_hours!$A$2:$B$1000,2,FALSE),"")</f>
        <v/>
      </c>
    </row>
    <row r="776" spans="1:13" x14ac:dyDescent="0.25">
      <c r="A776" s="23" t="str">
        <f>IF(vdata_hours!A775=0,"",vdata_hours!A775)</f>
        <v/>
      </c>
      <c r="B776" s="23" t="str">
        <f>IFERROR(INDEX(vdata_regressors!$A$1:$L$2000,MATCH($A776,vdata_regressors!$A$2:$A$2000,0)+1,MATCH(B$2,vdata_regressors!$A$1:$R$1,0)),"")</f>
        <v/>
      </c>
      <c r="C776" s="23" t="str">
        <f>IFERROR(INDEX(vdata_regressors!$A$1:$L$2000,MATCH($A776,vdata_regressors!$A$2:$A$2000,0)+1,MATCH(C$2,vdata_regressors!$A$1:$R$1,0)),"")</f>
        <v/>
      </c>
      <c r="D776" s="23" t="str">
        <f>IFERROR(INDEX(vdata_regressors!$A$1:$L$2000,MATCH($A776,vdata_regressors!$A$2:$A$2000,0)+1,MATCH(D$2,vdata_regressors!$A$1:$R$1,0)),"")</f>
        <v/>
      </c>
      <c r="E776" s="23" t="str">
        <f>IFERROR(INDEX(vdata_regressors!$A$1:$L$2000,MATCH($A776,vdata_regressors!$A$2:$A$2000,0)+1,MATCH(E$2,vdata_regressors!$A$1:$R$1,0)),"")</f>
        <v/>
      </c>
      <c r="F776" s="23" t="str">
        <f>IFERROR(INDEX(vdata_regressors!$A$1:$L$2000,MATCH($A776,vdata_regressors!$A$2:$A$2000,0)+1,MATCH(F$2,vdata_regressors!$A$1:$R$1,0)),"")</f>
        <v/>
      </c>
      <c r="G776" s="23" t="str">
        <f>IFERROR(INDEX(vdata_regressors!$A$1:$L$2000,MATCH($A776,vdata_regressors!$A$2:$A$2000,0)+1,MATCH(G$2,vdata_regressors!$A$1:$R$1,0)),"")</f>
        <v/>
      </c>
      <c r="H776" s="23" t="str">
        <f>IFERROR(INDEX(vdata_regressors!$A$1:$L$2000,MATCH($A776,vdata_regressors!$A$2:$A$2000,0)+1,MATCH(H$2,vdata_regressors!$A$1:$R$1,0)),"")</f>
        <v/>
      </c>
      <c r="I776" s="23" t="str">
        <f>IFERROR(INDEX(vdata_regressors!$A$1:$L$2000,MATCH($A776,vdata_regressors!$A$2:$A$2000,0)+1,MATCH(I$2,vdata_regressors!$A$1:$R$1,0)),"")</f>
        <v/>
      </c>
      <c r="J776" s="23" t="str">
        <f>IFERROR(INDEX(vdata_regressors!$A$1:$L$2000,MATCH($A776,vdata_regressors!$A$2:$A$2000,0)+1,MATCH(J$2,vdata_regressors!$A$1:$R$1,0)),"")</f>
        <v/>
      </c>
      <c r="K776" s="23" t="str">
        <f>IFERROR(INDEX(vdata_regressors!$A$1:$L$2000,MATCH($A776,vdata_regressors!$A$2:$A$2000,0)+1,MATCH(K$2,vdata_regressors!$A$1:$R$1,0)),"")</f>
        <v/>
      </c>
      <c r="L776" s="23" t="str">
        <f>IFERROR(INDEX(vdata_regressors!$A$1:$L$2000,MATCH($A776,vdata_regressors!$A$2:$A$2000,0)+1,MATCH(L$2,vdata_regressors!$A$1:$R$1,0)),"")</f>
        <v/>
      </c>
      <c r="M776" s="23" t="str">
        <f>IFERROR(VLOOKUP(A776,vdata_hours!$A$2:$B$1000,2,FALSE),"")</f>
        <v/>
      </c>
    </row>
    <row r="777" spans="1:13" x14ac:dyDescent="0.25">
      <c r="A777" s="23" t="str">
        <f>IF(vdata_hours!A776=0,"",vdata_hours!A776)</f>
        <v/>
      </c>
      <c r="B777" s="23" t="str">
        <f>IFERROR(INDEX(vdata_regressors!$A$1:$L$2000,MATCH($A777,vdata_regressors!$A$2:$A$2000,0)+1,MATCH(B$2,vdata_regressors!$A$1:$R$1,0)),"")</f>
        <v/>
      </c>
      <c r="C777" s="23" t="str">
        <f>IFERROR(INDEX(vdata_regressors!$A$1:$L$2000,MATCH($A777,vdata_regressors!$A$2:$A$2000,0)+1,MATCH(C$2,vdata_regressors!$A$1:$R$1,0)),"")</f>
        <v/>
      </c>
      <c r="D777" s="23" t="str">
        <f>IFERROR(INDEX(vdata_regressors!$A$1:$L$2000,MATCH($A777,vdata_regressors!$A$2:$A$2000,0)+1,MATCH(D$2,vdata_regressors!$A$1:$R$1,0)),"")</f>
        <v/>
      </c>
      <c r="E777" s="23" t="str">
        <f>IFERROR(INDEX(vdata_regressors!$A$1:$L$2000,MATCH($A777,vdata_regressors!$A$2:$A$2000,0)+1,MATCH(E$2,vdata_regressors!$A$1:$R$1,0)),"")</f>
        <v/>
      </c>
      <c r="F777" s="23" t="str">
        <f>IFERROR(INDEX(vdata_regressors!$A$1:$L$2000,MATCH($A777,vdata_regressors!$A$2:$A$2000,0)+1,MATCH(F$2,vdata_regressors!$A$1:$R$1,0)),"")</f>
        <v/>
      </c>
      <c r="G777" s="23" t="str">
        <f>IFERROR(INDEX(vdata_regressors!$A$1:$L$2000,MATCH($A777,vdata_regressors!$A$2:$A$2000,0)+1,MATCH(G$2,vdata_regressors!$A$1:$R$1,0)),"")</f>
        <v/>
      </c>
      <c r="H777" s="23" t="str">
        <f>IFERROR(INDEX(vdata_regressors!$A$1:$L$2000,MATCH($A777,vdata_regressors!$A$2:$A$2000,0)+1,MATCH(H$2,vdata_regressors!$A$1:$R$1,0)),"")</f>
        <v/>
      </c>
      <c r="I777" s="23" t="str">
        <f>IFERROR(INDEX(vdata_regressors!$A$1:$L$2000,MATCH($A777,vdata_regressors!$A$2:$A$2000,0)+1,MATCH(I$2,vdata_regressors!$A$1:$R$1,0)),"")</f>
        <v/>
      </c>
      <c r="J777" s="23" t="str">
        <f>IFERROR(INDEX(vdata_regressors!$A$1:$L$2000,MATCH($A777,vdata_regressors!$A$2:$A$2000,0)+1,MATCH(J$2,vdata_regressors!$A$1:$R$1,0)),"")</f>
        <v/>
      </c>
      <c r="K777" s="23" t="str">
        <f>IFERROR(INDEX(vdata_regressors!$A$1:$L$2000,MATCH($A777,vdata_regressors!$A$2:$A$2000,0)+1,MATCH(K$2,vdata_regressors!$A$1:$R$1,0)),"")</f>
        <v/>
      </c>
      <c r="L777" s="23" t="str">
        <f>IFERROR(INDEX(vdata_regressors!$A$1:$L$2000,MATCH($A777,vdata_regressors!$A$2:$A$2000,0)+1,MATCH(L$2,vdata_regressors!$A$1:$R$1,0)),"")</f>
        <v/>
      </c>
      <c r="M777" s="23" t="str">
        <f>IFERROR(VLOOKUP(A777,vdata_hours!$A$2:$B$1000,2,FALSE),"")</f>
        <v/>
      </c>
    </row>
    <row r="778" spans="1:13" x14ac:dyDescent="0.25">
      <c r="A778" s="23" t="str">
        <f>IF(vdata_hours!A777=0,"",vdata_hours!A777)</f>
        <v/>
      </c>
      <c r="B778" s="23" t="str">
        <f>IFERROR(INDEX(vdata_regressors!$A$1:$L$2000,MATCH($A778,vdata_regressors!$A$2:$A$2000,0)+1,MATCH(B$2,vdata_regressors!$A$1:$R$1,0)),"")</f>
        <v/>
      </c>
      <c r="C778" s="23" t="str">
        <f>IFERROR(INDEX(vdata_regressors!$A$1:$L$2000,MATCH($A778,vdata_regressors!$A$2:$A$2000,0)+1,MATCH(C$2,vdata_regressors!$A$1:$R$1,0)),"")</f>
        <v/>
      </c>
      <c r="D778" s="23" t="str">
        <f>IFERROR(INDEX(vdata_regressors!$A$1:$L$2000,MATCH($A778,vdata_regressors!$A$2:$A$2000,0)+1,MATCH(D$2,vdata_regressors!$A$1:$R$1,0)),"")</f>
        <v/>
      </c>
      <c r="E778" s="23" t="str">
        <f>IFERROR(INDEX(vdata_regressors!$A$1:$L$2000,MATCH($A778,vdata_regressors!$A$2:$A$2000,0)+1,MATCH(E$2,vdata_regressors!$A$1:$R$1,0)),"")</f>
        <v/>
      </c>
      <c r="F778" s="23" t="str">
        <f>IFERROR(INDEX(vdata_regressors!$A$1:$L$2000,MATCH($A778,vdata_regressors!$A$2:$A$2000,0)+1,MATCH(F$2,vdata_regressors!$A$1:$R$1,0)),"")</f>
        <v/>
      </c>
      <c r="G778" s="23" t="str">
        <f>IFERROR(INDEX(vdata_regressors!$A$1:$L$2000,MATCH($A778,vdata_regressors!$A$2:$A$2000,0)+1,MATCH(G$2,vdata_regressors!$A$1:$R$1,0)),"")</f>
        <v/>
      </c>
      <c r="H778" s="23" t="str">
        <f>IFERROR(INDEX(vdata_regressors!$A$1:$L$2000,MATCH($A778,vdata_regressors!$A$2:$A$2000,0)+1,MATCH(H$2,vdata_regressors!$A$1:$R$1,0)),"")</f>
        <v/>
      </c>
      <c r="I778" s="23" t="str">
        <f>IFERROR(INDEX(vdata_regressors!$A$1:$L$2000,MATCH($A778,vdata_regressors!$A$2:$A$2000,0)+1,MATCH(I$2,vdata_regressors!$A$1:$R$1,0)),"")</f>
        <v/>
      </c>
      <c r="J778" s="23" t="str">
        <f>IFERROR(INDEX(vdata_regressors!$A$1:$L$2000,MATCH($A778,vdata_regressors!$A$2:$A$2000,0)+1,MATCH(J$2,vdata_regressors!$A$1:$R$1,0)),"")</f>
        <v/>
      </c>
      <c r="K778" s="23" t="str">
        <f>IFERROR(INDEX(vdata_regressors!$A$1:$L$2000,MATCH($A778,vdata_regressors!$A$2:$A$2000,0)+1,MATCH(K$2,vdata_regressors!$A$1:$R$1,0)),"")</f>
        <v/>
      </c>
      <c r="L778" s="23" t="str">
        <f>IFERROR(INDEX(vdata_regressors!$A$1:$L$2000,MATCH($A778,vdata_regressors!$A$2:$A$2000,0)+1,MATCH(L$2,vdata_regressors!$A$1:$R$1,0)),"")</f>
        <v/>
      </c>
      <c r="M778" s="23" t="str">
        <f>IFERROR(VLOOKUP(A778,vdata_hours!$A$2:$B$1000,2,FALSE),"")</f>
        <v/>
      </c>
    </row>
    <row r="779" spans="1:13" x14ac:dyDescent="0.25">
      <c r="A779" s="23" t="str">
        <f>IF(vdata_hours!A778=0,"",vdata_hours!A778)</f>
        <v/>
      </c>
      <c r="B779" s="23" t="str">
        <f>IFERROR(INDEX(vdata_regressors!$A$1:$L$2000,MATCH($A779,vdata_regressors!$A$2:$A$2000,0)+1,MATCH(B$2,vdata_regressors!$A$1:$R$1,0)),"")</f>
        <v/>
      </c>
      <c r="C779" s="23" t="str">
        <f>IFERROR(INDEX(vdata_regressors!$A$1:$L$2000,MATCH($A779,vdata_regressors!$A$2:$A$2000,0)+1,MATCH(C$2,vdata_regressors!$A$1:$R$1,0)),"")</f>
        <v/>
      </c>
      <c r="D779" s="23" t="str">
        <f>IFERROR(INDEX(vdata_regressors!$A$1:$L$2000,MATCH($A779,vdata_regressors!$A$2:$A$2000,0)+1,MATCH(D$2,vdata_regressors!$A$1:$R$1,0)),"")</f>
        <v/>
      </c>
      <c r="E779" s="23" t="str">
        <f>IFERROR(INDEX(vdata_regressors!$A$1:$L$2000,MATCH($A779,vdata_regressors!$A$2:$A$2000,0)+1,MATCH(E$2,vdata_regressors!$A$1:$R$1,0)),"")</f>
        <v/>
      </c>
      <c r="F779" s="23" t="str">
        <f>IFERROR(INDEX(vdata_regressors!$A$1:$L$2000,MATCH($A779,vdata_regressors!$A$2:$A$2000,0)+1,MATCH(F$2,vdata_regressors!$A$1:$R$1,0)),"")</f>
        <v/>
      </c>
      <c r="G779" s="23" t="str">
        <f>IFERROR(INDEX(vdata_regressors!$A$1:$L$2000,MATCH($A779,vdata_regressors!$A$2:$A$2000,0)+1,MATCH(G$2,vdata_regressors!$A$1:$R$1,0)),"")</f>
        <v/>
      </c>
      <c r="H779" s="23" t="str">
        <f>IFERROR(INDEX(vdata_regressors!$A$1:$L$2000,MATCH($A779,vdata_regressors!$A$2:$A$2000,0)+1,MATCH(H$2,vdata_regressors!$A$1:$R$1,0)),"")</f>
        <v/>
      </c>
      <c r="I779" s="23" t="str">
        <f>IFERROR(INDEX(vdata_regressors!$A$1:$L$2000,MATCH($A779,vdata_regressors!$A$2:$A$2000,0)+1,MATCH(I$2,vdata_regressors!$A$1:$R$1,0)),"")</f>
        <v/>
      </c>
      <c r="J779" s="23" t="str">
        <f>IFERROR(INDEX(vdata_regressors!$A$1:$L$2000,MATCH($A779,vdata_regressors!$A$2:$A$2000,0)+1,MATCH(J$2,vdata_regressors!$A$1:$R$1,0)),"")</f>
        <v/>
      </c>
      <c r="K779" s="23" t="str">
        <f>IFERROR(INDEX(vdata_regressors!$A$1:$L$2000,MATCH($A779,vdata_regressors!$A$2:$A$2000,0)+1,MATCH(K$2,vdata_regressors!$A$1:$R$1,0)),"")</f>
        <v/>
      </c>
      <c r="L779" s="23" t="str">
        <f>IFERROR(INDEX(vdata_regressors!$A$1:$L$2000,MATCH($A779,vdata_regressors!$A$2:$A$2000,0)+1,MATCH(L$2,vdata_regressors!$A$1:$R$1,0)),"")</f>
        <v/>
      </c>
      <c r="M779" s="23" t="str">
        <f>IFERROR(VLOOKUP(A779,vdata_hours!$A$2:$B$1000,2,FALSE),"")</f>
        <v/>
      </c>
    </row>
    <row r="780" spans="1:13" x14ac:dyDescent="0.25">
      <c r="A780" s="23" t="str">
        <f>IF(vdata_hours!A779=0,"",vdata_hours!A779)</f>
        <v/>
      </c>
      <c r="B780" s="23" t="str">
        <f>IFERROR(INDEX(vdata_regressors!$A$1:$L$2000,MATCH($A780,vdata_regressors!$A$2:$A$2000,0)+1,MATCH(B$2,vdata_regressors!$A$1:$R$1,0)),"")</f>
        <v/>
      </c>
      <c r="C780" s="23" t="str">
        <f>IFERROR(INDEX(vdata_regressors!$A$1:$L$2000,MATCH($A780,vdata_regressors!$A$2:$A$2000,0)+1,MATCH(C$2,vdata_regressors!$A$1:$R$1,0)),"")</f>
        <v/>
      </c>
      <c r="D780" s="23" t="str">
        <f>IFERROR(INDEX(vdata_regressors!$A$1:$L$2000,MATCH($A780,vdata_regressors!$A$2:$A$2000,0)+1,MATCH(D$2,vdata_regressors!$A$1:$R$1,0)),"")</f>
        <v/>
      </c>
      <c r="E780" s="23" t="str">
        <f>IFERROR(INDEX(vdata_regressors!$A$1:$L$2000,MATCH($A780,vdata_regressors!$A$2:$A$2000,0)+1,MATCH(E$2,vdata_regressors!$A$1:$R$1,0)),"")</f>
        <v/>
      </c>
      <c r="F780" s="23" t="str">
        <f>IFERROR(INDEX(vdata_regressors!$A$1:$L$2000,MATCH($A780,vdata_regressors!$A$2:$A$2000,0)+1,MATCH(F$2,vdata_regressors!$A$1:$R$1,0)),"")</f>
        <v/>
      </c>
      <c r="G780" s="23" t="str">
        <f>IFERROR(INDEX(vdata_regressors!$A$1:$L$2000,MATCH($A780,vdata_regressors!$A$2:$A$2000,0)+1,MATCH(G$2,vdata_regressors!$A$1:$R$1,0)),"")</f>
        <v/>
      </c>
      <c r="H780" s="23" t="str">
        <f>IFERROR(INDEX(vdata_regressors!$A$1:$L$2000,MATCH($A780,vdata_regressors!$A$2:$A$2000,0)+1,MATCH(H$2,vdata_regressors!$A$1:$R$1,0)),"")</f>
        <v/>
      </c>
      <c r="I780" s="23" t="str">
        <f>IFERROR(INDEX(vdata_regressors!$A$1:$L$2000,MATCH($A780,vdata_regressors!$A$2:$A$2000,0)+1,MATCH(I$2,vdata_regressors!$A$1:$R$1,0)),"")</f>
        <v/>
      </c>
      <c r="J780" s="23" t="str">
        <f>IFERROR(INDEX(vdata_regressors!$A$1:$L$2000,MATCH($A780,vdata_regressors!$A$2:$A$2000,0)+1,MATCH(J$2,vdata_regressors!$A$1:$R$1,0)),"")</f>
        <v/>
      </c>
      <c r="K780" s="23" t="str">
        <f>IFERROR(INDEX(vdata_regressors!$A$1:$L$2000,MATCH($A780,vdata_regressors!$A$2:$A$2000,0)+1,MATCH(K$2,vdata_regressors!$A$1:$R$1,0)),"")</f>
        <v/>
      </c>
      <c r="L780" s="23" t="str">
        <f>IFERROR(INDEX(vdata_regressors!$A$1:$L$2000,MATCH($A780,vdata_regressors!$A$2:$A$2000,0)+1,MATCH(L$2,vdata_regressors!$A$1:$R$1,0)),"")</f>
        <v/>
      </c>
      <c r="M780" s="23" t="str">
        <f>IFERROR(VLOOKUP(A780,vdata_hours!$A$2:$B$1000,2,FALSE),"")</f>
        <v/>
      </c>
    </row>
    <row r="781" spans="1:13" x14ac:dyDescent="0.25">
      <c r="A781" s="23" t="str">
        <f>IF(vdata_hours!A780=0,"",vdata_hours!A780)</f>
        <v/>
      </c>
      <c r="B781" s="23" t="str">
        <f>IFERROR(INDEX(vdata_regressors!$A$1:$L$2000,MATCH($A781,vdata_regressors!$A$2:$A$2000,0)+1,MATCH(B$2,vdata_regressors!$A$1:$R$1,0)),"")</f>
        <v/>
      </c>
      <c r="C781" s="23" t="str">
        <f>IFERROR(INDEX(vdata_regressors!$A$1:$L$2000,MATCH($A781,vdata_regressors!$A$2:$A$2000,0)+1,MATCH(C$2,vdata_regressors!$A$1:$R$1,0)),"")</f>
        <v/>
      </c>
      <c r="D781" s="23" t="str">
        <f>IFERROR(INDEX(vdata_regressors!$A$1:$L$2000,MATCH($A781,vdata_regressors!$A$2:$A$2000,0)+1,MATCH(D$2,vdata_regressors!$A$1:$R$1,0)),"")</f>
        <v/>
      </c>
      <c r="E781" s="23" t="str">
        <f>IFERROR(INDEX(vdata_regressors!$A$1:$L$2000,MATCH($A781,vdata_regressors!$A$2:$A$2000,0)+1,MATCH(E$2,vdata_regressors!$A$1:$R$1,0)),"")</f>
        <v/>
      </c>
      <c r="F781" s="23" t="str">
        <f>IFERROR(INDEX(vdata_regressors!$A$1:$L$2000,MATCH($A781,vdata_regressors!$A$2:$A$2000,0)+1,MATCH(F$2,vdata_regressors!$A$1:$R$1,0)),"")</f>
        <v/>
      </c>
      <c r="G781" s="23" t="str">
        <f>IFERROR(INDEX(vdata_regressors!$A$1:$L$2000,MATCH($A781,vdata_regressors!$A$2:$A$2000,0)+1,MATCH(G$2,vdata_regressors!$A$1:$R$1,0)),"")</f>
        <v/>
      </c>
      <c r="H781" s="23" t="str">
        <f>IFERROR(INDEX(vdata_regressors!$A$1:$L$2000,MATCH($A781,vdata_regressors!$A$2:$A$2000,0)+1,MATCH(H$2,vdata_regressors!$A$1:$R$1,0)),"")</f>
        <v/>
      </c>
      <c r="I781" s="23" t="str">
        <f>IFERROR(INDEX(vdata_regressors!$A$1:$L$2000,MATCH($A781,vdata_regressors!$A$2:$A$2000,0)+1,MATCH(I$2,vdata_regressors!$A$1:$R$1,0)),"")</f>
        <v/>
      </c>
      <c r="J781" s="23" t="str">
        <f>IFERROR(INDEX(vdata_regressors!$A$1:$L$2000,MATCH($A781,vdata_regressors!$A$2:$A$2000,0)+1,MATCH(J$2,vdata_regressors!$A$1:$R$1,0)),"")</f>
        <v/>
      </c>
      <c r="K781" s="23" t="str">
        <f>IFERROR(INDEX(vdata_regressors!$A$1:$L$2000,MATCH($A781,vdata_regressors!$A$2:$A$2000,0)+1,MATCH(K$2,vdata_regressors!$A$1:$R$1,0)),"")</f>
        <v/>
      </c>
      <c r="L781" s="23" t="str">
        <f>IFERROR(INDEX(vdata_regressors!$A$1:$L$2000,MATCH($A781,vdata_regressors!$A$2:$A$2000,0)+1,MATCH(L$2,vdata_regressors!$A$1:$R$1,0)),"")</f>
        <v/>
      </c>
      <c r="M781" s="23" t="str">
        <f>IFERROR(VLOOKUP(A781,vdata_hours!$A$2:$B$1000,2,FALSE),"")</f>
        <v/>
      </c>
    </row>
    <row r="782" spans="1:13" x14ac:dyDescent="0.25">
      <c r="A782" s="23" t="str">
        <f>IF(vdata_hours!A781=0,"",vdata_hours!A781)</f>
        <v/>
      </c>
      <c r="B782" s="23" t="str">
        <f>IFERROR(INDEX(vdata_regressors!$A$1:$L$2000,MATCH($A782,vdata_regressors!$A$2:$A$2000,0)+1,MATCH(B$2,vdata_regressors!$A$1:$R$1,0)),"")</f>
        <v/>
      </c>
      <c r="C782" s="23" t="str">
        <f>IFERROR(INDEX(vdata_regressors!$A$1:$L$2000,MATCH($A782,vdata_regressors!$A$2:$A$2000,0)+1,MATCH(C$2,vdata_regressors!$A$1:$R$1,0)),"")</f>
        <v/>
      </c>
      <c r="D782" s="23" t="str">
        <f>IFERROR(INDEX(vdata_regressors!$A$1:$L$2000,MATCH($A782,vdata_regressors!$A$2:$A$2000,0)+1,MATCH(D$2,vdata_regressors!$A$1:$R$1,0)),"")</f>
        <v/>
      </c>
      <c r="E782" s="23" t="str">
        <f>IFERROR(INDEX(vdata_regressors!$A$1:$L$2000,MATCH($A782,vdata_regressors!$A$2:$A$2000,0)+1,MATCH(E$2,vdata_regressors!$A$1:$R$1,0)),"")</f>
        <v/>
      </c>
      <c r="F782" s="23" t="str">
        <f>IFERROR(INDEX(vdata_regressors!$A$1:$L$2000,MATCH($A782,vdata_regressors!$A$2:$A$2000,0)+1,MATCH(F$2,vdata_regressors!$A$1:$R$1,0)),"")</f>
        <v/>
      </c>
      <c r="G782" s="23" t="str">
        <f>IFERROR(INDEX(vdata_regressors!$A$1:$L$2000,MATCH($A782,vdata_regressors!$A$2:$A$2000,0)+1,MATCH(G$2,vdata_regressors!$A$1:$R$1,0)),"")</f>
        <v/>
      </c>
      <c r="H782" s="23" t="str">
        <f>IFERROR(INDEX(vdata_regressors!$A$1:$L$2000,MATCH($A782,vdata_regressors!$A$2:$A$2000,0)+1,MATCH(H$2,vdata_regressors!$A$1:$R$1,0)),"")</f>
        <v/>
      </c>
      <c r="I782" s="23" t="str">
        <f>IFERROR(INDEX(vdata_regressors!$A$1:$L$2000,MATCH($A782,vdata_regressors!$A$2:$A$2000,0)+1,MATCH(I$2,vdata_regressors!$A$1:$R$1,0)),"")</f>
        <v/>
      </c>
      <c r="J782" s="23" t="str">
        <f>IFERROR(INDEX(vdata_regressors!$A$1:$L$2000,MATCH($A782,vdata_regressors!$A$2:$A$2000,0)+1,MATCH(J$2,vdata_regressors!$A$1:$R$1,0)),"")</f>
        <v/>
      </c>
      <c r="K782" s="23" t="str">
        <f>IFERROR(INDEX(vdata_regressors!$A$1:$L$2000,MATCH($A782,vdata_regressors!$A$2:$A$2000,0)+1,MATCH(K$2,vdata_regressors!$A$1:$R$1,0)),"")</f>
        <v/>
      </c>
      <c r="L782" s="23" t="str">
        <f>IFERROR(INDEX(vdata_regressors!$A$1:$L$2000,MATCH($A782,vdata_regressors!$A$2:$A$2000,0)+1,MATCH(L$2,vdata_regressors!$A$1:$R$1,0)),"")</f>
        <v/>
      </c>
      <c r="M782" s="23" t="str">
        <f>IFERROR(VLOOKUP(A782,vdata_hours!$A$2:$B$1000,2,FALSE),"")</f>
        <v/>
      </c>
    </row>
    <row r="783" spans="1:13" x14ac:dyDescent="0.25">
      <c r="A783" s="23" t="str">
        <f>IF(vdata_hours!A782=0,"",vdata_hours!A782)</f>
        <v/>
      </c>
      <c r="B783" s="23" t="str">
        <f>IFERROR(INDEX(vdata_regressors!$A$1:$L$2000,MATCH($A783,vdata_regressors!$A$2:$A$2000,0)+1,MATCH(B$2,vdata_regressors!$A$1:$R$1,0)),"")</f>
        <v/>
      </c>
      <c r="C783" s="23" t="str">
        <f>IFERROR(INDEX(vdata_regressors!$A$1:$L$2000,MATCH($A783,vdata_regressors!$A$2:$A$2000,0)+1,MATCH(C$2,vdata_regressors!$A$1:$R$1,0)),"")</f>
        <v/>
      </c>
      <c r="D783" s="23" t="str">
        <f>IFERROR(INDEX(vdata_regressors!$A$1:$L$2000,MATCH($A783,vdata_regressors!$A$2:$A$2000,0)+1,MATCH(D$2,vdata_regressors!$A$1:$R$1,0)),"")</f>
        <v/>
      </c>
      <c r="E783" s="23" t="str">
        <f>IFERROR(INDEX(vdata_regressors!$A$1:$L$2000,MATCH($A783,vdata_regressors!$A$2:$A$2000,0)+1,MATCH(E$2,vdata_regressors!$A$1:$R$1,0)),"")</f>
        <v/>
      </c>
      <c r="F783" s="23" t="str">
        <f>IFERROR(INDEX(vdata_regressors!$A$1:$L$2000,MATCH($A783,vdata_regressors!$A$2:$A$2000,0)+1,MATCH(F$2,vdata_regressors!$A$1:$R$1,0)),"")</f>
        <v/>
      </c>
      <c r="G783" s="23" t="str">
        <f>IFERROR(INDEX(vdata_regressors!$A$1:$L$2000,MATCH($A783,vdata_regressors!$A$2:$A$2000,0)+1,MATCH(G$2,vdata_regressors!$A$1:$R$1,0)),"")</f>
        <v/>
      </c>
      <c r="H783" s="23" t="str">
        <f>IFERROR(INDEX(vdata_regressors!$A$1:$L$2000,MATCH($A783,vdata_regressors!$A$2:$A$2000,0)+1,MATCH(H$2,vdata_regressors!$A$1:$R$1,0)),"")</f>
        <v/>
      </c>
      <c r="I783" s="23" t="str">
        <f>IFERROR(INDEX(vdata_regressors!$A$1:$L$2000,MATCH($A783,vdata_regressors!$A$2:$A$2000,0)+1,MATCH(I$2,vdata_regressors!$A$1:$R$1,0)),"")</f>
        <v/>
      </c>
      <c r="J783" s="23" t="str">
        <f>IFERROR(INDEX(vdata_regressors!$A$1:$L$2000,MATCH($A783,vdata_regressors!$A$2:$A$2000,0)+1,MATCH(J$2,vdata_regressors!$A$1:$R$1,0)),"")</f>
        <v/>
      </c>
      <c r="K783" s="23" t="str">
        <f>IFERROR(INDEX(vdata_regressors!$A$1:$L$2000,MATCH($A783,vdata_regressors!$A$2:$A$2000,0)+1,MATCH(K$2,vdata_regressors!$A$1:$R$1,0)),"")</f>
        <v/>
      </c>
      <c r="L783" s="23" t="str">
        <f>IFERROR(INDEX(vdata_regressors!$A$1:$L$2000,MATCH($A783,vdata_regressors!$A$2:$A$2000,0)+1,MATCH(L$2,vdata_regressors!$A$1:$R$1,0)),"")</f>
        <v/>
      </c>
      <c r="M783" s="23" t="str">
        <f>IFERROR(VLOOKUP(A783,vdata_hours!$A$2:$B$1000,2,FALSE),"")</f>
        <v/>
      </c>
    </row>
    <row r="784" spans="1:13" x14ac:dyDescent="0.25">
      <c r="A784" s="23" t="str">
        <f>IF(vdata_hours!A783=0,"",vdata_hours!A783)</f>
        <v/>
      </c>
      <c r="B784" s="23" t="str">
        <f>IFERROR(INDEX(vdata_regressors!$A$1:$L$2000,MATCH($A784,vdata_regressors!$A$2:$A$2000,0)+1,MATCH(B$2,vdata_regressors!$A$1:$R$1,0)),"")</f>
        <v/>
      </c>
      <c r="C784" s="23" t="str">
        <f>IFERROR(INDEX(vdata_regressors!$A$1:$L$2000,MATCH($A784,vdata_regressors!$A$2:$A$2000,0)+1,MATCH(C$2,vdata_regressors!$A$1:$R$1,0)),"")</f>
        <v/>
      </c>
      <c r="D784" s="23" t="str">
        <f>IFERROR(INDEX(vdata_regressors!$A$1:$L$2000,MATCH($A784,vdata_regressors!$A$2:$A$2000,0)+1,MATCH(D$2,vdata_regressors!$A$1:$R$1,0)),"")</f>
        <v/>
      </c>
      <c r="E784" s="23" t="str">
        <f>IFERROR(INDEX(vdata_regressors!$A$1:$L$2000,MATCH($A784,vdata_regressors!$A$2:$A$2000,0)+1,MATCH(E$2,vdata_regressors!$A$1:$R$1,0)),"")</f>
        <v/>
      </c>
      <c r="F784" s="23" t="str">
        <f>IFERROR(INDEX(vdata_regressors!$A$1:$L$2000,MATCH($A784,vdata_regressors!$A$2:$A$2000,0)+1,MATCH(F$2,vdata_regressors!$A$1:$R$1,0)),"")</f>
        <v/>
      </c>
      <c r="G784" s="23" t="str">
        <f>IFERROR(INDEX(vdata_regressors!$A$1:$L$2000,MATCH($A784,vdata_regressors!$A$2:$A$2000,0)+1,MATCH(G$2,vdata_regressors!$A$1:$R$1,0)),"")</f>
        <v/>
      </c>
      <c r="H784" s="23" t="str">
        <f>IFERROR(INDEX(vdata_regressors!$A$1:$L$2000,MATCH($A784,vdata_regressors!$A$2:$A$2000,0)+1,MATCH(H$2,vdata_regressors!$A$1:$R$1,0)),"")</f>
        <v/>
      </c>
      <c r="I784" s="23" t="str">
        <f>IFERROR(INDEX(vdata_regressors!$A$1:$L$2000,MATCH($A784,vdata_regressors!$A$2:$A$2000,0)+1,MATCH(I$2,vdata_regressors!$A$1:$R$1,0)),"")</f>
        <v/>
      </c>
      <c r="J784" s="23" t="str">
        <f>IFERROR(INDEX(vdata_regressors!$A$1:$L$2000,MATCH($A784,vdata_regressors!$A$2:$A$2000,0)+1,MATCH(J$2,vdata_regressors!$A$1:$R$1,0)),"")</f>
        <v/>
      </c>
      <c r="K784" s="23" t="str">
        <f>IFERROR(INDEX(vdata_regressors!$A$1:$L$2000,MATCH($A784,vdata_regressors!$A$2:$A$2000,0)+1,MATCH(K$2,vdata_regressors!$A$1:$R$1,0)),"")</f>
        <v/>
      </c>
      <c r="L784" s="23" t="str">
        <f>IFERROR(INDEX(vdata_regressors!$A$1:$L$2000,MATCH($A784,vdata_regressors!$A$2:$A$2000,0)+1,MATCH(L$2,vdata_regressors!$A$1:$R$1,0)),"")</f>
        <v/>
      </c>
      <c r="M784" s="23" t="str">
        <f>IFERROR(VLOOKUP(A784,vdata_hours!$A$2:$B$1000,2,FALSE),"")</f>
        <v/>
      </c>
    </row>
    <row r="785" spans="1:13" x14ac:dyDescent="0.25">
      <c r="A785" s="23" t="str">
        <f>IF(vdata_hours!A784=0,"",vdata_hours!A784)</f>
        <v/>
      </c>
      <c r="B785" s="23" t="str">
        <f>IFERROR(INDEX(vdata_regressors!$A$1:$L$2000,MATCH($A785,vdata_regressors!$A$2:$A$2000,0)+1,MATCH(B$2,vdata_regressors!$A$1:$R$1,0)),"")</f>
        <v/>
      </c>
      <c r="C785" s="23" t="str">
        <f>IFERROR(INDEX(vdata_regressors!$A$1:$L$2000,MATCH($A785,vdata_regressors!$A$2:$A$2000,0)+1,MATCH(C$2,vdata_regressors!$A$1:$R$1,0)),"")</f>
        <v/>
      </c>
      <c r="D785" s="23" t="str">
        <f>IFERROR(INDEX(vdata_regressors!$A$1:$L$2000,MATCH($A785,vdata_regressors!$A$2:$A$2000,0)+1,MATCH(D$2,vdata_regressors!$A$1:$R$1,0)),"")</f>
        <v/>
      </c>
      <c r="E785" s="23" t="str">
        <f>IFERROR(INDEX(vdata_regressors!$A$1:$L$2000,MATCH($A785,vdata_regressors!$A$2:$A$2000,0)+1,MATCH(E$2,vdata_regressors!$A$1:$R$1,0)),"")</f>
        <v/>
      </c>
      <c r="F785" s="23" t="str">
        <f>IFERROR(INDEX(vdata_regressors!$A$1:$L$2000,MATCH($A785,vdata_regressors!$A$2:$A$2000,0)+1,MATCH(F$2,vdata_regressors!$A$1:$R$1,0)),"")</f>
        <v/>
      </c>
      <c r="G785" s="23" t="str">
        <f>IFERROR(INDEX(vdata_regressors!$A$1:$L$2000,MATCH($A785,vdata_regressors!$A$2:$A$2000,0)+1,MATCH(G$2,vdata_regressors!$A$1:$R$1,0)),"")</f>
        <v/>
      </c>
      <c r="H785" s="23" t="str">
        <f>IFERROR(INDEX(vdata_regressors!$A$1:$L$2000,MATCH($A785,vdata_regressors!$A$2:$A$2000,0)+1,MATCH(H$2,vdata_regressors!$A$1:$R$1,0)),"")</f>
        <v/>
      </c>
      <c r="I785" s="23" t="str">
        <f>IFERROR(INDEX(vdata_regressors!$A$1:$L$2000,MATCH($A785,vdata_regressors!$A$2:$A$2000,0)+1,MATCH(I$2,vdata_regressors!$A$1:$R$1,0)),"")</f>
        <v/>
      </c>
      <c r="J785" s="23" t="str">
        <f>IFERROR(INDEX(vdata_regressors!$A$1:$L$2000,MATCH($A785,vdata_regressors!$A$2:$A$2000,0)+1,MATCH(J$2,vdata_regressors!$A$1:$R$1,0)),"")</f>
        <v/>
      </c>
      <c r="K785" s="23" t="str">
        <f>IFERROR(INDEX(vdata_regressors!$A$1:$L$2000,MATCH($A785,vdata_regressors!$A$2:$A$2000,0)+1,MATCH(K$2,vdata_regressors!$A$1:$R$1,0)),"")</f>
        <v/>
      </c>
      <c r="L785" s="23" t="str">
        <f>IFERROR(INDEX(vdata_regressors!$A$1:$L$2000,MATCH($A785,vdata_regressors!$A$2:$A$2000,0)+1,MATCH(L$2,vdata_regressors!$A$1:$R$1,0)),"")</f>
        <v/>
      </c>
      <c r="M785" s="23" t="str">
        <f>IFERROR(VLOOKUP(A785,vdata_hours!$A$2:$B$1000,2,FALSE),"")</f>
        <v/>
      </c>
    </row>
    <row r="786" spans="1:13" x14ac:dyDescent="0.25">
      <c r="A786" s="23" t="str">
        <f>IF(vdata_hours!A785=0,"",vdata_hours!A785)</f>
        <v/>
      </c>
      <c r="B786" s="23" t="str">
        <f>IFERROR(INDEX(vdata_regressors!$A$1:$L$2000,MATCH($A786,vdata_regressors!$A$2:$A$2000,0)+1,MATCH(B$2,vdata_regressors!$A$1:$R$1,0)),"")</f>
        <v/>
      </c>
      <c r="C786" s="23" t="str">
        <f>IFERROR(INDEX(vdata_regressors!$A$1:$L$2000,MATCH($A786,vdata_regressors!$A$2:$A$2000,0)+1,MATCH(C$2,vdata_regressors!$A$1:$R$1,0)),"")</f>
        <v/>
      </c>
      <c r="D786" s="23" t="str">
        <f>IFERROR(INDEX(vdata_regressors!$A$1:$L$2000,MATCH($A786,vdata_regressors!$A$2:$A$2000,0)+1,MATCH(D$2,vdata_regressors!$A$1:$R$1,0)),"")</f>
        <v/>
      </c>
      <c r="E786" s="23" t="str">
        <f>IFERROR(INDEX(vdata_regressors!$A$1:$L$2000,MATCH($A786,vdata_regressors!$A$2:$A$2000,0)+1,MATCH(E$2,vdata_regressors!$A$1:$R$1,0)),"")</f>
        <v/>
      </c>
      <c r="F786" s="23" t="str">
        <f>IFERROR(INDEX(vdata_regressors!$A$1:$L$2000,MATCH($A786,vdata_regressors!$A$2:$A$2000,0)+1,MATCH(F$2,vdata_regressors!$A$1:$R$1,0)),"")</f>
        <v/>
      </c>
      <c r="G786" s="23" t="str">
        <f>IFERROR(INDEX(vdata_regressors!$A$1:$L$2000,MATCH($A786,vdata_regressors!$A$2:$A$2000,0)+1,MATCH(G$2,vdata_regressors!$A$1:$R$1,0)),"")</f>
        <v/>
      </c>
      <c r="H786" s="23" t="str">
        <f>IFERROR(INDEX(vdata_regressors!$A$1:$L$2000,MATCH($A786,vdata_regressors!$A$2:$A$2000,0)+1,MATCH(H$2,vdata_regressors!$A$1:$R$1,0)),"")</f>
        <v/>
      </c>
      <c r="I786" s="23" t="str">
        <f>IFERROR(INDEX(vdata_regressors!$A$1:$L$2000,MATCH($A786,vdata_regressors!$A$2:$A$2000,0)+1,MATCH(I$2,vdata_regressors!$A$1:$R$1,0)),"")</f>
        <v/>
      </c>
      <c r="J786" s="23" t="str">
        <f>IFERROR(INDEX(vdata_regressors!$A$1:$L$2000,MATCH($A786,vdata_regressors!$A$2:$A$2000,0)+1,MATCH(J$2,vdata_regressors!$A$1:$R$1,0)),"")</f>
        <v/>
      </c>
      <c r="K786" s="23" t="str">
        <f>IFERROR(INDEX(vdata_regressors!$A$1:$L$2000,MATCH($A786,vdata_regressors!$A$2:$A$2000,0)+1,MATCH(K$2,vdata_regressors!$A$1:$R$1,0)),"")</f>
        <v/>
      </c>
      <c r="L786" s="23" t="str">
        <f>IFERROR(INDEX(vdata_regressors!$A$1:$L$2000,MATCH($A786,vdata_regressors!$A$2:$A$2000,0)+1,MATCH(L$2,vdata_regressors!$A$1:$R$1,0)),"")</f>
        <v/>
      </c>
      <c r="M786" s="23" t="str">
        <f>IFERROR(VLOOKUP(A786,vdata_hours!$A$2:$B$1000,2,FALSE),"")</f>
        <v/>
      </c>
    </row>
    <row r="787" spans="1:13" x14ac:dyDescent="0.25">
      <c r="A787" s="23" t="str">
        <f>IF(vdata_hours!A786=0,"",vdata_hours!A786)</f>
        <v/>
      </c>
      <c r="B787" s="23" t="str">
        <f>IFERROR(INDEX(vdata_regressors!$A$1:$L$2000,MATCH($A787,vdata_regressors!$A$2:$A$2000,0)+1,MATCH(B$2,vdata_regressors!$A$1:$R$1,0)),"")</f>
        <v/>
      </c>
      <c r="C787" s="23" t="str">
        <f>IFERROR(INDEX(vdata_regressors!$A$1:$L$2000,MATCH($A787,vdata_regressors!$A$2:$A$2000,0)+1,MATCH(C$2,vdata_regressors!$A$1:$R$1,0)),"")</f>
        <v/>
      </c>
      <c r="D787" s="23" t="str">
        <f>IFERROR(INDEX(vdata_regressors!$A$1:$L$2000,MATCH($A787,vdata_regressors!$A$2:$A$2000,0)+1,MATCH(D$2,vdata_regressors!$A$1:$R$1,0)),"")</f>
        <v/>
      </c>
      <c r="E787" s="23" t="str">
        <f>IFERROR(INDEX(vdata_regressors!$A$1:$L$2000,MATCH($A787,vdata_regressors!$A$2:$A$2000,0)+1,MATCH(E$2,vdata_regressors!$A$1:$R$1,0)),"")</f>
        <v/>
      </c>
      <c r="F787" s="23" t="str">
        <f>IFERROR(INDEX(vdata_regressors!$A$1:$L$2000,MATCH($A787,vdata_regressors!$A$2:$A$2000,0)+1,MATCH(F$2,vdata_regressors!$A$1:$R$1,0)),"")</f>
        <v/>
      </c>
      <c r="G787" s="23" t="str">
        <f>IFERROR(INDEX(vdata_regressors!$A$1:$L$2000,MATCH($A787,vdata_regressors!$A$2:$A$2000,0)+1,MATCH(G$2,vdata_regressors!$A$1:$R$1,0)),"")</f>
        <v/>
      </c>
      <c r="H787" s="23" t="str">
        <f>IFERROR(INDEX(vdata_regressors!$A$1:$L$2000,MATCH($A787,vdata_regressors!$A$2:$A$2000,0)+1,MATCH(H$2,vdata_regressors!$A$1:$R$1,0)),"")</f>
        <v/>
      </c>
      <c r="I787" s="23" t="str">
        <f>IFERROR(INDEX(vdata_regressors!$A$1:$L$2000,MATCH($A787,vdata_regressors!$A$2:$A$2000,0)+1,MATCH(I$2,vdata_regressors!$A$1:$R$1,0)),"")</f>
        <v/>
      </c>
      <c r="J787" s="23" t="str">
        <f>IFERROR(INDEX(vdata_regressors!$A$1:$L$2000,MATCH($A787,vdata_regressors!$A$2:$A$2000,0)+1,MATCH(J$2,vdata_regressors!$A$1:$R$1,0)),"")</f>
        <v/>
      </c>
      <c r="K787" s="23" t="str">
        <f>IFERROR(INDEX(vdata_regressors!$A$1:$L$2000,MATCH($A787,vdata_regressors!$A$2:$A$2000,0)+1,MATCH(K$2,vdata_regressors!$A$1:$R$1,0)),"")</f>
        <v/>
      </c>
      <c r="L787" s="23" t="str">
        <f>IFERROR(INDEX(vdata_regressors!$A$1:$L$2000,MATCH($A787,vdata_regressors!$A$2:$A$2000,0)+1,MATCH(L$2,vdata_regressors!$A$1:$R$1,0)),"")</f>
        <v/>
      </c>
      <c r="M787" s="23" t="str">
        <f>IFERROR(VLOOKUP(A787,vdata_hours!$A$2:$B$1000,2,FALSE),"")</f>
        <v/>
      </c>
    </row>
    <row r="788" spans="1:13" x14ac:dyDescent="0.25">
      <c r="A788" s="23" t="str">
        <f>IF(vdata_hours!A787=0,"",vdata_hours!A787)</f>
        <v/>
      </c>
      <c r="B788" s="23" t="str">
        <f>IFERROR(INDEX(vdata_regressors!$A$1:$L$2000,MATCH($A788,vdata_regressors!$A$2:$A$2000,0)+1,MATCH(B$2,vdata_regressors!$A$1:$R$1,0)),"")</f>
        <v/>
      </c>
      <c r="C788" s="23" t="str">
        <f>IFERROR(INDEX(vdata_regressors!$A$1:$L$2000,MATCH($A788,vdata_regressors!$A$2:$A$2000,0)+1,MATCH(C$2,vdata_regressors!$A$1:$R$1,0)),"")</f>
        <v/>
      </c>
      <c r="D788" s="23" t="str">
        <f>IFERROR(INDEX(vdata_regressors!$A$1:$L$2000,MATCH($A788,vdata_regressors!$A$2:$A$2000,0)+1,MATCH(D$2,vdata_regressors!$A$1:$R$1,0)),"")</f>
        <v/>
      </c>
      <c r="E788" s="23" t="str">
        <f>IFERROR(INDEX(vdata_regressors!$A$1:$L$2000,MATCH($A788,vdata_regressors!$A$2:$A$2000,0)+1,MATCH(E$2,vdata_regressors!$A$1:$R$1,0)),"")</f>
        <v/>
      </c>
      <c r="F788" s="23" t="str">
        <f>IFERROR(INDEX(vdata_regressors!$A$1:$L$2000,MATCH($A788,vdata_regressors!$A$2:$A$2000,0)+1,MATCH(F$2,vdata_regressors!$A$1:$R$1,0)),"")</f>
        <v/>
      </c>
      <c r="G788" s="23" t="str">
        <f>IFERROR(INDEX(vdata_regressors!$A$1:$L$2000,MATCH($A788,vdata_regressors!$A$2:$A$2000,0)+1,MATCH(G$2,vdata_regressors!$A$1:$R$1,0)),"")</f>
        <v/>
      </c>
      <c r="H788" s="23" t="str">
        <f>IFERROR(INDEX(vdata_regressors!$A$1:$L$2000,MATCH($A788,vdata_regressors!$A$2:$A$2000,0)+1,MATCH(H$2,vdata_regressors!$A$1:$R$1,0)),"")</f>
        <v/>
      </c>
      <c r="I788" s="23" t="str">
        <f>IFERROR(INDEX(vdata_regressors!$A$1:$L$2000,MATCH($A788,vdata_regressors!$A$2:$A$2000,0)+1,MATCH(I$2,vdata_regressors!$A$1:$R$1,0)),"")</f>
        <v/>
      </c>
      <c r="J788" s="23" t="str">
        <f>IFERROR(INDEX(vdata_regressors!$A$1:$L$2000,MATCH($A788,vdata_regressors!$A$2:$A$2000,0)+1,MATCH(J$2,vdata_regressors!$A$1:$R$1,0)),"")</f>
        <v/>
      </c>
      <c r="K788" s="23" t="str">
        <f>IFERROR(INDEX(vdata_regressors!$A$1:$L$2000,MATCH($A788,vdata_regressors!$A$2:$A$2000,0)+1,MATCH(K$2,vdata_regressors!$A$1:$R$1,0)),"")</f>
        <v/>
      </c>
      <c r="L788" s="23" t="str">
        <f>IFERROR(INDEX(vdata_regressors!$A$1:$L$2000,MATCH($A788,vdata_regressors!$A$2:$A$2000,0)+1,MATCH(L$2,vdata_regressors!$A$1:$R$1,0)),"")</f>
        <v/>
      </c>
      <c r="M788" s="23" t="str">
        <f>IFERROR(VLOOKUP(A788,vdata_hours!$A$2:$B$1000,2,FALSE),"")</f>
        <v/>
      </c>
    </row>
    <row r="789" spans="1:13" x14ac:dyDescent="0.25">
      <c r="A789" s="23" t="str">
        <f>IF(vdata_hours!A788=0,"",vdata_hours!A788)</f>
        <v/>
      </c>
      <c r="B789" s="23" t="str">
        <f>IFERROR(INDEX(vdata_regressors!$A$1:$L$2000,MATCH($A789,vdata_regressors!$A$2:$A$2000,0)+1,MATCH(B$2,vdata_regressors!$A$1:$R$1,0)),"")</f>
        <v/>
      </c>
      <c r="C789" s="23" t="str">
        <f>IFERROR(INDEX(vdata_regressors!$A$1:$L$2000,MATCH($A789,vdata_regressors!$A$2:$A$2000,0)+1,MATCH(C$2,vdata_regressors!$A$1:$R$1,0)),"")</f>
        <v/>
      </c>
      <c r="D789" s="23" t="str">
        <f>IFERROR(INDEX(vdata_regressors!$A$1:$L$2000,MATCH($A789,vdata_regressors!$A$2:$A$2000,0)+1,MATCH(D$2,vdata_regressors!$A$1:$R$1,0)),"")</f>
        <v/>
      </c>
      <c r="E789" s="23" t="str">
        <f>IFERROR(INDEX(vdata_regressors!$A$1:$L$2000,MATCH($A789,vdata_regressors!$A$2:$A$2000,0)+1,MATCH(E$2,vdata_regressors!$A$1:$R$1,0)),"")</f>
        <v/>
      </c>
      <c r="F789" s="23" t="str">
        <f>IFERROR(INDEX(vdata_regressors!$A$1:$L$2000,MATCH($A789,vdata_regressors!$A$2:$A$2000,0)+1,MATCH(F$2,vdata_regressors!$A$1:$R$1,0)),"")</f>
        <v/>
      </c>
      <c r="G789" s="23" t="str">
        <f>IFERROR(INDEX(vdata_regressors!$A$1:$L$2000,MATCH($A789,vdata_regressors!$A$2:$A$2000,0)+1,MATCH(G$2,vdata_regressors!$A$1:$R$1,0)),"")</f>
        <v/>
      </c>
      <c r="H789" s="23" t="str">
        <f>IFERROR(INDEX(vdata_regressors!$A$1:$L$2000,MATCH($A789,vdata_regressors!$A$2:$A$2000,0)+1,MATCH(H$2,vdata_regressors!$A$1:$R$1,0)),"")</f>
        <v/>
      </c>
      <c r="I789" s="23" t="str">
        <f>IFERROR(INDEX(vdata_regressors!$A$1:$L$2000,MATCH($A789,vdata_regressors!$A$2:$A$2000,0)+1,MATCH(I$2,vdata_regressors!$A$1:$R$1,0)),"")</f>
        <v/>
      </c>
      <c r="J789" s="23" t="str">
        <f>IFERROR(INDEX(vdata_regressors!$A$1:$L$2000,MATCH($A789,vdata_regressors!$A$2:$A$2000,0)+1,MATCH(J$2,vdata_regressors!$A$1:$R$1,0)),"")</f>
        <v/>
      </c>
      <c r="K789" s="23" t="str">
        <f>IFERROR(INDEX(vdata_regressors!$A$1:$L$2000,MATCH($A789,vdata_regressors!$A$2:$A$2000,0)+1,MATCH(K$2,vdata_regressors!$A$1:$R$1,0)),"")</f>
        <v/>
      </c>
      <c r="L789" s="23" t="str">
        <f>IFERROR(INDEX(vdata_regressors!$A$1:$L$2000,MATCH($A789,vdata_regressors!$A$2:$A$2000,0)+1,MATCH(L$2,vdata_regressors!$A$1:$R$1,0)),"")</f>
        <v/>
      </c>
      <c r="M789" s="23" t="str">
        <f>IFERROR(VLOOKUP(A789,vdata_hours!$A$2:$B$1000,2,FALSE),"")</f>
        <v/>
      </c>
    </row>
    <row r="790" spans="1:13" x14ac:dyDescent="0.25">
      <c r="A790" s="23" t="str">
        <f>IF(vdata_hours!A789=0,"",vdata_hours!A789)</f>
        <v/>
      </c>
      <c r="B790" s="23" t="str">
        <f>IFERROR(INDEX(vdata_regressors!$A$1:$L$2000,MATCH($A790,vdata_regressors!$A$2:$A$2000,0)+1,MATCH(B$2,vdata_regressors!$A$1:$R$1,0)),"")</f>
        <v/>
      </c>
      <c r="C790" s="23" t="str">
        <f>IFERROR(INDEX(vdata_regressors!$A$1:$L$2000,MATCH($A790,vdata_regressors!$A$2:$A$2000,0)+1,MATCH(C$2,vdata_regressors!$A$1:$R$1,0)),"")</f>
        <v/>
      </c>
      <c r="D790" s="23" t="str">
        <f>IFERROR(INDEX(vdata_regressors!$A$1:$L$2000,MATCH($A790,vdata_regressors!$A$2:$A$2000,0)+1,MATCH(D$2,vdata_regressors!$A$1:$R$1,0)),"")</f>
        <v/>
      </c>
      <c r="E790" s="23" t="str">
        <f>IFERROR(INDEX(vdata_regressors!$A$1:$L$2000,MATCH($A790,vdata_regressors!$A$2:$A$2000,0)+1,MATCH(E$2,vdata_regressors!$A$1:$R$1,0)),"")</f>
        <v/>
      </c>
      <c r="F790" s="23" t="str">
        <f>IFERROR(INDEX(vdata_regressors!$A$1:$L$2000,MATCH($A790,vdata_regressors!$A$2:$A$2000,0)+1,MATCH(F$2,vdata_regressors!$A$1:$R$1,0)),"")</f>
        <v/>
      </c>
      <c r="G790" s="23" t="str">
        <f>IFERROR(INDEX(vdata_regressors!$A$1:$L$2000,MATCH($A790,vdata_regressors!$A$2:$A$2000,0)+1,MATCH(G$2,vdata_regressors!$A$1:$R$1,0)),"")</f>
        <v/>
      </c>
      <c r="H790" s="23" t="str">
        <f>IFERROR(INDEX(vdata_regressors!$A$1:$L$2000,MATCH($A790,vdata_regressors!$A$2:$A$2000,0)+1,MATCH(H$2,vdata_regressors!$A$1:$R$1,0)),"")</f>
        <v/>
      </c>
      <c r="I790" s="23" t="str">
        <f>IFERROR(INDEX(vdata_regressors!$A$1:$L$2000,MATCH($A790,vdata_regressors!$A$2:$A$2000,0)+1,MATCH(I$2,vdata_regressors!$A$1:$R$1,0)),"")</f>
        <v/>
      </c>
      <c r="J790" s="23" t="str">
        <f>IFERROR(INDEX(vdata_regressors!$A$1:$L$2000,MATCH($A790,vdata_regressors!$A$2:$A$2000,0)+1,MATCH(J$2,vdata_regressors!$A$1:$R$1,0)),"")</f>
        <v/>
      </c>
      <c r="K790" s="23" t="str">
        <f>IFERROR(INDEX(vdata_regressors!$A$1:$L$2000,MATCH($A790,vdata_regressors!$A$2:$A$2000,0)+1,MATCH(K$2,vdata_regressors!$A$1:$R$1,0)),"")</f>
        <v/>
      </c>
      <c r="L790" s="23" t="str">
        <f>IFERROR(INDEX(vdata_regressors!$A$1:$L$2000,MATCH($A790,vdata_regressors!$A$2:$A$2000,0)+1,MATCH(L$2,vdata_regressors!$A$1:$R$1,0)),"")</f>
        <v/>
      </c>
      <c r="M790" s="23" t="str">
        <f>IFERROR(VLOOKUP(A790,vdata_hours!$A$2:$B$1000,2,FALSE),"")</f>
        <v/>
      </c>
    </row>
    <row r="791" spans="1:13" x14ac:dyDescent="0.25">
      <c r="A791" s="23" t="str">
        <f>IF(vdata_hours!A790=0,"",vdata_hours!A790)</f>
        <v/>
      </c>
      <c r="B791" s="23" t="str">
        <f>IFERROR(INDEX(vdata_regressors!$A$1:$L$2000,MATCH($A791,vdata_regressors!$A$2:$A$2000,0)+1,MATCH(B$2,vdata_regressors!$A$1:$R$1,0)),"")</f>
        <v/>
      </c>
      <c r="C791" s="23" t="str">
        <f>IFERROR(INDEX(vdata_regressors!$A$1:$L$2000,MATCH($A791,vdata_regressors!$A$2:$A$2000,0)+1,MATCH(C$2,vdata_regressors!$A$1:$R$1,0)),"")</f>
        <v/>
      </c>
      <c r="D791" s="23" t="str">
        <f>IFERROR(INDEX(vdata_regressors!$A$1:$L$2000,MATCH($A791,vdata_regressors!$A$2:$A$2000,0)+1,MATCH(D$2,vdata_regressors!$A$1:$R$1,0)),"")</f>
        <v/>
      </c>
      <c r="E791" s="23" t="str">
        <f>IFERROR(INDEX(vdata_regressors!$A$1:$L$2000,MATCH($A791,vdata_regressors!$A$2:$A$2000,0)+1,MATCH(E$2,vdata_regressors!$A$1:$R$1,0)),"")</f>
        <v/>
      </c>
      <c r="F791" s="23" t="str">
        <f>IFERROR(INDEX(vdata_regressors!$A$1:$L$2000,MATCH($A791,vdata_regressors!$A$2:$A$2000,0)+1,MATCH(F$2,vdata_regressors!$A$1:$R$1,0)),"")</f>
        <v/>
      </c>
      <c r="G791" s="23" t="str">
        <f>IFERROR(INDEX(vdata_regressors!$A$1:$L$2000,MATCH($A791,vdata_regressors!$A$2:$A$2000,0)+1,MATCH(G$2,vdata_regressors!$A$1:$R$1,0)),"")</f>
        <v/>
      </c>
      <c r="H791" s="23" t="str">
        <f>IFERROR(INDEX(vdata_regressors!$A$1:$L$2000,MATCH($A791,vdata_regressors!$A$2:$A$2000,0)+1,MATCH(H$2,vdata_regressors!$A$1:$R$1,0)),"")</f>
        <v/>
      </c>
      <c r="I791" s="23" t="str">
        <f>IFERROR(INDEX(vdata_regressors!$A$1:$L$2000,MATCH($A791,vdata_regressors!$A$2:$A$2000,0)+1,MATCH(I$2,vdata_regressors!$A$1:$R$1,0)),"")</f>
        <v/>
      </c>
      <c r="J791" s="23" t="str">
        <f>IFERROR(INDEX(vdata_regressors!$A$1:$L$2000,MATCH($A791,vdata_regressors!$A$2:$A$2000,0)+1,MATCH(J$2,vdata_regressors!$A$1:$R$1,0)),"")</f>
        <v/>
      </c>
      <c r="K791" s="23" t="str">
        <f>IFERROR(INDEX(vdata_regressors!$A$1:$L$2000,MATCH($A791,vdata_regressors!$A$2:$A$2000,0)+1,MATCH(K$2,vdata_regressors!$A$1:$R$1,0)),"")</f>
        <v/>
      </c>
      <c r="L791" s="23" t="str">
        <f>IFERROR(INDEX(vdata_regressors!$A$1:$L$2000,MATCH($A791,vdata_regressors!$A$2:$A$2000,0)+1,MATCH(L$2,vdata_regressors!$A$1:$R$1,0)),"")</f>
        <v/>
      </c>
      <c r="M791" s="23" t="str">
        <f>IFERROR(VLOOKUP(A791,vdata_hours!$A$2:$B$1000,2,FALSE),"")</f>
        <v/>
      </c>
    </row>
    <row r="792" spans="1:13" x14ac:dyDescent="0.25">
      <c r="A792" s="23" t="str">
        <f>IF(vdata_hours!A791=0,"",vdata_hours!A791)</f>
        <v/>
      </c>
      <c r="B792" s="23" t="str">
        <f>IFERROR(INDEX(vdata_regressors!$A$1:$L$2000,MATCH($A792,vdata_regressors!$A$2:$A$2000,0)+1,MATCH(B$2,vdata_regressors!$A$1:$R$1,0)),"")</f>
        <v/>
      </c>
      <c r="C792" s="23" t="str">
        <f>IFERROR(INDEX(vdata_regressors!$A$1:$L$2000,MATCH($A792,vdata_regressors!$A$2:$A$2000,0)+1,MATCH(C$2,vdata_regressors!$A$1:$R$1,0)),"")</f>
        <v/>
      </c>
      <c r="D792" s="23" t="str">
        <f>IFERROR(INDEX(vdata_regressors!$A$1:$L$2000,MATCH($A792,vdata_regressors!$A$2:$A$2000,0)+1,MATCH(D$2,vdata_regressors!$A$1:$R$1,0)),"")</f>
        <v/>
      </c>
      <c r="E792" s="23" t="str">
        <f>IFERROR(INDEX(vdata_regressors!$A$1:$L$2000,MATCH($A792,vdata_regressors!$A$2:$A$2000,0)+1,MATCH(E$2,vdata_regressors!$A$1:$R$1,0)),"")</f>
        <v/>
      </c>
      <c r="F792" s="23" t="str">
        <f>IFERROR(INDEX(vdata_regressors!$A$1:$L$2000,MATCH($A792,vdata_regressors!$A$2:$A$2000,0)+1,MATCH(F$2,vdata_regressors!$A$1:$R$1,0)),"")</f>
        <v/>
      </c>
      <c r="G792" s="23" t="str">
        <f>IFERROR(INDEX(vdata_regressors!$A$1:$L$2000,MATCH($A792,vdata_regressors!$A$2:$A$2000,0)+1,MATCH(G$2,vdata_regressors!$A$1:$R$1,0)),"")</f>
        <v/>
      </c>
      <c r="H792" s="23" t="str">
        <f>IFERROR(INDEX(vdata_regressors!$A$1:$L$2000,MATCH($A792,vdata_regressors!$A$2:$A$2000,0)+1,MATCH(H$2,vdata_regressors!$A$1:$R$1,0)),"")</f>
        <v/>
      </c>
      <c r="I792" s="23" t="str">
        <f>IFERROR(INDEX(vdata_regressors!$A$1:$L$2000,MATCH($A792,vdata_regressors!$A$2:$A$2000,0)+1,MATCH(I$2,vdata_regressors!$A$1:$R$1,0)),"")</f>
        <v/>
      </c>
      <c r="J792" s="23" t="str">
        <f>IFERROR(INDEX(vdata_regressors!$A$1:$L$2000,MATCH($A792,vdata_regressors!$A$2:$A$2000,0)+1,MATCH(J$2,vdata_regressors!$A$1:$R$1,0)),"")</f>
        <v/>
      </c>
      <c r="K792" s="23" t="str">
        <f>IFERROR(INDEX(vdata_regressors!$A$1:$L$2000,MATCH($A792,vdata_regressors!$A$2:$A$2000,0)+1,MATCH(K$2,vdata_regressors!$A$1:$R$1,0)),"")</f>
        <v/>
      </c>
      <c r="L792" s="23" t="str">
        <f>IFERROR(INDEX(vdata_regressors!$A$1:$L$2000,MATCH($A792,vdata_regressors!$A$2:$A$2000,0)+1,MATCH(L$2,vdata_regressors!$A$1:$R$1,0)),"")</f>
        <v/>
      </c>
      <c r="M792" s="23" t="str">
        <f>IFERROR(VLOOKUP(A792,vdata_hours!$A$2:$B$1000,2,FALSE),"")</f>
        <v/>
      </c>
    </row>
    <row r="793" spans="1:13" x14ac:dyDescent="0.25">
      <c r="A793" s="23" t="str">
        <f>IF(vdata_hours!A792=0,"",vdata_hours!A792)</f>
        <v/>
      </c>
      <c r="B793" s="23" t="str">
        <f>IFERROR(INDEX(vdata_regressors!$A$1:$L$2000,MATCH($A793,vdata_regressors!$A$2:$A$2000,0)+1,MATCH(B$2,vdata_regressors!$A$1:$R$1,0)),"")</f>
        <v/>
      </c>
      <c r="C793" s="23" t="str">
        <f>IFERROR(INDEX(vdata_regressors!$A$1:$L$2000,MATCH($A793,vdata_regressors!$A$2:$A$2000,0)+1,MATCH(C$2,vdata_regressors!$A$1:$R$1,0)),"")</f>
        <v/>
      </c>
      <c r="D793" s="23" t="str">
        <f>IFERROR(INDEX(vdata_regressors!$A$1:$L$2000,MATCH($A793,vdata_regressors!$A$2:$A$2000,0)+1,MATCH(D$2,vdata_regressors!$A$1:$R$1,0)),"")</f>
        <v/>
      </c>
      <c r="E793" s="23" t="str">
        <f>IFERROR(INDEX(vdata_regressors!$A$1:$L$2000,MATCH($A793,vdata_regressors!$A$2:$A$2000,0)+1,MATCH(E$2,vdata_regressors!$A$1:$R$1,0)),"")</f>
        <v/>
      </c>
      <c r="F793" s="23" t="str">
        <f>IFERROR(INDEX(vdata_regressors!$A$1:$L$2000,MATCH($A793,vdata_regressors!$A$2:$A$2000,0)+1,MATCH(F$2,vdata_regressors!$A$1:$R$1,0)),"")</f>
        <v/>
      </c>
      <c r="G793" s="23" t="str">
        <f>IFERROR(INDEX(vdata_regressors!$A$1:$L$2000,MATCH($A793,vdata_regressors!$A$2:$A$2000,0)+1,MATCH(G$2,vdata_regressors!$A$1:$R$1,0)),"")</f>
        <v/>
      </c>
      <c r="H793" s="23" t="str">
        <f>IFERROR(INDEX(vdata_regressors!$A$1:$L$2000,MATCH($A793,vdata_regressors!$A$2:$A$2000,0)+1,MATCH(H$2,vdata_regressors!$A$1:$R$1,0)),"")</f>
        <v/>
      </c>
      <c r="I793" s="23" t="str">
        <f>IFERROR(INDEX(vdata_regressors!$A$1:$L$2000,MATCH($A793,vdata_regressors!$A$2:$A$2000,0)+1,MATCH(I$2,vdata_regressors!$A$1:$R$1,0)),"")</f>
        <v/>
      </c>
      <c r="J793" s="23" t="str">
        <f>IFERROR(INDEX(vdata_regressors!$A$1:$L$2000,MATCH($A793,vdata_regressors!$A$2:$A$2000,0)+1,MATCH(J$2,vdata_regressors!$A$1:$R$1,0)),"")</f>
        <v/>
      </c>
      <c r="K793" s="23" t="str">
        <f>IFERROR(INDEX(vdata_regressors!$A$1:$L$2000,MATCH($A793,vdata_regressors!$A$2:$A$2000,0)+1,MATCH(K$2,vdata_regressors!$A$1:$R$1,0)),"")</f>
        <v/>
      </c>
      <c r="L793" s="23" t="str">
        <f>IFERROR(INDEX(vdata_regressors!$A$1:$L$2000,MATCH($A793,vdata_regressors!$A$2:$A$2000,0)+1,MATCH(L$2,vdata_regressors!$A$1:$R$1,0)),"")</f>
        <v/>
      </c>
      <c r="M793" s="23" t="str">
        <f>IFERROR(VLOOKUP(A793,vdata_hours!$A$2:$B$1000,2,FALSE),"")</f>
        <v/>
      </c>
    </row>
    <row r="794" spans="1:13" x14ac:dyDescent="0.25">
      <c r="A794" s="23" t="str">
        <f>IF(vdata_hours!A793=0,"",vdata_hours!A793)</f>
        <v/>
      </c>
      <c r="B794" s="23" t="str">
        <f>IFERROR(INDEX(vdata_regressors!$A$1:$L$2000,MATCH($A794,vdata_regressors!$A$2:$A$2000,0)+1,MATCH(B$2,vdata_regressors!$A$1:$R$1,0)),"")</f>
        <v/>
      </c>
      <c r="C794" s="23" t="str">
        <f>IFERROR(INDEX(vdata_regressors!$A$1:$L$2000,MATCH($A794,vdata_regressors!$A$2:$A$2000,0)+1,MATCH(C$2,vdata_regressors!$A$1:$R$1,0)),"")</f>
        <v/>
      </c>
      <c r="D794" s="23" t="str">
        <f>IFERROR(INDEX(vdata_regressors!$A$1:$L$2000,MATCH($A794,vdata_regressors!$A$2:$A$2000,0)+1,MATCH(D$2,vdata_regressors!$A$1:$R$1,0)),"")</f>
        <v/>
      </c>
      <c r="E794" s="23" t="str">
        <f>IFERROR(INDEX(vdata_regressors!$A$1:$L$2000,MATCH($A794,vdata_regressors!$A$2:$A$2000,0)+1,MATCH(E$2,vdata_regressors!$A$1:$R$1,0)),"")</f>
        <v/>
      </c>
      <c r="F794" s="23" t="str">
        <f>IFERROR(INDEX(vdata_regressors!$A$1:$L$2000,MATCH($A794,vdata_regressors!$A$2:$A$2000,0)+1,MATCH(F$2,vdata_regressors!$A$1:$R$1,0)),"")</f>
        <v/>
      </c>
      <c r="G794" s="23" t="str">
        <f>IFERROR(INDEX(vdata_regressors!$A$1:$L$2000,MATCH($A794,vdata_regressors!$A$2:$A$2000,0)+1,MATCH(G$2,vdata_regressors!$A$1:$R$1,0)),"")</f>
        <v/>
      </c>
      <c r="H794" s="23" t="str">
        <f>IFERROR(INDEX(vdata_regressors!$A$1:$L$2000,MATCH($A794,vdata_regressors!$A$2:$A$2000,0)+1,MATCH(H$2,vdata_regressors!$A$1:$R$1,0)),"")</f>
        <v/>
      </c>
      <c r="I794" s="23" t="str">
        <f>IFERROR(INDEX(vdata_regressors!$A$1:$L$2000,MATCH($A794,vdata_regressors!$A$2:$A$2000,0)+1,MATCH(I$2,vdata_regressors!$A$1:$R$1,0)),"")</f>
        <v/>
      </c>
      <c r="J794" s="23" t="str">
        <f>IFERROR(INDEX(vdata_regressors!$A$1:$L$2000,MATCH($A794,vdata_regressors!$A$2:$A$2000,0)+1,MATCH(J$2,vdata_regressors!$A$1:$R$1,0)),"")</f>
        <v/>
      </c>
      <c r="K794" s="23" t="str">
        <f>IFERROR(INDEX(vdata_regressors!$A$1:$L$2000,MATCH($A794,vdata_regressors!$A$2:$A$2000,0)+1,MATCH(K$2,vdata_regressors!$A$1:$R$1,0)),"")</f>
        <v/>
      </c>
      <c r="L794" s="23" t="str">
        <f>IFERROR(INDEX(vdata_regressors!$A$1:$L$2000,MATCH($A794,vdata_regressors!$A$2:$A$2000,0)+1,MATCH(L$2,vdata_regressors!$A$1:$R$1,0)),"")</f>
        <v/>
      </c>
      <c r="M794" s="23" t="str">
        <f>IFERROR(VLOOKUP(A794,vdata_hours!$A$2:$B$1000,2,FALSE),"")</f>
        <v/>
      </c>
    </row>
    <row r="795" spans="1:13" x14ac:dyDescent="0.25">
      <c r="A795" s="23" t="str">
        <f>IF(vdata_hours!A794=0,"",vdata_hours!A794)</f>
        <v/>
      </c>
      <c r="B795" s="23" t="str">
        <f>IFERROR(INDEX(vdata_regressors!$A$1:$L$2000,MATCH($A795,vdata_regressors!$A$2:$A$2000,0)+1,MATCH(B$2,vdata_regressors!$A$1:$R$1,0)),"")</f>
        <v/>
      </c>
      <c r="C795" s="23" t="str">
        <f>IFERROR(INDEX(vdata_regressors!$A$1:$L$2000,MATCH($A795,vdata_regressors!$A$2:$A$2000,0)+1,MATCH(C$2,vdata_regressors!$A$1:$R$1,0)),"")</f>
        <v/>
      </c>
      <c r="D795" s="23" t="str">
        <f>IFERROR(INDEX(vdata_regressors!$A$1:$L$2000,MATCH($A795,vdata_regressors!$A$2:$A$2000,0)+1,MATCH(D$2,vdata_regressors!$A$1:$R$1,0)),"")</f>
        <v/>
      </c>
      <c r="E795" s="23" t="str">
        <f>IFERROR(INDEX(vdata_regressors!$A$1:$L$2000,MATCH($A795,vdata_regressors!$A$2:$A$2000,0)+1,MATCH(E$2,vdata_regressors!$A$1:$R$1,0)),"")</f>
        <v/>
      </c>
      <c r="F795" s="23" t="str">
        <f>IFERROR(INDEX(vdata_regressors!$A$1:$L$2000,MATCH($A795,vdata_regressors!$A$2:$A$2000,0)+1,MATCH(F$2,vdata_regressors!$A$1:$R$1,0)),"")</f>
        <v/>
      </c>
      <c r="G795" s="23" t="str">
        <f>IFERROR(INDEX(vdata_regressors!$A$1:$L$2000,MATCH($A795,vdata_regressors!$A$2:$A$2000,0)+1,MATCH(G$2,vdata_regressors!$A$1:$R$1,0)),"")</f>
        <v/>
      </c>
      <c r="H795" s="23" t="str">
        <f>IFERROR(INDEX(vdata_regressors!$A$1:$L$2000,MATCH($A795,vdata_regressors!$A$2:$A$2000,0)+1,MATCH(H$2,vdata_regressors!$A$1:$R$1,0)),"")</f>
        <v/>
      </c>
      <c r="I795" s="23" t="str">
        <f>IFERROR(INDEX(vdata_regressors!$A$1:$L$2000,MATCH($A795,vdata_regressors!$A$2:$A$2000,0)+1,MATCH(I$2,vdata_regressors!$A$1:$R$1,0)),"")</f>
        <v/>
      </c>
      <c r="J795" s="23" t="str">
        <f>IFERROR(INDEX(vdata_regressors!$A$1:$L$2000,MATCH($A795,vdata_regressors!$A$2:$A$2000,0)+1,MATCH(J$2,vdata_regressors!$A$1:$R$1,0)),"")</f>
        <v/>
      </c>
      <c r="K795" s="23" t="str">
        <f>IFERROR(INDEX(vdata_regressors!$A$1:$L$2000,MATCH($A795,vdata_regressors!$A$2:$A$2000,0)+1,MATCH(K$2,vdata_regressors!$A$1:$R$1,0)),"")</f>
        <v/>
      </c>
      <c r="L795" s="23" t="str">
        <f>IFERROR(INDEX(vdata_regressors!$A$1:$L$2000,MATCH($A795,vdata_regressors!$A$2:$A$2000,0)+1,MATCH(L$2,vdata_regressors!$A$1:$R$1,0)),"")</f>
        <v/>
      </c>
      <c r="M795" s="23" t="str">
        <f>IFERROR(VLOOKUP(A795,vdata_hours!$A$2:$B$1000,2,FALSE),"")</f>
        <v/>
      </c>
    </row>
    <row r="796" spans="1:13" x14ac:dyDescent="0.25">
      <c r="A796" s="23" t="str">
        <f>IF(vdata_hours!A795=0,"",vdata_hours!A795)</f>
        <v/>
      </c>
      <c r="B796" s="23" t="str">
        <f>IFERROR(INDEX(vdata_regressors!$A$1:$L$2000,MATCH($A796,vdata_regressors!$A$2:$A$2000,0)+1,MATCH(B$2,vdata_regressors!$A$1:$R$1,0)),"")</f>
        <v/>
      </c>
      <c r="C796" s="23" t="str">
        <f>IFERROR(INDEX(vdata_regressors!$A$1:$L$2000,MATCH($A796,vdata_regressors!$A$2:$A$2000,0)+1,MATCH(C$2,vdata_regressors!$A$1:$R$1,0)),"")</f>
        <v/>
      </c>
      <c r="D796" s="23" t="str">
        <f>IFERROR(INDEX(vdata_regressors!$A$1:$L$2000,MATCH($A796,vdata_regressors!$A$2:$A$2000,0)+1,MATCH(D$2,vdata_regressors!$A$1:$R$1,0)),"")</f>
        <v/>
      </c>
      <c r="E796" s="23" t="str">
        <f>IFERROR(INDEX(vdata_regressors!$A$1:$L$2000,MATCH($A796,vdata_regressors!$A$2:$A$2000,0)+1,MATCH(E$2,vdata_regressors!$A$1:$R$1,0)),"")</f>
        <v/>
      </c>
      <c r="F796" s="23" t="str">
        <f>IFERROR(INDEX(vdata_regressors!$A$1:$L$2000,MATCH($A796,vdata_regressors!$A$2:$A$2000,0)+1,MATCH(F$2,vdata_regressors!$A$1:$R$1,0)),"")</f>
        <v/>
      </c>
      <c r="G796" s="23" t="str">
        <f>IFERROR(INDEX(vdata_regressors!$A$1:$L$2000,MATCH($A796,vdata_regressors!$A$2:$A$2000,0)+1,MATCH(G$2,vdata_regressors!$A$1:$R$1,0)),"")</f>
        <v/>
      </c>
      <c r="H796" s="23" t="str">
        <f>IFERROR(INDEX(vdata_regressors!$A$1:$L$2000,MATCH($A796,vdata_regressors!$A$2:$A$2000,0)+1,MATCH(H$2,vdata_regressors!$A$1:$R$1,0)),"")</f>
        <v/>
      </c>
      <c r="I796" s="23" t="str">
        <f>IFERROR(INDEX(vdata_regressors!$A$1:$L$2000,MATCH($A796,vdata_regressors!$A$2:$A$2000,0)+1,MATCH(I$2,vdata_regressors!$A$1:$R$1,0)),"")</f>
        <v/>
      </c>
      <c r="J796" s="23" t="str">
        <f>IFERROR(INDEX(vdata_regressors!$A$1:$L$2000,MATCH($A796,vdata_regressors!$A$2:$A$2000,0)+1,MATCH(J$2,vdata_regressors!$A$1:$R$1,0)),"")</f>
        <v/>
      </c>
      <c r="K796" s="23" t="str">
        <f>IFERROR(INDEX(vdata_regressors!$A$1:$L$2000,MATCH($A796,vdata_regressors!$A$2:$A$2000,0)+1,MATCH(K$2,vdata_regressors!$A$1:$R$1,0)),"")</f>
        <v/>
      </c>
      <c r="L796" s="23" t="str">
        <f>IFERROR(INDEX(vdata_regressors!$A$1:$L$2000,MATCH($A796,vdata_regressors!$A$2:$A$2000,0)+1,MATCH(L$2,vdata_regressors!$A$1:$R$1,0)),"")</f>
        <v/>
      </c>
      <c r="M796" s="23" t="str">
        <f>IFERROR(VLOOKUP(A796,vdata_hours!$A$2:$B$1000,2,FALSE),"")</f>
        <v/>
      </c>
    </row>
    <row r="797" spans="1:13" x14ac:dyDescent="0.25">
      <c r="A797" s="23" t="str">
        <f>IF(vdata_hours!A796=0,"",vdata_hours!A796)</f>
        <v/>
      </c>
      <c r="B797" s="23" t="str">
        <f>IFERROR(INDEX(vdata_regressors!$A$1:$L$2000,MATCH($A797,vdata_regressors!$A$2:$A$2000,0)+1,MATCH(B$2,vdata_regressors!$A$1:$R$1,0)),"")</f>
        <v/>
      </c>
      <c r="C797" s="23" t="str">
        <f>IFERROR(INDEX(vdata_regressors!$A$1:$L$2000,MATCH($A797,vdata_regressors!$A$2:$A$2000,0)+1,MATCH(C$2,vdata_regressors!$A$1:$R$1,0)),"")</f>
        <v/>
      </c>
      <c r="D797" s="23" t="str">
        <f>IFERROR(INDEX(vdata_regressors!$A$1:$L$2000,MATCH($A797,vdata_regressors!$A$2:$A$2000,0)+1,MATCH(D$2,vdata_regressors!$A$1:$R$1,0)),"")</f>
        <v/>
      </c>
      <c r="E797" s="23" t="str">
        <f>IFERROR(INDEX(vdata_regressors!$A$1:$L$2000,MATCH($A797,vdata_regressors!$A$2:$A$2000,0)+1,MATCH(E$2,vdata_regressors!$A$1:$R$1,0)),"")</f>
        <v/>
      </c>
      <c r="F797" s="23" t="str">
        <f>IFERROR(INDEX(vdata_regressors!$A$1:$L$2000,MATCH($A797,vdata_regressors!$A$2:$A$2000,0)+1,MATCH(F$2,vdata_regressors!$A$1:$R$1,0)),"")</f>
        <v/>
      </c>
      <c r="G797" s="23" t="str">
        <f>IFERROR(INDEX(vdata_regressors!$A$1:$L$2000,MATCH($A797,vdata_regressors!$A$2:$A$2000,0)+1,MATCH(G$2,vdata_regressors!$A$1:$R$1,0)),"")</f>
        <v/>
      </c>
      <c r="H797" s="23" t="str">
        <f>IFERROR(INDEX(vdata_regressors!$A$1:$L$2000,MATCH($A797,vdata_regressors!$A$2:$A$2000,0)+1,MATCH(H$2,vdata_regressors!$A$1:$R$1,0)),"")</f>
        <v/>
      </c>
      <c r="I797" s="23" t="str">
        <f>IFERROR(INDEX(vdata_regressors!$A$1:$L$2000,MATCH($A797,vdata_regressors!$A$2:$A$2000,0)+1,MATCH(I$2,vdata_regressors!$A$1:$R$1,0)),"")</f>
        <v/>
      </c>
      <c r="J797" s="23" t="str">
        <f>IFERROR(INDEX(vdata_regressors!$A$1:$L$2000,MATCH($A797,vdata_regressors!$A$2:$A$2000,0)+1,MATCH(J$2,vdata_regressors!$A$1:$R$1,0)),"")</f>
        <v/>
      </c>
      <c r="K797" s="23" t="str">
        <f>IFERROR(INDEX(vdata_regressors!$A$1:$L$2000,MATCH($A797,vdata_regressors!$A$2:$A$2000,0)+1,MATCH(K$2,vdata_regressors!$A$1:$R$1,0)),"")</f>
        <v/>
      </c>
      <c r="L797" s="23" t="str">
        <f>IFERROR(INDEX(vdata_regressors!$A$1:$L$2000,MATCH($A797,vdata_regressors!$A$2:$A$2000,0)+1,MATCH(L$2,vdata_regressors!$A$1:$R$1,0)),"")</f>
        <v/>
      </c>
      <c r="M797" s="23" t="str">
        <f>IFERROR(VLOOKUP(A797,vdata_hours!$A$2:$B$1000,2,FALSE),"")</f>
        <v/>
      </c>
    </row>
    <row r="798" spans="1:13" x14ac:dyDescent="0.25">
      <c r="A798" s="23" t="str">
        <f>IF(vdata_hours!A797=0,"",vdata_hours!A797)</f>
        <v/>
      </c>
      <c r="B798" s="23" t="str">
        <f>IFERROR(INDEX(vdata_regressors!$A$1:$L$2000,MATCH($A798,vdata_regressors!$A$2:$A$2000,0)+1,MATCH(B$2,vdata_regressors!$A$1:$R$1,0)),"")</f>
        <v/>
      </c>
      <c r="C798" s="23" t="str">
        <f>IFERROR(INDEX(vdata_regressors!$A$1:$L$2000,MATCH($A798,vdata_regressors!$A$2:$A$2000,0)+1,MATCH(C$2,vdata_regressors!$A$1:$R$1,0)),"")</f>
        <v/>
      </c>
      <c r="D798" s="23" t="str">
        <f>IFERROR(INDEX(vdata_regressors!$A$1:$L$2000,MATCH($A798,vdata_regressors!$A$2:$A$2000,0)+1,MATCH(D$2,vdata_regressors!$A$1:$R$1,0)),"")</f>
        <v/>
      </c>
      <c r="E798" s="23" t="str">
        <f>IFERROR(INDEX(vdata_regressors!$A$1:$L$2000,MATCH($A798,vdata_regressors!$A$2:$A$2000,0)+1,MATCH(E$2,vdata_regressors!$A$1:$R$1,0)),"")</f>
        <v/>
      </c>
      <c r="F798" s="23" t="str">
        <f>IFERROR(INDEX(vdata_regressors!$A$1:$L$2000,MATCH($A798,vdata_regressors!$A$2:$A$2000,0)+1,MATCH(F$2,vdata_regressors!$A$1:$R$1,0)),"")</f>
        <v/>
      </c>
      <c r="G798" s="23" t="str">
        <f>IFERROR(INDEX(vdata_regressors!$A$1:$L$2000,MATCH($A798,vdata_regressors!$A$2:$A$2000,0)+1,MATCH(G$2,vdata_regressors!$A$1:$R$1,0)),"")</f>
        <v/>
      </c>
      <c r="H798" s="23" t="str">
        <f>IFERROR(INDEX(vdata_regressors!$A$1:$L$2000,MATCH($A798,vdata_regressors!$A$2:$A$2000,0)+1,MATCH(H$2,vdata_regressors!$A$1:$R$1,0)),"")</f>
        <v/>
      </c>
      <c r="I798" s="23" t="str">
        <f>IFERROR(INDEX(vdata_regressors!$A$1:$L$2000,MATCH($A798,vdata_regressors!$A$2:$A$2000,0)+1,MATCH(I$2,vdata_regressors!$A$1:$R$1,0)),"")</f>
        <v/>
      </c>
      <c r="J798" s="23" t="str">
        <f>IFERROR(INDEX(vdata_regressors!$A$1:$L$2000,MATCH($A798,vdata_regressors!$A$2:$A$2000,0)+1,MATCH(J$2,vdata_regressors!$A$1:$R$1,0)),"")</f>
        <v/>
      </c>
      <c r="K798" s="23" t="str">
        <f>IFERROR(INDEX(vdata_regressors!$A$1:$L$2000,MATCH($A798,vdata_regressors!$A$2:$A$2000,0)+1,MATCH(K$2,vdata_regressors!$A$1:$R$1,0)),"")</f>
        <v/>
      </c>
      <c r="L798" s="23" t="str">
        <f>IFERROR(INDEX(vdata_regressors!$A$1:$L$2000,MATCH($A798,vdata_regressors!$A$2:$A$2000,0)+1,MATCH(L$2,vdata_regressors!$A$1:$R$1,0)),"")</f>
        <v/>
      </c>
      <c r="M798" s="23" t="str">
        <f>IFERROR(VLOOKUP(A798,vdata_hours!$A$2:$B$1000,2,FALSE),"")</f>
        <v/>
      </c>
    </row>
    <row r="799" spans="1:13" x14ac:dyDescent="0.25">
      <c r="A799" s="23" t="str">
        <f>IF(vdata_hours!A798=0,"",vdata_hours!A798)</f>
        <v/>
      </c>
      <c r="B799" s="23" t="str">
        <f>IFERROR(INDEX(vdata_regressors!$A$1:$L$2000,MATCH($A799,vdata_regressors!$A$2:$A$2000,0)+1,MATCH(B$2,vdata_regressors!$A$1:$R$1,0)),"")</f>
        <v/>
      </c>
      <c r="C799" s="23" t="str">
        <f>IFERROR(INDEX(vdata_regressors!$A$1:$L$2000,MATCH($A799,vdata_regressors!$A$2:$A$2000,0)+1,MATCH(C$2,vdata_regressors!$A$1:$R$1,0)),"")</f>
        <v/>
      </c>
      <c r="D799" s="23" t="str">
        <f>IFERROR(INDEX(vdata_regressors!$A$1:$L$2000,MATCH($A799,vdata_regressors!$A$2:$A$2000,0)+1,MATCH(D$2,vdata_regressors!$A$1:$R$1,0)),"")</f>
        <v/>
      </c>
      <c r="E799" s="23" t="str">
        <f>IFERROR(INDEX(vdata_regressors!$A$1:$L$2000,MATCH($A799,vdata_regressors!$A$2:$A$2000,0)+1,MATCH(E$2,vdata_regressors!$A$1:$R$1,0)),"")</f>
        <v/>
      </c>
      <c r="F799" s="23" t="str">
        <f>IFERROR(INDEX(vdata_regressors!$A$1:$L$2000,MATCH($A799,vdata_regressors!$A$2:$A$2000,0)+1,MATCH(F$2,vdata_regressors!$A$1:$R$1,0)),"")</f>
        <v/>
      </c>
      <c r="G799" s="23" t="str">
        <f>IFERROR(INDEX(vdata_regressors!$A$1:$L$2000,MATCH($A799,vdata_regressors!$A$2:$A$2000,0)+1,MATCH(G$2,vdata_regressors!$A$1:$R$1,0)),"")</f>
        <v/>
      </c>
      <c r="H799" s="23" t="str">
        <f>IFERROR(INDEX(vdata_regressors!$A$1:$L$2000,MATCH($A799,vdata_regressors!$A$2:$A$2000,0)+1,MATCH(H$2,vdata_regressors!$A$1:$R$1,0)),"")</f>
        <v/>
      </c>
      <c r="I799" s="23" t="str">
        <f>IFERROR(INDEX(vdata_regressors!$A$1:$L$2000,MATCH($A799,vdata_regressors!$A$2:$A$2000,0)+1,MATCH(I$2,vdata_regressors!$A$1:$R$1,0)),"")</f>
        <v/>
      </c>
      <c r="J799" s="23" t="str">
        <f>IFERROR(INDEX(vdata_regressors!$A$1:$L$2000,MATCH($A799,vdata_regressors!$A$2:$A$2000,0)+1,MATCH(J$2,vdata_regressors!$A$1:$R$1,0)),"")</f>
        <v/>
      </c>
      <c r="K799" s="23" t="str">
        <f>IFERROR(INDEX(vdata_regressors!$A$1:$L$2000,MATCH($A799,vdata_regressors!$A$2:$A$2000,0)+1,MATCH(K$2,vdata_regressors!$A$1:$R$1,0)),"")</f>
        <v/>
      </c>
      <c r="L799" s="23" t="str">
        <f>IFERROR(INDEX(vdata_regressors!$A$1:$L$2000,MATCH($A799,vdata_regressors!$A$2:$A$2000,0)+1,MATCH(L$2,vdata_regressors!$A$1:$R$1,0)),"")</f>
        <v/>
      </c>
      <c r="M799" s="23" t="str">
        <f>IFERROR(VLOOKUP(A799,vdata_hours!$A$2:$B$1000,2,FALSE),"")</f>
        <v/>
      </c>
    </row>
    <row r="800" spans="1:13" x14ac:dyDescent="0.25">
      <c r="A800" s="23" t="str">
        <f>IF(vdata_hours!A799=0,"",vdata_hours!A799)</f>
        <v/>
      </c>
      <c r="B800" s="23" t="str">
        <f>IFERROR(INDEX(vdata_regressors!$A$1:$L$2000,MATCH($A800,vdata_regressors!$A$2:$A$2000,0)+1,MATCH(B$2,vdata_regressors!$A$1:$R$1,0)),"")</f>
        <v/>
      </c>
      <c r="C800" s="23" t="str">
        <f>IFERROR(INDEX(vdata_regressors!$A$1:$L$2000,MATCH($A800,vdata_regressors!$A$2:$A$2000,0)+1,MATCH(C$2,vdata_regressors!$A$1:$R$1,0)),"")</f>
        <v/>
      </c>
      <c r="D800" s="23" t="str">
        <f>IFERROR(INDEX(vdata_regressors!$A$1:$L$2000,MATCH($A800,vdata_regressors!$A$2:$A$2000,0)+1,MATCH(D$2,vdata_regressors!$A$1:$R$1,0)),"")</f>
        <v/>
      </c>
      <c r="E800" s="23" t="str">
        <f>IFERROR(INDEX(vdata_regressors!$A$1:$L$2000,MATCH($A800,vdata_regressors!$A$2:$A$2000,0)+1,MATCH(E$2,vdata_regressors!$A$1:$R$1,0)),"")</f>
        <v/>
      </c>
      <c r="F800" s="23" t="str">
        <f>IFERROR(INDEX(vdata_regressors!$A$1:$L$2000,MATCH($A800,vdata_regressors!$A$2:$A$2000,0)+1,MATCH(F$2,vdata_regressors!$A$1:$R$1,0)),"")</f>
        <v/>
      </c>
      <c r="G800" s="23" t="str">
        <f>IFERROR(INDEX(vdata_regressors!$A$1:$L$2000,MATCH($A800,vdata_regressors!$A$2:$A$2000,0)+1,MATCH(G$2,vdata_regressors!$A$1:$R$1,0)),"")</f>
        <v/>
      </c>
      <c r="H800" s="23" t="str">
        <f>IFERROR(INDEX(vdata_regressors!$A$1:$L$2000,MATCH($A800,vdata_regressors!$A$2:$A$2000,0)+1,MATCH(H$2,vdata_regressors!$A$1:$R$1,0)),"")</f>
        <v/>
      </c>
      <c r="I800" s="23" t="str">
        <f>IFERROR(INDEX(vdata_regressors!$A$1:$L$2000,MATCH($A800,vdata_regressors!$A$2:$A$2000,0)+1,MATCH(I$2,vdata_regressors!$A$1:$R$1,0)),"")</f>
        <v/>
      </c>
      <c r="J800" s="23" t="str">
        <f>IFERROR(INDEX(vdata_regressors!$A$1:$L$2000,MATCH($A800,vdata_regressors!$A$2:$A$2000,0)+1,MATCH(J$2,vdata_regressors!$A$1:$R$1,0)),"")</f>
        <v/>
      </c>
      <c r="K800" s="23" t="str">
        <f>IFERROR(INDEX(vdata_regressors!$A$1:$L$2000,MATCH($A800,vdata_regressors!$A$2:$A$2000,0)+1,MATCH(K$2,vdata_regressors!$A$1:$R$1,0)),"")</f>
        <v/>
      </c>
      <c r="L800" s="23" t="str">
        <f>IFERROR(INDEX(vdata_regressors!$A$1:$L$2000,MATCH($A800,vdata_regressors!$A$2:$A$2000,0)+1,MATCH(L$2,vdata_regressors!$A$1:$R$1,0)),"")</f>
        <v/>
      </c>
      <c r="M800" s="23" t="str">
        <f>IFERROR(VLOOKUP(A800,vdata_hours!$A$2:$B$1000,2,FALSE),"")</f>
        <v/>
      </c>
    </row>
    <row r="801" spans="1:13" x14ac:dyDescent="0.25">
      <c r="A801" s="23" t="str">
        <f>IF(vdata_hours!A800=0,"",vdata_hours!A800)</f>
        <v/>
      </c>
      <c r="B801" s="23" t="str">
        <f>IFERROR(INDEX(vdata_regressors!$A$1:$L$2000,MATCH($A801,vdata_regressors!$A$2:$A$2000,0)+1,MATCH(B$2,vdata_regressors!$A$1:$R$1,0)),"")</f>
        <v/>
      </c>
      <c r="C801" s="23" t="str">
        <f>IFERROR(INDEX(vdata_regressors!$A$1:$L$2000,MATCH($A801,vdata_regressors!$A$2:$A$2000,0)+1,MATCH(C$2,vdata_regressors!$A$1:$R$1,0)),"")</f>
        <v/>
      </c>
      <c r="D801" s="23" t="str">
        <f>IFERROR(INDEX(vdata_regressors!$A$1:$L$2000,MATCH($A801,vdata_regressors!$A$2:$A$2000,0)+1,MATCH(D$2,vdata_regressors!$A$1:$R$1,0)),"")</f>
        <v/>
      </c>
      <c r="E801" s="23" t="str">
        <f>IFERROR(INDEX(vdata_regressors!$A$1:$L$2000,MATCH($A801,vdata_regressors!$A$2:$A$2000,0)+1,MATCH(E$2,vdata_regressors!$A$1:$R$1,0)),"")</f>
        <v/>
      </c>
      <c r="F801" s="23" t="str">
        <f>IFERROR(INDEX(vdata_regressors!$A$1:$L$2000,MATCH($A801,vdata_regressors!$A$2:$A$2000,0)+1,MATCH(F$2,vdata_regressors!$A$1:$R$1,0)),"")</f>
        <v/>
      </c>
      <c r="G801" s="23" t="str">
        <f>IFERROR(INDEX(vdata_regressors!$A$1:$L$2000,MATCH($A801,vdata_regressors!$A$2:$A$2000,0)+1,MATCH(G$2,vdata_regressors!$A$1:$R$1,0)),"")</f>
        <v/>
      </c>
      <c r="H801" s="23" t="str">
        <f>IFERROR(INDEX(vdata_regressors!$A$1:$L$2000,MATCH($A801,vdata_regressors!$A$2:$A$2000,0)+1,MATCH(H$2,vdata_regressors!$A$1:$R$1,0)),"")</f>
        <v/>
      </c>
      <c r="I801" s="23" t="str">
        <f>IFERROR(INDEX(vdata_regressors!$A$1:$L$2000,MATCH($A801,vdata_regressors!$A$2:$A$2000,0)+1,MATCH(I$2,vdata_regressors!$A$1:$R$1,0)),"")</f>
        <v/>
      </c>
      <c r="J801" s="23" t="str">
        <f>IFERROR(INDEX(vdata_regressors!$A$1:$L$2000,MATCH($A801,vdata_regressors!$A$2:$A$2000,0)+1,MATCH(J$2,vdata_regressors!$A$1:$R$1,0)),"")</f>
        <v/>
      </c>
      <c r="K801" s="23" t="str">
        <f>IFERROR(INDEX(vdata_regressors!$A$1:$L$2000,MATCH($A801,vdata_regressors!$A$2:$A$2000,0)+1,MATCH(K$2,vdata_regressors!$A$1:$R$1,0)),"")</f>
        <v/>
      </c>
      <c r="L801" s="23" t="str">
        <f>IFERROR(INDEX(vdata_regressors!$A$1:$L$2000,MATCH($A801,vdata_regressors!$A$2:$A$2000,0)+1,MATCH(L$2,vdata_regressors!$A$1:$R$1,0)),"")</f>
        <v/>
      </c>
      <c r="M801" s="23" t="str">
        <f>IFERROR(VLOOKUP(A801,vdata_hours!$A$2:$B$1000,2,FALSE),"")</f>
        <v/>
      </c>
    </row>
    <row r="802" spans="1:13" x14ac:dyDescent="0.25">
      <c r="A802" s="23" t="str">
        <f>IF(vdata_hours!A801=0,"",vdata_hours!A801)</f>
        <v/>
      </c>
      <c r="B802" s="23" t="str">
        <f>IFERROR(INDEX(vdata_regressors!$A$1:$L$2000,MATCH($A802,vdata_regressors!$A$2:$A$2000,0)+1,MATCH(B$2,vdata_regressors!$A$1:$R$1,0)),"")</f>
        <v/>
      </c>
      <c r="C802" s="23" t="str">
        <f>IFERROR(INDEX(vdata_regressors!$A$1:$L$2000,MATCH($A802,vdata_regressors!$A$2:$A$2000,0)+1,MATCH(C$2,vdata_regressors!$A$1:$R$1,0)),"")</f>
        <v/>
      </c>
      <c r="D802" s="23" t="str">
        <f>IFERROR(INDEX(vdata_regressors!$A$1:$L$2000,MATCH($A802,vdata_regressors!$A$2:$A$2000,0)+1,MATCH(D$2,vdata_regressors!$A$1:$R$1,0)),"")</f>
        <v/>
      </c>
      <c r="E802" s="23" t="str">
        <f>IFERROR(INDEX(vdata_regressors!$A$1:$L$2000,MATCH($A802,vdata_regressors!$A$2:$A$2000,0)+1,MATCH(E$2,vdata_regressors!$A$1:$R$1,0)),"")</f>
        <v/>
      </c>
      <c r="F802" s="23" t="str">
        <f>IFERROR(INDEX(vdata_regressors!$A$1:$L$2000,MATCH($A802,vdata_regressors!$A$2:$A$2000,0)+1,MATCH(F$2,vdata_regressors!$A$1:$R$1,0)),"")</f>
        <v/>
      </c>
      <c r="G802" s="23" t="str">
        <f>IFERROR(INDEX(vdata_regressors!$A$1:$L$2000,MATCH($A802,vdata_regressors!$A$2:$A$2000,0)+1,MATCH(G$2,vdata_regressors!$A$1:$R$1,0)),"")</f>
        <v/>
      </c>
      <c r="H802" s="23" t="str">
        <f>IFERROR(INDEX(vdata_regressors!$A$1:$L$2000,MATCH($A802,vdata_regressors!$A$2:$A$2000,0)+1,MATCH(H$2,vdata_regressors!$A$1:$R$1,0)),"")</f>
        <v/>
      </c>
      <c r="I802" s="23" t="str">
        <f>IFERROR(INDEX(vdata_regressors!$A$1:$L$2000,MATCH($A802,vdata_regressors!$A$2:$A$2000,0)+1,MATCH(I$2,vdata_regressors!$A$1:$R$1,0)),"")</f>
        <v/>
      </c>
      <c r="J802" s="23" t="str">
        <f>IFERROR(INDEX(vdata_regressors!$A$1:$L$2000,MATCH($A802,vdata_regressors!$A$2:$A$2000,0)+1,MATCH(J$2,vdata_regressors!$A$1:$R$1,0)),"")</f>
        <v/>
      </c>
      <c r="K802" s="23" t="str">
        <f>IFERROR(INDEX(vdata_regressors!$A$1:$L$2000,MATCH($A802,vdata_regressors!$A$2:$A$2000,0)+1,MATCH(K$2,vdata_regressors!$A$1:$R$1,0)),"")</f>
        <v/>
      </c>
      <c r="L802" s="23" t="str">
        <f>IFERROR(INDEX(vdata_regressors!$A$1:$L$2000,MATCH($A802,vdata_regressors!$A$2:$A$2000,0)+1,MATCH(L$2,vdata_regressors!$A$1:$R$1,0)),"")</f>
        <v/>
      </c>
      <c r="M802" s="23" t="str">
        <f>IFERROR(VLOOKUP(A802,vdata_hours!$A$2:$B$1000,2,FALSE),"")</f>
        <v/>
      </c>
    </row>
    <row r="803" spans="1:13" x14ac:dyDescent="0.25">
      <c r="A803" s="23" t="str">
        <f>IF(vdata_hours!A802=0,"",vdata_hours!A802)</f>
        <v/>
      </c>
      <c r="B803" s="23" t="str">
        <f>IFERROR(INDEX(vdata_regressors!$A$1:$L$2000,MATCH($A803,vdata_regressors!$A$2:$A$2000,0)+1,MATCH(B$2,vdata_regressors!$A$1:$R$1,0)),"")</f>
        <v/>
      </c>
      <c r="C803" s="23" t="str">
        <f>IFERROR(INDEX(vdata_regressors!$A$1:$L$2000,MATCH($A803,vdata_regressors!$A$2:$A$2000,0)+1,MATCH(C$2,vdata_regressors!$A$1:$R$1,0)),"")</f>
        <v/>
      </c>
      <c r="D803" s="23" t="str">
        <f>IFERROR(INDEX(vdata_regressors!$A$1:$L$2000,MATCH($A803,vdata_regressors!$A$2:$A$2000,0)+1,MATCH(D$2,vdata_regressors!$A$1:$R$1,0)),"")</f>
        <v/>
      </c>
      <c r="E803" s="23" t="str">
        <f>IFERROR(INDEX(vdata_regressors!$A$1:$L$2000,MATCH($A803,vdata_regressors!$A$2:$A$2000,0)+1,MATCH(E$2,vdata_regressors!$A$1:$R$1,0)),"")</f>
        <v/>
      </c>
      <c r="F803" s="23" t="str">
        <f>IFERROR(INDEX(vdata_regressors!$A$1:$L$2000,MATCH($A803,vdata_regressors!$A$2:$A$2000,0)+1,MATCH(F$2,vdata_regressors!$A$1:$R$1,0)),"")</f>
        <v/>
      </c>
      <c r="G803" s="23" t="str">
        <f>IFERROR(INDEX(vdata_regressors!$A$1:$L$2000,MATCH($A803,vdata_regressors!$A$2:$A$2000,0)+1,MATCH(G$2,vdata_regressors!$A$1:$R$1,0)),"")</f>
        <v/>
      </c>
      <c r="H803" s="23" t="str">
        <f>IFERROR(INDEX(vdata_regressors!$A$1:$L$2000,MATCH($A803,vdata_regressors!$A$2:$A$2000,0)+1,MATCH(H$2,vdata_regressors!$A$1:$R$1,0)),"")</f>
        <v/>
      </c>
      <c r="I803" s="23" t="str">
        <f>IFERROR(INDEX(vdata_regressors!$A$1:$L$2000,MATCH($A803,vdata_regressors!$A$2:$A$2000,0)+1,MATCH(I$2,vdata_regressors!$A$1:$R$1,0)),"")</f>
        <v/>
      </c>
      <c r="J803" s="23" t="str">
        <f>IFERROR(INDEX(vdata_regressors!$A$1:$L$2000,MATCH($A803,vdata_regressors!$A$2:$A$2000,0)+1,MATCH(J$2,vdata_regressors!$A$1:$R$1,0)),"")</f>
        <v/>
      </c>
      <c r="K803" s="23" t="str">
        <f>IFERROR(INDEX(vdata_regressors!$A$1:$L$2000,MATCH($A803,vdata_regressors!$A$2:$A$2000,0)+1,MATCH(K$2,vdata_regressors!$A$1:$R$1,0)),"")</f>
        <v/>
      </c>
      <c r="L803" s="23" t="str">
        <f>IFERROR(INDEX(vdata_regressors!$A$1:$L$2000,MATCH($A803,vdata_regressors!$A$2:$A$2000,0)+1,MATCH(L$2,vdata_regressors!$A$1:$R$1,0)),"")</f>
        <v/>
      </c>
      <c r="M803" s="23" t="str">
        <f>IFERROR(VLOOKUP(A803,vdata_hours!$A$2:$B$1000,2,FALSE),"")</f>
        <v/>
      </c>
    </row>
    <row r="804" spans="1:13" x14ac:dyDescent="0.25">
      <c r="A804" s="23" t="str">
        <f>IF(vdata_hours!A803=0,"",vdata_hours!A803)</f>
        <v/>
      </c>
      <c r="B804" s="23" t="str">
        <f>IFERROR(INDEX(vdata_regressors!$A$1:$L$2000,MATCH($A804,vdata_regressors!$A$2:$A$2000,0)+1,MATCH(B$2,vdata_regressors!$A$1:$R$1,0)),"")</f>
        <v/>
      </c>
      <c r="C804" s="23" t="str">
        <f>IFERROR(INDEX(vdata_regressors!$A$1:$L$2000,MATCH($A804,vdata_regressors!$A$2:$A$2000,0)+1,MATCH(C$2,vdata_regressors!$A$1:$R$1,0)),"")</f>
        <v/>
      </c>
      <c r="D804" s="23" t="str">
        <f>IFERROR(INDEX(vdata_regressors!$A$1:$L$2000,MATCH($A804,vdata_regressors!$A$2:$A$2000,0)+1,MATCH(D$2,vdata_regressors!$A$1:$R$1,0)),"")</f>
        <v/>
      </c>
      <c r="E804" s="23" t="str">
        <f>IFERROR(INDEX(vdata_regressors!$A$1:$L$2000,MATCH($A804,vdata_regressors!$A$2:$A$2000,0)+1,MATCH(E$2,vdata_regressors!$A$1:$R$1,0)),"")</f>
        <v/>
      </c>
      <c r="F804" s="23" t="str">
        <f>IFERROR(INDEX(vdata_regressors!$A$1:$L$2000,MATCH($A804,vdata_regressors!$A$2:$A$2000,0)+1,MATCH(F$2,vdata_regressors!$A$1:$R$1,0)),"")</f>
        <v/>
      </c>
      <c r="G804" s="23" t="str">
        <f>IFERROR(INDEX(vdata_regressors!$A$1:$L$2000,MATCH($A804,vdata_regressors!$A$2:$A$2000,0)+1,MATCH(G$2,vdata_regressors!$A$1:$R$1,0)),"")</f>
        <v/>
      </c>
      <c r="H804" s="23" t="str">
        <f>IFERROR(INDEX(vdata_regressors!$A$1:$L$2000,MATCH($A804,vdata_regressors!$A$2:$A$2000,0)+1,MATCH(H$2,vdata_regressors!$A$1:$R$1,0)),"")</f>
        <v/>
      </c>
      <c r="I804" s="23" t="str">
        <f>IFERROR(INDEX(vdata_regressors!$A$1:$L$2000,MATCH($A804,vdata_regressors!$A$2:$A$2000,0)+1,MATCH(I$2,vdata_regressors!$A$1:$R$1,0)),"")</f>
        <v/>
      </c>
      <c r="J804" s="23" t="str">
        <f>IFERROR(INDEX(vdata_regressors!$A$1:$L$2000,MATCH($A804,vdata_regressors!$A$2:$A$2000,0)+1,MATCH(J$2,vdata_regressors!$A$1:$R$1,0)),"")</f>
        <v/>
      </c>
      <c r="K804" s="23" t="str">
        <f>IFERROR(INDEX(vdata_regressors!$A$1:$L$2000,MATCH($A804,vdata_regressors!$A$2:$A$2000,0)+1,MATCH(K$2,vdata_regressors!$A$1:$R$1,0)),"")</f>
        <v/>
      </c>
      <c r="L804" s="23" t="str">
        <f>IFERROR(INDEX(vdata_regressors!$A$1:$L$2000,MATCH($A804,vdata_regressors!$A$2:$A$2000,0)+1,MATCH(L$2,vdata_regressors!$A$1:$R$1,0)),"")</f>
        <v/>
      </c>
      <c r="M804" s="23" t="str">
        <f>IFERROR(VLOOKUP(A804,vdata_hours!$A$2:$B$1000,2,FALSE),"")</f>
        <v/>
      </c>
    </row>
    <row r="805" spans="1:13" x14ac:dyDescent="0.25">
      <c r="A805" s="23" t="str">
        <f>IF(vdata_hours!A804=0,"",vdata_hours!A804)</f>
        <v/>
      </c>
      <c r="B805" s="23" t="str">
        <f>IFERROR(INDEX(vdata_regressors!$A$1:$L$2000,MATCH($A805,vdata_regressors!$A$2:$A$2000,0)+1,MATCH(B$2,vdata_regressors!$A$1:$R$1,0)),"")</f>
        <v/>
      </c>
      <c r="C805" s="23" t="str">
        <f>IFERROR(INDEX(vdata_regressors!$A$1:$L$2000,MATCH($A805,vdata_regressors!$A$2:$A$2000,0)+1,MATCH(C$2,vdata_regressors!$A$1:$R$1,0)),"")</f>
        <v/>
      </c>
      <c r="D805" s="23" t="str">
        <f>IFERROR(INDEX(vdata_regressors!$A$1:$L$2000,MATCH($A805,vdata_regressors!$A$2:$A$2000,0)+1,MATCH(D$2,vdata_regressors!$A$1:$R$1,0)),"")</f>
        <v/>
      </c>
      <c r="E805" s="23" t="str">
        <f>IFERROR(INDEX(vdata_regressors!$A$1:$L$2000,MATCH($A805,vdata_regressors!$A$2:$A$2000,0)+1,MATCH(E$2,vdata_regressors!$A$1:$R$1,0)),"")</f>
        <v/>
      </c>
      <c r="F805" s="23" t="str">
        <f>IFERROR(INDEX(vdata_regressors!$A$1:$L$2000,MATCH($A805,vdata_regressors!$A$2:$A$2000,0)+1,MATCH(F$2,vdata_regressors!$A$1:$R$1,0)),"")</f>
        <v/>
      </c>
      <c r="G805" s="23" t="str">
        <f>IFERROR(INDEX(vdata_regressors!$A$1:$L$2000,MATCH($A805,vdata_regressors!$A$2:$A$2000,0)+1,MATCH(G$2,vdata_regressors!$A$1:$R$1,0)),"")</f>
        <v/>
      </c>
      <c r="H805" s="23" t="str">
        <f>IFERROR(INDEX(vdata_regressors!$A$1:$L$2000,MATCH($A805,vdata_regressors!$A$2:$A$2000,0)+1,MATCH(H$2,vdata_regressors!$A$1:$R$1,0)),"")</f>
        <v/>
      </c>
      <c r="I805" s="23" t="str">
        <f>IFERROR(INDEX(vdata_regressors!$A$1:$L$2000,MATCH($A805,vdata_regressors!$A$2:$A$2000,0)+1,MATCH(I$2,vdata_regressors!$A$1:$R$1,0)),"")</f>
        <v/>
      </c>
      <c r="J805" s="23" t="str">
        <f>IFERROR(INDEX(vdata_regressors!$A$1:$L$2000,MATCH($A805,vdata_regressors!$A$2:$A$2000,0)+1,MATCH(J$2,vdata_regressors!$A$1:$R$1,0)),"")</f>
        <v/>
      </c>
      <c r="K805" s="23" t="str">
        <f>IFERROR(INDEX(vdata_regressors!$A$1:$L$2000,MATCH($A805,vdata_regressors!$A$2:$A$2000,0)+1,MATCH(K$2,vdata_regressors!$A$1:$R$1,0)),"")</f>
        <v/>
      </c>
      <c r="L805" s="23" t="str">
        <f>IFERROR(INDEX(vdata_regressors!$A$1:$L$2000,MATCH($A805,vdata_regressors!$A$2:$A$2000,0)+1,MATCH(L$2,vdata_regressors!$A$1:$R$1,0)),"")</f>
        <v/>
      </c>
      <c r="M805" s="23" t="str">
        <f>IFERROR(VLOOKUP(A805,vdata_hours!$A$2:$B$1000,2,FALSE),"")</f>
        <v/>
      </c>
    </row>
    <row r="806" spans="1:13" x14ac:dyDescent="0.25">
      <c r="A806" s="23" t="str">
        <f>IF(vdata_hours!A805=0,"",vdata_hours!A805)</f>
        <v/>
      </c>
      <c r="B806" s="23" t="str">
        <f>IFERROR(INDEX(vdata_regressors!$A$1:$L$2000,MATCH($A806,vdata_regressors!$A$2:$A$2000,0)+1,MATCH(B$2,vdata_regressors!$A$1:$R$1,0)),"")</f>
        <v/>
      </c>
      <c r="C806" s="23" t="str">
        <f>IFERROR(INDEX(vdata_regressors!$A$1:$L$2000,MATCH($A806,vdata_regressors!$A$2:$A$2000,0)+1,MATCH(C$2,vdata_regressors!$A$1:$R$1,0)),"")</f>
        <v/>
      </c>
      <c r="D806" s="23" t="str">
        <f>IFERROR(INDEX(vdata_regressors!$A$1:$L$2000,MATCH($A806,vdata_regressors!$A$2:$A$2000,0)+1,MATCH(D$2,vdata_regressors!$A$1:$R$1,0)),"")</f>
        <v/>
      </c>
      <c r="E806" s="23" t="str">
        <f>IFERROR(INDEX(vdata_regressors!$A$1:$L$2000,MATCH($A806,vdata_regressors!$A$2:$A$2000,0)+1,MATCH(E$2,vdata_regressors!$A$1:$R$1,0)),"")</f>
        <v/>
      </c>
      <c r="F806" s="23" t="str">
        <f>IFERROR(INDEX(vdata_regressors!$A$1:$L$2000,MATCH($A806,vdata_regressors!$A$2:$A$2000,0)+1,MATCH(F$2,vdata_regressors!$A$1:$R$1,0)),"")</f>
        <v/>
      </c>
      <c r="G806" s="23" t="str">
        <f>IFERROR(INDEX(vdata_regressors!$A$1:$L$2000,MATCH($A806,vdata_regressors!$A$2:$A$2000,0)+1,MATCH(G$2,vdata_regressors!$A$1:$R$1,0)),"")</f>
        <v/>
      </c>
      <c r="H806" s="23" t="str">
        <f>IFERROR(INDEX(vdata_regressors!$A$1:$L$2000,MATCH($A806,vdata_regressors!$A$2:$A$2000,0)+1,MATCH(H$2,vdata_regressors!$A$1:$R$1,0)),"")</f>
        <v/>
      </c>
      <c r="I806" s="23" t="str">
        <f>IFERROR(INDEX(vdata_regressors!$A$1:$L$2000,MATCH($A806,vdata_regressors!$A$2:$A$2000,0)+1,MATCH(I$2,vdata_regressors!$A$1:$R$1,0)),"")</f>
        <v/>
      </c>
      <c r="J806" s="23" t="str">
        <f>IFERROR(INDEX(vdata_regressors!$A$1:$L$2000,MATCH($A806,vdata_regressors!$A$2:$A$2000,0)+1,MATCH(J$2,vdata_regressors!$A$1:$R$1,0)),"")</f>
        <v/>
      </c>
      <c r="K806" s="23" t="str">
        <f>IFERROR(INDEX(vdata_regressors!$A$1:$L$2000,MATCH($A806,vdata_regressors!$A$2:$A$2000,0)+1,MATCH(K$2,vdata_regressors!$A$1:$R$1,0)),"")</f>
        <v/>
      </c>
      <c r="L806" s="23" t="str">
        <f>IFERROR(INDEX(vdata_regressors!$A$1:$L$2000,MATCH($A806,vdata_regressors!$A$2:$A$2000,0)+1,MATCH(L$2,vdata_regressors!$A$1:$R$1,0)),"")</f>
        <v/>
      </c>
      <c r="M806" s="23" t="str">
        <f>IFERROR(VLOOKUP(A806,vdata_hours!$A$2:$B$1000,2,FALSE),"")</f>
        <v/>
      </c>
    </row>
    <row r="807" spans="1:13" x14ac:dyDescent="0.25">
      <c r="A807" s="23" t="str">
        <f>IF(vdata_hours!A806=0,"",vdata_hours!A806)</f>
        <v/>
      </c>
      <c r="B807" s="23" t="str">
        <f>IFERROR(INDEX(vdata_regressors!$A$1:$L$2000,MATCH($A807,vdata_regressors!$A$2:$A$2000,0)+1,MATCH(B$2,vdata_regressors!$A$1:$R$1,0)),"")</f>
        <v/>
      </c>
      <c r="C807" s="23" t="str">
        <f>IFERROR(INDEX(vdata_regressors!$A$1:$L$2000,MATCH($A807,vdata_regressors!$A$2:$A$2000,0)+1,MATCH(C$2,vdata_regressors!$A$1:$R$1,0)),"")</f>
        <v/>
      </c>
      <c r="D807" s="23" t="str">
        <f>IFERROR(INDEX(vdata_regressors!$A$1:$L$2000,MATCH($A807,vdata_regressors!$A$2:$A$2000,0)+1,MATCH(D$2,vdata_regressors!$A$1:$R$1,0)),"")</f>
        <v/>
      </c>
      <c r="E807" s="23" t="str">
        <f>IFERROR(INDEX(vdata_regressors!$A$1:$L$2000,MATCH($A807,vdata_regressors!$A$2:$A$2000,0)+1,MATCH(E$2,vdata_regressors!$A$1:$R$1,0)),"")</f>
        <v/>
      </c>
      <c r="F807" s="23" t="str">
        <f>IFERROR(INDEX(vdata_regressors!$A$1:$L$2000,MATCH($A807,vdata_regressors!$A$2:$A$2000,0)+1,MATCH(F$2,vdata_regressors!$A$1:$R$1,0)),"")</f>
        <v/>
      </c>
      <c r="G807" s="23" t="str">
        <f>IFERROR(INDEX(vdata_regressors!$A$1:$L$2000,MATCH($A807,vdata_regressors!$A$2:$A$2000,0)+1,MATCH(G$2,vdata_regressors!$A$1:$R$1,0)),"")</f>
        <v/>
      </c>
      <c r="H807" s="23" t="str">
        <f>IFERROR(INDEX(vdata_regressors!$A$1:$L$2000,MATCH($A807,vdata_regressors!$A$2:$A$2000,0)+1,MATCH(H$2,vdata_regressors!$A$1:$R$1,0)),"")</f>
        <v/>
      </c>
      <c r="I807" s="23" t="str">
        <f>IFERROR(INDEX(vdata_regressors!$A$1:$L$2000,MATCH($A807,vdata_regressors!$A$2:$A$2000,0)+1,MATCH(I$2,vdata_regressors!$A$1:$R$1,0)),"")</f>
        <v/>
      </c>
      <c r="J807" s="23" t="str">
        <f>IFERROR(INDEX(vdata_regressors!$A$1:$L$2000,MATCH($A807,vdata_regressors!$A$2:$A$2000,0)+1,MATCH(J$2,vdata_regressors!$A$1:$R$1,0)),"")</f>
        <v/>
      </c>
      <c r="K807" s="23" t="str">
        <f>IFERROR(INDEX(vdata_regressors!$A$1:$L$2000,MATCH($A807,vdata_regressors!$A$2:$A$2000,0)+1,MATCH(K$2,vdata_regressors!$A$1:$R$1,0)),"")</f>
        <v/>
      </c>
      <c r="L807" s="23" t="str">
        <f>IFERROR(INDEX(vdata_regressors!$A$1:$L$2000,MATCH($A807,vdata_regressors!$A$2:$A$2000,0)+1,MATCH(L$2,vdata_regressors!$A$1:$R$1,0)),"")</f>
        <v/>
      </c>
      <c r="M807" s="23" t="str">
        <f>IFERROR(VLOOKUP(A807,vdata_hours!$A$2:$B$1000,2,FALSE),"")</f>
        <v/>
      </c>
    </row>
    <row r="808" spans="1:13" x14ac:dyDescent="0.25">
      <c r="A808" s="23" t="str">
        <f>IF(vdata_hours!A807=0,"",vdata_hours!A807)</f>
        <v/>
      </c>
      <c r="B808" s="23" t="str">
        <f>IFERROR(INDEX(vdata_regressors!$A$1:$L$2000,MATCH($A808,vdata_regressors!$A$2:$A$2000,0)+1,MATCH(B$2,vdata_regressors!$A$1:$R$1,0)),"")</f>
        <v/>
      </c>
      <c r="C808" s="23" t="str">
        <f>IFERROR(INDEX(vdata_regressors!$A$1:$L$2000,MATCH($A808,vdata_regressors!$A$2:$A$2000,0)+1,MATCH(C$2,vdata_regressors!$A$1:$R$1,0)),"")</f>
        <v/>
      </c>
      <c r="D808" s="23" t="str">
        <f>IFERROR(INDEX(vdata_regressors!$A$1:$L$2000,MATCH($A808,vdata_regressors!$A$2:$A$2000,0)+1,MATCH(D$2,vdata_regressors!$A$1:$R$1,0)),"")</f>
        <v/>
      </c>
      <c r="E808" s="23" t="str">
        <f>IFERROR(INDEX(vdata_regressors!$A$1:$L$2000,MATCH($A808,vdata_regressors!$A$2:$A$2000,0)+1,MATCH(E$2,vdata_regressors!$A$1:$R$1,0)),"")</f>
        <v/>
      </c>
      <c r="F808" s="23" t="str">
        <f>IFERROR(INDEX(vdata_regressors!$A$1:$L$2000,MATCH($A808,vdata_regressors!$A$2:$A$2000,0)+1,MATCH(F$2,vdata_regressors!$A$1:$R$1,0)),"")</f>
        <v/>
      </c>
      <c r="G808" s="23" t="str">
        <f>IFERROR(INDEX(vdata_regressors!$A$1:$L$2000,MATCH($A808,vdata_regressors!$A$2:$A$2000,0)+1,MATCH(G$2,vdata_regressors!$A$1:$R$1,0)),"")</f>
        <v/>
      </c>
      <c r="H808" s="23" t="str">
        <f>IFERROR(INDEX(vdata_regressors!$A$1:$L$2000,MATCH($A808,vdata_regressors!$A$2:$A$2000,0)+1,MATCH(H$2,vdata_regressors!$A$1:$R$1,0)),"")</f>
        <v/>
      </c>
      <c r="I808" s="23" t="str">
        <f>IFERROR(INDEX(vdata_regressors!$A$1:$L$2000,MATCH($A808,vdata_regressors!$A$2:$A$2000,0)+1,MATCH(I$2,vdata_regressors!$A$1:$R$1,0)),"")</f>
        <v/>
      </c>
      <c r="J808" s="23" t="str">
        <f>IFERROR(INDEX(vdata_regressors!$A$1:$L$2000,MATCH($A808,vdata_regressors!$A$2:$A$2000,0)+1,MATCH(J$2,vdata_regressors!$A$1:$R$1,0)),"")</f>
        <v/>
      </c>
      <c r="K808" s="23" t="str">
        <f>IFERROR(INDEX(vdata_regressors!$A$1:$L$2000,MATCH($A808,vdata_regressors!$A$2:$A$2000,0)+1,MATCH(K$2,vdata_regressors!$A$1:$R$1,0)),"")</f>
        <v/>
      </c>
      <c r="L808" s="23" t="str">
        <f>IFERROR(INDEX(vdata_regressors!$A$1:$L$2000,MATCH($A808,vdata_regressors!$A$2:$A$2000,0)+1,MATCH(L$2,vdata_regressors!$A$1:$R$1,0)),"")</f>
        <v/>
      </c>
      <c r="M808" s="23" t="str">
        <f>IFERROR(VLOOKUP(A808,vdata_hours!$A$2:$B$1000,2,FALSE),"")</f>
        <v/>
      </c>
    </row>
    <row r="809" spans="1:13" x14ac:dyDescent="0.25">
      <c r="A809" s="23" t="str">
        <f>IF(vdata_hours!A808=0,"",vdata_hours!A808)</f>
        <v/>
      </c>
      <c r="B809" s="23" t="str">
        <f>IFERROR(INDEX(vdata_regressors!$A$1:$L$2000,MATCH($A809,vdata_regressors!$A$2:$A$2000,0)+1,MATCH(B$2,vdata_regressors!$A$1:$R$1,0)),"")</f>
        <v/>
      </c>
      <c r="C809" s="23" t="str">
        <f>IFERROR(INDEX(vdata_regressors!$A$1:$L$2000,MATCH($A809,vdata_regressors!$A$2:$A$2000,0)+1,MATCH(C$2,vdata_regressors!$A$1:$R$1,0)),"")</f>
        <v/>
      </c>
      <c r="D809" s="23" t="str">
        <f>IFERROR(INDEX(vdata_regressors!$A$1:$L$2000,MATCH($A809,vdata_regressors!$A$2:$A$2000,0)+1,MATCH(D$2,vdata_regressors!$A$1:$R$1,0)),"")</f>
        <v/>
      </c>
      <c r="E809" s="23" t="str">
        <f>IFERROR(INDEX(vdata_regressors!$A$1:$L$2000,MATCH($A809,vdata_regressors!$A$2:$A$2000,0)+1,MATCH(E$2,vdata_regressors!$A$1:$R$1,0)),"")</f>
        <v/>
      </c>
      <c r="F809" s="23" t="str">
        <f>IFERROR(INDEX(vdata_regressors!$A$1:$L$2000,MATCH($A809,vdata_regressors!$A$2:$A$2000,0)+1,MATCH(F$2,vdata_regressors!$A$1:$R$1,0)),"")</f>
        <v/>
      </c>
      <c r="G809" s="23" t="str">
        <f>IFERROR(INDEX(vdata_regressors!$A$1:$L$2000,MATCH($A809,vdata_regressors!$A$2:$A$2000,0)+1,MATCH(G$2,vdata_regressors!$A$1:$R$1,0)),"")</f>
        <v/>
      </c>
      <c r="H809" s="23" t="str">
        <f>IFERROR(INDEX(vdata_regressors!$A$1:$L$2000,MATCH($A809,vdata_regressors!$A$2:$A$2000,0)+1,MATCH(H$2,vdata_regressors!$A$1:$R$1,0)),"")</f>
        <v/>
      </c>
      <c r="I809" s="23" t="str">
        <f>IFERROR(INDEX(vdata_regressors!$A$1:$L$2000,MATCH($A809,vdata_regressors!$A$2:$A$2000,0)+1,MATCH(I$2,vdata_regressors!$A$1:$R$1,0)),"")</f>
        <v/>
      </c>
      <c r="J809" s="23" t="str">
        <f>IFERROR(INDEX(vdata_regressors!$A$1:$L$2000,MATCH($A809,vdata_regressors!$A$2:$A$2000,0)+1,MATCH(J$2,vdata_regressors!$A$1:$R$1,0)),"")</f>
        <v/>
      </c>
      <c r="K809" s="23" t="str">
        <f>IFERROR(INDEX(vdata_regressors!$A$1:$L$2000,MATCH($A809,vdata_regressors!$A$2:$A$2000,0)+1,MATCH(K$2,vdata_regressors!$A$1:$R$1,0)),"")</f>
        <v/>
      </c>
      <c r="L809" s="23" t="str">
        <f>IFERROR(INDEX(vdata_regressors!$A$1:$L$2000,MATCH($A809,vdata_regressors!$A$2:$A$2000,0)+1,MATCH(L$2,vdata_regressors!$A$1:$R$1,0)),"")</f>
        <v/>
      </c>
      <c r="M809" s="23" t="str">
        <f>IFERROR(VLOOKUP(A809,vdata_hours!$A$2:$B$1000,2,FALSE),"")</f>
        <v/>
      </c>
    </row>
    <row r="810" spans="1:13" x14ac:dyDescent="0.25">
      <c r="A810" s="23" t="str">
        <f>IF(vdata_hours!A809=0,"",vdata_hours!A809)</f>
        <v/>
      </c>
      <c r="B810" s="23" t="str">
        <f>IFERROR(INDEX(vdata_regressors!$A$1:$L$2000,MATCH($A810,vdata_regressors!$A$2:$A$2000,0)+1,MATCH(B$2,vdata_regressors!$A$1:$R$1,0)),"")</f>
        <v/>
      </c>
      <c r="C810" s="23" t="str">
        <f>IFERROR(INDEX(vdata_regressors!$A$1:$L$2000,MATCH($A810,vdata_regressors!$A$2:$A$2000,0)+1,MATCH(C$2,vdata_regressors!$A$1:$R$1,0)),"")</f>
        <v/>
      </c>
      <c r="D810" s="23" t="str">
        <f>IFERROR(INDEX(vdata_regressors!$A$1:$L$2000,MATCH($A810,vdata_regressors!$A$2:$A$2000,0)+1,MATCH(D$2,vdata_regressors!$A$1:$R$1,0)),"")</f>
        <v/>
      </c>
      <c r="E810" s="23" t="str">
        <f>IFERROR(INDEX(vdata_regressors!$A$1:$L$2000,MATCH($A810,vdata_regressors!$A$2:$A$2000,0)+1,MATCH(E$2,vdata_regressors!$A$1:$R$1,0)),"")</f>
        <v/>
      </c>
      <c r="F810" s="23" t="str">
        <f>IFERROR(INDEX(vdata_regressors!$A$1:$L$2000,MATCH($A810,vdata_regressors!$A$2:$A$2000,0)+1,MATCH(F$2,vdata_regressors!$A$1:$R$1,0)),"")</f>
        <v/>
      </c>
      <c r="G810" s="23" t="str">
        <f>IFERROR(INDEX(vdata_regressors!$A$1:$L$2000,MATCH($A810,vdata_regressors!$A$2:$A$2000,0)+1,MATCH(G$2,vdata_regressors!$A$1:$R$1,0)),"")</f>
        <v/>
      </c>
      <c r="H810" s="23" t="str">
        <f>IFERROR(INDEX(vdata_regressors!$A$1:$L$2000,MATCH($A810,vdata_regressors!$A$2:$A$2000,0)+1,MATCH(H$2,vdata_regressors!$A$1:$R$1,0)),"")</f>
        <v/>
      </c>
      <c r="I810" s="23" t="str">
        <f>IFERROR(INDEX(vdata_regressors!$A$1:$L$2000,MATCH($A810,vdata_regressors!$A$2:$A$2000,0)+1,MATCH(I$2,vdata_regressors!$A$1:$R$1,0)),"")</f>
        <v/>
      </c>
      <c r="J810" s="23" t="str">
        <f>IFERROR(INDEX(vdata_regressors!$A$1:$L$2000,MATCH($A810,vdata_regressors!$A$2:$A$2000,0)+1,MATCH(J$2,vdata_regressors!$A$1:$R$1,0)),"")</f>
        <v/>
      </c>
      <c r="K810" s="23" t="str">
        <f>IFERROR(INDEX(vdata_regressors!$A$1:$L$2000,MATCH($A810,vdata_regressors!$A$2:$A$2000,0)+1,MATCH(K$2,vdata_regressors!$A$1:$R$1,0)),"")</f>
        <v/>
      </c>
      <c r="L810" s="23" t="str">
        <f>IFERROR(INDEX(vdata_regressors!$A$1:$L$2000,MATCH($A810,vdata_regressors!$A$2:$A$2000,0)+1,MATCH(L$2,vdata_regressors!$A$1:$R$1,0)),"")</f>
        <v/>
      </c>
      <c r="M810" s="23" t="str">
        <f>IFERROR(VLOOKUP(A810,vdata_hours!$A$2:$B$1000,2,FALSE),"")</f>
        <v/>
      </c>
    </row>
    <row r="811" spans="1:13" x14ac:dyDescent="0.25">
      <c r="A811" s="23" t="str">
        <f>IF(vdata_hours!A810=0,"",vdata_hours!A810)</f>
        <v/>
      </c>
      <c r="B811" s="23" t="str">
        <f>IFERROR(INDEX(vdata_regressors!$A$1:$L$2000,MATCH($A811,vdata_regressors!$A$2:$A$2000,0)+1,MATCH(B$2,vdata_regressors!$A$1:$R$1,0)),"")</f>
        <v/>
      </c>
      <c r="C811" s="23" t="str">
        <f>IFERROR(INDEX(vdata_regressors!$A$1:$L$2000,MATCH($A811,vdata_regressors!$A$2:$A$2000,0)+1,MATCH(C$2,vdata_regressors!$A$1:$R$1,0)),"")</f>
        <v/>
      </c>
      <c r="D811" s="23" t="str">
        <f>IFERROR(INDEX(vdata_regressors!$A$1:$L$2000,MATCH($A811,vdata_regressors!$A$2:$A$2000,0)+1,MATCH(D$2,vdata_regressors!$A$1:$R$1,0)),"")</f>
        <v/>
      </c>
      <c r="E811" s="23" t="str">
        <f>IFERROR(INDEX(vdata_regressors!$A$1:$L$2000,MATCH($A811,vdata_regressors!$A$2:$A$2000,0)+1,MATCH(E$2,vdata_regressors!$A$1:$R$1,0)),"")</f>
        <v/>
      </c>
      <c r="F811" s="23" t="str">
        <f>IFERROR(INDEX(vdata_regressors!$A$1:$L$2000,MATCH($A811,vdata_regressors!$A$2:$A$2000,0)+1,MATCH(F$2,vdata_regressors!$A$1:$R$1,0)),"")</f>
        <v/>
      </c>
      <c r="G811" s="23" t="str">
        <f>IFERROR(INDEX(vdata_regressors!$A$1:$L$2000,MATCH($A811,vdata_regressors!$A$2:$A$2000,0)+1,MATCH(G$2,vdata_regressors!$A$1:$R$1,0)),"")</f>
        <v/>
      </c>
      <c r="H811" s="23" t="str">
        <f>IFERROR(INDEX(vdata_regressors!$A$1:$L$2000,MATCH($A811,vdata_regressors!$A$2:$A$2000,0)+1,MATCH(H$2,vdata_regressors!$A$1:$R$1,0)),"")</f>
        <v/>
      </c>
      <c r="I811" s="23" t="str">
        <f>IFERROR(INDEX(vdata_regressors!$A$1:$L$2000,MATCH($A811,vdata_regressors!$A$2:$A$2000,0)+1,MATCH(I$2,vdata_regressors!$A$1:$R$1,0)),"")</f>
        <v/>
      </c>
      <c r="J811" s="23" t="str">
        <f>IFERROR(INDEX(vdata_regressors!$A$1:$L$2000,MATCH($A811,vdata_regressors!$A$2:$A$2000,0)+1,MATCH(J$2,vdata_regressors!$A$1:$R$1,0)),"")</f>
        <v/>
      </c>
      <c r="K811" s="23" t="str">
        <f>IFERROR(INDEX(vdata_regressors!$A$1:$L$2000,MATCH($A811,vdata_regressors!$A$2:$A$2000,0)+1,MATCH(K$2,vdata_regressors!$A$1:$R$1,0)),"")</f>
        <v/>
      </c>
      <c r="L811" s="23" t="str">
        <f>IFERROR(INDEX(vdata_regressors!$A$1:$L$2000,MATCH($A811,vdata_regressors!$A$2:$A$2000,0)+1,MATCH(L$2,vdata_regressors!$A$1:$R$1,0)),"")</f>
        <v/>
      </c>
      <c r="M811" s="23" t="str">
        <f>IFERROR(VLOOKUP(A811,vdata_hours!$A$2:$B$1000,2,FALSE),"")</f>
        <v/>
      </c>
    </row>
    <row r="812" spans="1:13" x14ac:dyDescent="0.25">
      <c r="A812" s="23" t="str">
        <f>IF(vdata_hours!A811=0,"",vdata_hours!A811)</f>
        <v/>
      </c>
      <c r="B812" s="23" t="str">
        <f>IFERROR(INDEX(vdata_regressors!$A$1:$L$2000,MATCH($A812,vdata_regressors!$A$2:$A$2000,0)+1,MATCH(B$2,vdata_regressors!$A$1:$R$1,0)),"")</f>
        <v/>
      </c>
      <c r="C812" s="23" t="str">
        <f>IFERROR(INDEX(vdata_regressors!$A$1:$L$2000,MATCH($A812,vdata_regressors!$A$2:$A$2000,0)+1,MATCH(C$2,vdata_regressors!$A$1:$R$1,0)),"")</f>
        <v/>
      </c>
      <c r="D812" s="23" t="str">
        <f>IFERROR(INDEX(vdata_regressors!$A$1:$L$2000,MATCH($A812,vdata_regressors!$A$2:$A$2000,0)+1,MATCH(D$2,vdata_regressors!$A$1:$R$1,0)),"")</f>
        <v/>
      </c>
      <c r="E812" s="23" t="str">
        <f>IFERROR(INDEX(vdata_regressors!$A$1:$L$2000,MATCH($A812,vdata_regressors!$A$2:$A$2000,0)+1,MATCH(E$2,vdata_regressors!$A$1:$R$1,0)),"")</f>
        <v/>
      </c>
      <c r="F812" s="23" t="str">
        <f>IFERROR(INDEX(vdata_regressors!$A$1:$L$2000,MATCH($A812,vdata_regressors!$A$2:$A$2000,0)+1,MATCH(F$2,vdata_regressors!$A$1:$R$1,0)),"")</f>
        <v/>
      </c>
      <c r="G812" s="23" t="str">
        <f>IFERROR(INDEX(vdata_regressors!$A$1:$L$2000,MATCH($A812,vdata_regressors!$A$2:$A$2000,0)+1,MATCH(G$2,vdata_regressors!$A$1:$R$1,0)),"")</f>
        <v/>
      </c>
      <c r="H812" s="23" t="str">
        <f>IFERROR(INDEX(vdata_regressors!$A$1:$L$2000,MATCH($A812,vdata_regressors!$A$2:$A$2000,0)+1,MATCH(H$2,vdata_regressors!$A$1:$R$1,0)),"")</f>
        <v/>
      </c>
      <c r="I812" s="23" t="str">
        <f>IFERROR(INDEX(vdata_regressors!$A$1:$L$2000,MATCH($A812,vdata_regressors!$A$2:$A$2000,0)+1,MATCH(I$2,vdata_regressors!$A$1:$R$1,0)),"")</f>
        <v/>
      </c>
      <c r="J812" s="23" t="str">
        <f>IFERROR(INDEX(vdata_regressors!$A$1:$L$2000,MATCH($A812,vdata_regressors!$A$2:$A$2000,0)+1,MATCH(J$2,vdata_regressors!$A$1:$R$1,0)),"")</f>
        <v/>
      </c>
      <c r="K812" s="23" t="str">
        <f>IFERROR(INDEX(vdata_regressors!$A$1:$L$2000,MATCH($A812,vdata_regressors!$A$2:$A$2000,0)+1,MATCH(K$2,vdata_regressors!$A$1:$R$1,0)),"")</f>
        <v/>
      </c>
      <c r="L812" s="23" t="str">
        <f>IFERROR(INDEX(vdata_regressors!$A$1:$L$2000,MATCH($A812,vdata_regressors!$A$2:$A$2000,0)+1,MATCH(L$2,vdata_regressors!$A$1:$R$1,0)),"")</f>
        <v/>
      </c>
      <c r="M812" s="23" t="str">
        <f>IFERROR(VLOOKUP(A812,vdata_hours!$A$2:$B$1000,2,FALSE),"")</f>
        <v/>
      </c>
    </row>
    <row r="813" spans="1:13" x14ac:dyDescent="0.25">
      <c r="A813" s="23" t="str">
        <f>IF(vdata_hours!A812=0,"",vdata_hours!A812)</f>
        <v/>
      </c>
      <c r="B813" s="23" t="str">
        <f>IFERROR(INDEX(vdata_regressors!$A$1:$L$2000,MATCH($A813,vdata_regressors!$A$2:$A$2000,0)+1,MATCH(B$2,vdata_regressors!$A$1:$R$1,0)),"")</f>
        <v/>
      </c>
      <c r="C813" s="23" t="str">
        <f>IFERROR(INDEX(vdata_regressors!$A$1:$L$2000,MATCH($A813,vdata_regressors!$A$2:$A$2000,0)+1,MATCH(C$2,vdata_regressors!$A$1:$R$1,0)),"")</f>
        <v/>
      </c>
      <c r="D813" s="23" t="str">
        <f>IFERROR(INDEX(vdata_regressors!$A$1:$L$2000,MATCH($A813,vdata_regressors!$A$2:$A$2000,0)+1,MATCH(D$2,vdata_regressors!$A$1:$R$1,0)),"")</f>
        <v/>
      </c>
      <c r="E813" s="23" t="str">
        <f>IFERROR(INDEX(vdata_regressors!$A$1:$L$2000,MATCH($A813,vdata_regressors!$A$2:$A$2000,0)+1,MATCH(E$2,vdata_regressors!$A$1:$R$1,0)),"")</f>
        <v/>
      </c>
      <c r="F813" s="23" t="str">
        <f>IFERROR(INDEX(vdata_regressors!$A$1:$L$2000,MATCH($A813,vdata_regressors!$A$2:$A$2000,0)+1,MATCH(F$2,vdata_regressors!$A$1:$R$1,0)),"")</f>
        <v/>
      </c>
      <c r="G813" s="23" t="str">
        <f>IFERROR(INDEX(vdata_regressors!$A$1:$L$2000,MATCH($A813,vdata_regressors!$A$2:$A$2000,0)+1,MATCH(G$2,vdata_regressors!$A$1:$R$1,0)),"")</f>
        <v/>
      </c>
      <c r="H813" s="23" t="str">
        <f>IFERROR(INDEX(vdata_regressors!$A$1:$L$2000,MATCH($A813,vdata_regressors!$A$2:$A$2000,0)+1,MATCH(H$2,vdata_regressors!$A$1:$R$1,0)),"")</f>
        <v/>
      </c>
      <c r="I813" s="23" t="str">
        <f>IFERROR(INDEX(vdata_regressors!$A$1:$L$2000,MATCH($A813,vdata_regressors!$A$2:$A$2000,0)+1,MATCH(I$2,vdata_regressors!$A$1:$R$1,0)),"")</f>
        <v/>
      </c>
      <c r="J813" s="23" t="str">
        <f>IFERROR(INDEX(vdata_regressors!$A$1:$L$2000,MATCH($A813,vdata_regressors!$A$2:$A$2000,0)+1,MATCH(J$2,vdata_regressors!$A$1:$R$1,0)),"")</f>
        <v/>
      </c>
      <c r="K813" s="23" t="str">
        <f>IFERROR(INDEX(vdata_regressors!$A$1:$L$2000,MATCH($A813,vdata_regressors!$A$2:$A$2000,0)+1,MATCH(K$2,vdata_regressors!$A$1:$R$1,0)),"")</f>
        <v/>
      </c>
      <c r="L813" s="23" t="str">
        <f>IFERROR(INDEX(vdata_regressors!$A$1:$L$2000,MATCH($A813,vdata_regressors!$A$2:$A$2000,0)+1,MATCH(L$2,vdata_regressors!$A$1:$R$1,0)),"")</f>
        <v/>
      </c>
      <c r="M813" s="23" t="str">
        <f>IFERROR(VLOOKUP(A813,vdata_hours!$A$2:$B$1000,2,FALSE),"")</f>
        <v/>
      </c>
    </row>
    <row r="814" spans="1:13" x14ac:dyDescent="0.25">
      <c r="A814" s="23" t="str">
        <f>IF(vdata_hours!A813=0,"",vdata_hours!A813)</f>
        <v/>
      </c>
      <c r="B814" s="23" t="str">
        <f>IFERROR(INDEX(vdata_regressors!$A$1:$L$2000,MATCH($A814,vdata_regressors!$A$2:$A$2000,0)+1,MATCH(B$2,vdata_regressors!$A$1:$R$1,0)),"")</f>
        <v/>
      </c>
      <c r="C814" s="23" t="str">
        <f>IFERROR(INDEX(vdata_regressors!$A$1:$L$2000,MATCH($A814,vdata_regressors!$A$2:$A$2000,0)+1,MATCH(C$2,vdata_regressors!$A$1:$R$1,0)),"")</f>
        <v/>
      </c>
      <c r="D814" s="23" t="str">
        <f>IFERROR(INDEX(vdata_regressors!$A$1:$L$2000,MATCH($A814,vdata_regressors!$A$2:$A$2000,0)+1,MATCH(D$2,vdata_regressors!$A$1:$R$1,0)),"")</f>
        <v/>
      </c>
      <c r="E814" s="23" t="str">
        <f>IFERROR(INDEX(vdata_regressors!$A$1:$L$2000,MATCH($A814,vdata_regressors!$A$2:$A$2000,0)+1,MATCH(E$2,vdata_regressors!$A$1:$R$1,0)),"")</f>
        <v/>
      </c>
      <c r="F814" s="23" t="str">
        <f>IFERROR(INDEX(vdata_regressors!$A$1:$L$2000,MATCH($A814,vdata_regressors!$A$2:$A$2000,0)+1,MATCH(F$2,vdata_regressors!$A$1:$R$1,0)),"")</f>
        <v/>
      </c>
      <c r="G814" s="23" t="str">
        <f>IFERROR(INDEX(vdata_regressors!$A$1:$L$2000,MATCH($A814,vdata_regressors!$A$2:$A$2000,0)+1,MATCH(G$2,vdata_regressors!$A$1:$R$1,0)),"")</f>
        <v/>
      </c>
      <c r="H814" s="23" t="str">
        <f>IFERROR(INDEX(vdata_regressors!$A$1:$L$2000,MATCH($A814,vdata_regressors!$A$2:$A$2000,0)+1,MATCH(H$2,vdata_regressors!$A$1:$R$1,0)),"")</f>
        <v/>
      </c>
      <c r="I814" s="23" t="str">
        <f>IFERROR(INDEX(vdata_regressors!$A$1:$L$2000,MATCH($A814,vdata_regressors!$A$2:$A$2000,0)+1,MATCH(I$2,vdata_regressors!$A$1:$R$1,0)),"")</f>
        <v/>
      </c>
      <c r="J814" s="23" t="str">
        <f>IFERROR(INDEX(vdata_regressors!$A$1:$L$2000,MATCH($A814,vdata_regressors!$A$2:$A$2000,0)+1,MATCH(J$2,vdata_regressors!$A$1:$R$1,0)),"")</f>
        <v/>
      </c>
      <c r="K814" s="23" t="str">
        <f>IFERROR(INDEX(vdata_regressors!$A$1:$L$2000,MATCH($A814,vdata_regressors!$A$2:$A$2000,0)+1,MATCH(K$2,vdata_regressors!$A$1:$R$1,0)),"")</f>
        <v/>
      </c>
      <c r="L814" s="23" t="str">
        <f>IFERROR(INDEX(vdata_regressors!$A$1:$L$2000,MATCH($A814,vdata_regressors!$A$2:$A$2000,0)+1,MATCH(L$2,vdata_regressors!$A$1:$R$1,0)),"")</f>
        <v/>
      </c>
      <c r="M814" s="23" t="str">
        <f>IFERROR(VLOOKUP(A814,vdata_hours!$A$2:$B$1000,2,FALSE),"")</f>
        <v/>
      </c>
    </row>
    <row r="815" spans="1:13" x14ac:dyDescent="0.25">
      <c r="A815" s="23" t="str">
        <f>IF(vdata_hours!A814=0,"",vdata_hours!A814)</f>
        <v/>
      </c>
      <c r="B815" s="23" t="str">
        <f>IFERROR(INDEX(vdata_regressors!$A$1:$L$2000,MATCH($A815,vdata_regressors!$A$2:$A$2000,0)+1,MATCH(B$2,vdata_regressors!$A$1:$R$1,0)),"")</f>
        <v/>
      </c>
      <c r="C815" s="23" t="str">
        <f>IFERROR(INDEX(vdata_regressors!$A$1:$L$2000,MATCH($A815,vdata_regressors!$A$2:$A$2000,0)+1,MATCH(C$2,vdata_regressors!$A$1:$R$1,0)),"")</f>
        <v/>
      </c>
      <c r="D815" s="23" t="str">
        <f>IFERROR(INDEX(vdata_regressors!$A$1:$L$2000,MATCH($A815,vdata_regressors!$A$2:$A$2000,0)+1,MATCH(D$2,vdata_regressors!$A$1:$R$1,0)),"")</f>
        <v/>
      </c>
      <c r="E815" s="23" t="str">
        <f>IFERROR(INDEX(vdata_regressors!$A$1:$L$2000,MATCH($A815,vdata_regressors!$A$2:$A$2000,0)+1,MATCH(E$2,vdata_regressors!$A$1:$R$1,0)),"")</f>
        <v/>
      </c>
      <c r="F815" s="23" t="str">
        <f>IFERROR(INDEX(vdata_regressors!$A$1:$L$2000,MATCH($A815,vdata_regressors!$A$2:$A$2000,0)+1,MATCH(F$2,vdata_regressors!$A$1:$R$1,0)),"")</f>
        <v/>
      </c>
      <c r="G815" s="23" t="str">
        <f>IFERROR(INDEX(vdata_regressors!$A$1:$L$2000,MATCH($A815,vdata_regressors!$A$2:$A$2000,0)+1,MATCH(G$2,vdata_regressors!$A$1:$R$1,0)),"")</f>
        <v/>
      </c>
      <c r="H815" s="23" t="str">
        <f>IFERROR(INDEX(vdata_regressors!$A$1:$L$2000,MATCH($A815,vdata_regressors!$A$2:$A$2000,0)+1,MATCH(H$2,vdata_regressors!$A$1:$R$1,0)),"")</f>
        <v/>
      </c>
      <c r="I815" s="23" t="str">
        <f>IFERROR(INDEX(vdata_regressors!$A$1:$L$2000,MATCH($A815,vdata_regressors!$A$2:$A$2000,0)+1,MATCH(I$2,vdata_regressors!$A$1:$R$1,0)),"")</f>
        <v/>
      </c>
      <c r="J815" s="23" t="str">
        <f>IFERROR(INDEX(vdata_regressors!$A$1:$L$2000,MATCH($A815,vdata_regressors!$A$2:$A$2000,0)+1,MATCH(J$2,vdata_regressors!$A$1:$R$1,0)),"")</f>
        <v/>
      </c>
      <c r="K815" s="23" t="str">
        <f>IFERROR(INDEX(vdata_regressors!$A$1:$L$2000,MATCH($A815,vdata_regressors!$A$2:$A$2000,0)+1,MATCH(K$2,vdata_regressors!$A$1:$R$1,0)),"")</f>
        <v/>
      </c>
      <c r="L815" s="23" t="str">
        <f>IFERROR(INDEX(vdata_regressors!$A$1:$L$2000,MATCH($A815,vdata_regressors!$A$2:$A$2000,0)+1,MATCH(L$2,vdata_regressors!$A$1:$R$1,0)),"")</f>
        <v/>
      </c>
      <c r="M815" s="23" t="str">
        <f>IFERROR(VLOOKUP(A815,vdata_hours!$A$2:$B$1000,2,FALSE),"")</f>
        <v/>
      </c>
    </row>
    <row r="816" spans="1:13" x14ac:dyDescent="0.25">
      <c r="A816" s="23" t="str">
        <f>IF(vdata_hours!A815=0,"",vdata_hours!A815)</f>
        <v/>
      </c>
      <c r="B816" s="23" t="str">
        <f>IFERROR(INDEX(vdata_regressors!$A$1:$L$2000,MATCH($A816,vdata_regressors!$A$2:$A$2000,0)+1,MATCH(B$2,vdata_regressors!$A$1:$R$1,0)),"")</f>
        <v/>
      </c>
      <c r="C816" s="23" t="str">
        <f>IFERROR(INDEX(vdata_regressors!$A$1:$L$2000,MATCH($A816,vdata_regressors!$A$2:$A$2000,0)+1,MATCH(C$2,vdata_regressors!$A$1:$R$1,0)),"")</f>
        <v/>
      </c>
      <c r="D816" s="23" t="str">
        <f>IFERROR(INDEX(vdata_regressors!$A$1:$L$2000,MATCH($A816,vdata_regressors!$A$2:$A$2000,0)+1,MATCH(D$2,vdata_regressors!$A$1:$R$1,0)),"")</f>
        <v/>
      </c>
      <c r="E816" s="23" t="str">
        <f>IFERROR(INDEX(vdata_regressors!$A$1:$L$2000,MATCH($A816,vdata_regressors!$A$2:$A$2000,0)+1,MATCH(E$2,vdata_regressors!$A$1:$R$1,0)),"")</f>
        <v/>
      </c>
      <c r="F816" s="23" t="str">
        <f>IFERROR(INDEX(vdata_regressors!$A$1:$L$2000,MATCH($A816,vdata_regressors!$A$2:$A$2000,0)+1,MATCH(F$2,vdata_regressors!$A$1:$R$1,0)),"")</f>
        <v/>
      </c>
      <c r="G816" s="23" t="str">
        <f>IFERROR(INDEX(vdata_regressors!$A$1:$L$2000,MATCH($A816,vdata_regressors!$A$2:$A$2000,0)+1,MATCH(G$2,vdata_regressors!$A$1:$R$1,0)),"")</f>
        <v/>
      </c>
      <c r="H816" s="23" t="str">
        <f>IFERROR(INDEX(vdata_regressors!$A$1:$L$2000,MATCH($A816,vdata_regressors!$A$2:$A$2000,0)+1,MATCH(H$2,vdata_regressors!$A$1:$R$1,0)),"")</f>
        <v/>
      </c>
      <c r="I816" s="23" t="str">
        <f>IFERROR(INDEX(vdata_regressors!$A$1:$L$2000,MATCH($A816,vdata_regressors!$A$2:$A$2000,0)+1,MATCH(I$2,vdata_regressors!$A$1:$R$1,0)),"")</f>
        <v/>
      </c>
      <c r="J816" s="23" t="str">
        <f>IFERROR(INDEX(vdata_regressors!$A$1:$L$2000,MATCH($A816,vdata_regressors!$A$2:$A$2000,0)+1,MATCH(J$2,vdata_regressors!$A$1:$R$1,0)),"")</f>
        <v/>
      </c>
      <c r="K816" s="23" t="str">
        <f>IFERROR(INDEX(vdata_regressors!$A$1:$L$2000,MATCH($A816,vdata_regressors!$A$2:$A$2000,0)+1,MATCH(K$2,vdata_regressors!$A$1:$R$1,0)),"")</f>
        <v/>
      </c>
      <c r="L816" s="23" t="str">
        <f>IFERROR(INDEX(vdata_regressors!$A$1:$L$2000,MATCH($A816,vdata_regressors!$A$2:$A$2000,0)+1,MATCH(L$2,vdata_regressors!$A$1:$R$1,0)),"")</f>
        <v/>
      </c>
      <c r="M816" s="23" t="str">
        <f>IFERROR(VLOOKUP(A816,vdata_hours!$A$2:$B$1000,2,FALSE),"")</f>
        <v/>
      </c>
    </row>
    <row r="817" spans="1:13" x14ac:dyDescent="0.25">
      <c r="A817" s="23" t="str">
        <f>IF(vdata_hours!A816=0,"",vdata_hours!A816)</f>
        <v/>
      </c>
      <c r="B817" s="23" t="str">
        <f>IFERROR(INDEX(vdata_regressors!$A$1:$L$2000,MATCH($A817,vdata_regressors!$A$2:$A$2000,0)+1,MATCH(B$2,vdata_regressors!$A$1:$R$1,0)),"")</f>
        <v/>
      </c>
      <c r="C817" s="23" t="str">
        <f>IFERROR(INDEX(vdata_regressors!$A$1:$L$2000,MATCH($A817,vdata_regressors!$A$2:$A$2000,0)+1,MATCH(C$2,vdata_regressors!$A$1:$R$1,0)),"")</f>
        <v/>
      </c>
      <c r="D817" s="23" t="str">
        <f>IFERROR(INDEX(vdata_regressors!$A$1:$L$2000,MATCH($A817,vdata_regressors!$A$2:$A$2000,0)+1,MATCH(D$2,vdata_regressors!$A$1:$R$1,0)),"")</f>
        <v/>
      </c>
      <c r="E817" s="23" t="str">
        <f>IFERROR(INDEX(vdata_regressors!$A$1:$L$2000,MATCH($A817,vdata_regressors!$A$2:$A$2000,0)+1,MATCH(E$2,vdata_regressors!$A$1:$R$1,0)),"")</f>
        <v/>
      </c>
      <c r="F817" s="23" t="str">
        <f>IFERROR(INDEX(vdata_regressors!$A$1:$L$2000,MATCH($A817,vdata_regressors!$A$2:$A$2000,0)+1,MATCH(F$2,vdata_regressors!$A$1:$R$1,0)),"")</f>
        <v/>
      </c>
      <c r="G817" s="23" t="str">
        <f>IFERROR(INDEX(vdata_regressors!$A$1:$L$2000,MATCH($A817,vdata_regressors!$A$2:$A$2000,0)+1,MATCH(G$2,vdata_regressors!$A$1:$R$1,0)),"")</f>
        <v/>
      </c>
      <c r="H817" s="23" t="str">
        <f>IFERROR(INDEX(vdata_regressors!$A$1:$L$2000,MATCH($A817,vdata_regressors!$A$2:$A$2000,0)+1,MATCH(H$2,vdata_regressors!$A$1:$R$1,0)),"")</f>
        <v/>
      </c>
      <c r="I817" s="23" t="str">
        <f>IFERROR(INDEX(vdata_regressors!$A$1:$L$2000,MATCH($A817,vdata_regressors!$A$2:$A$2000,0)+1,MATCH(I$2,vdata_regressors!$A$1:$R$1,0)),"")</f>
        <v/>
      </c>
      <c r="J817" s="23" t="str">
        <f>IFERROR(INDEX(vdata_regressors!$A$1:$L$2000,MATCH($A817,vdata_regressors!$A$2:$A$2000,0)+1,MATCH(J$2,vdata_regressors!$A$1:$R$1,0)),"")</f>
        <v/>
      </c>
      <c r="K817" s="23" t="str">
        <f>IFERROR(INDEX(vdata_regressors!$A$1:$L$2000,MATCH($A817,vdata_regressors!$A$2:$A$2000,0)+1,MATCH(K$2,vdata_regressors!$A$1:$R$1,0)),"")</f>
        <v/>
      </c>
      <c r="L817" s="23" t="str">
        <f>IFERROR(INDEX(vdata_regressors!$A$1:$L$2000,MATCH($A817,vdata_regressors!$A$2:$A$2000,0)+1,MATCH(L$2,vdata_regressors!$A$1:$R$1,0)),"")</f>
        <v/>
      </c>
      <c r="M817" s="23" t="str">
        <f>IFERROR(VLOOKUP(A817,vdata_hours!$A$2:$B$1000,2,FALSE),"")</f>
        <v/>
      </c>
    </row>
    <row r="818" spans="1:13" x14ac:dyDescent="0.25">
      <c r="A818" s="23" t="str">
        <f>IF(vdata_hours!A817=0,"",vdata_hours!A817)</f>
        <v/>
      </c>
      <c r="B818" s="23" t="str">
        <f>IFERROR(INDEX(vdata_regressors!$A$1:$L$2000,MATCH($A818,vdata_regressors!$A$2:$A$2000,0)+1,MATCH(B$2,vdata_regressors!$A$1:$R$1,0)),"")</f>
        <v/>
      </c>
      <c r="C818" s="23" t="str">
        <f>IFERROR(INDEX(vdata_regressors!$A$1:$L$2000,MATCH($A818,vdata_regressors!$A$2:$A$2000,0)+1,MATCH(C$2,vdata_regressors!$A$1:$R$1,0)),"")</f>
        <v/>
      </c>
      <c r="D818" s="23" t="str">
        <f>IFERROR(INDEX(vdata_regressors!$A$1:$L$2000,MATCH($A818,vdata_regressors!$A$2:$A$2000,0)+1,MATCH(D$2,vdata_regressors!$A$1:$R$1,0)),"")</f>
        <v/>
      </c>
      <c r="E818" s="23" t="str">
        <f>IFERROR(INDEX(vdata_regressors!$A$1:$L$2000,MATCH($A818,vdata_regressors!$A$2:$A$2000,0)+1,MATCH(E$2,vdata_regressors!$A$1:$R$1,0)),"")</f>
        <v/>
      </c>
      <c r="F818" s="23" t="str">
        <f>IFERROR(INDEX(vdata_regressors!$A$1:$L$2000,MATCH($A818,vdata_regressors!$A$2:$A$2000,0)+1,MATCH(F$2,vdata_regressors!$A$1:$R$1,0)),"")</f>
        <v/>
      </c>
      <c r="G818" s="23" t="str">
        <f>IFERROR(INDEX(vdata_regressors!$A$1:$L$2000,MATCH($A818,vdata_regressors!$A$2:$A$2000,0)+1,MATCH(G$2,vdata_regressors!$A$1:$R$1,0)),"")</f>
        <v/>
      </c>
      <c r="H818" s="23" t="str">
        <f>IFERROR(INDEX(vdata_regressors!$A$1:$L$2000,MATCH($A818,vdata_regressors!$A$2:$A$2000,0)+1,MATCH(H$2,vdata_regressors!$A$1:$R$1,0)),"")</f>
        <v/>
      </c>
      <c r="I818" s="23" t="str">
        <f>IFERROR(INDEX(vdata_regressors!$A$1:$L$2000,MATCH($A818,vdata_regressors!$A$2:$A$2000,0)+1,MATCH(I$2,vdata_regressors!$A$1:$R$1,0)),"")</f>
        <v/>
      </c>
      <c r="J818" s="23" t="str">
        <f>IFERROR(INDEX(vdata_regressors!$A$1:$L$2000,MATCH($A818,vdata_regressors!$A$2:$A$2000,0)+1,MATCH(J$2,vdata_regressors!$A$1:$R$1,0)),"")</f>
        <v/>
      </c>
      <c r="K818" s="23" t="str">
        <f>IFERROR(INDEX(vdata_regressors!$A$1:$L$2000,MATCH($A818,vdata_regressors!$A$2:$A$2000,0)+1,MATCH(K$2,vdata_regressors!$A$1:$R$1,0)),"")</f>
        <v/>
      </c>
      <c r="L818" s="23" t="str">
        <f>IFERROR(INDEX(vdata_regressors!$A$1:$L$2000,MATCH($A818,vdata_regressors!$A$2:$A$2000,0)+1,MATCH(L$2,vdata_regressors!$A$1:$R$1,0)),"")</f>
        <v/>
      </c>
      <c r="M818" s="23" t="str">
        <f>IFERROR(VLOOKUP(A818,vdata_hours!$A$2:$B$1000,2,FALSE),"")</f>
        <v/>
      </c>
    </row>
    <row r="819" spans="1:13" x14ac:dyDescent="0.25">
      <c r="A819" s="23" t="str">
        <f>IF(vdata_hours!A818=0,"",vdata_hours!A818)</f>
        <v/>
      </c>
      <c r="B819" s="23" t="str">
        <f>IFERROR(INDEX(vdata_regressors!$A$1:$L$2000,MATCH($A819,vdata_regressors!$A$2:$A$2000,0)+1,MATCH(B$2,vdata_regressors!$A$1:$R$1,0)),"")</f>
        <v/>
      </c>
      <c r="C819" s="23" t="str">
        <f>IFERROR(INDEX(vdata_regressors!$A$1:$L$2000,MATCH($A819,vdata_regressors!$A$2:$A$2000,0)+1,MATCH(C$2,vdata_regressors!$A$1:$R$1,0)),"")</f>
        <v/>
      </c>
      <c r="D819" s="23" t="str">
        <f>IFERROR(INDEX(vdata_regressors!$A$1:$L$2000,MATCH($A819,vdata_regressors!$A$2:$A$2000,0)+1,MATCH(D$2,vdata_regressors!$A$1:$R$1,0)),"")</f>
        <v/>
      </c>
      <c r="E819" s="23" t="str">
        <f>IFERROR(INDEX(vdata_regressors!$A$1:$L$2000,MATCH($A819,vdata_regressors!$A$2:$A$2000,0)+1,MATCH(E$2,vdata_regressors!$A$1:$R$1,0)),"")</f>
        <v/>
      </c>
      <c r="F819" s="23" t="str">
        <f>IFERROR(INDEX(vdata_regressors!$A$1:$L$2000,MATCH($A819,vdata_regressors!$A$2:$A$2000,0)+1,MATCH(F$2,vdata_regressors!$A$1:$R$1,0)),"")</f>
        <v/>
      </c>
      <c r="G819" s="23" t="str">
        <f>IFERROR(INDEX(vdata_regressors!$A$1:$L$2000,MATCH($A819,vdata_regressors!$A$2:$A$2000,0)+1,MATCH(G$2,vdata_regressors!$A$1:$R$1,0)),"")</f>
        <v/>
      </c>
      <c r="H819" s="23" t="str">
        <f>IFERROR(INDEX(vdata_regressors!$A$1:$L$2000,MATCH($A819,vdata_regressors!$A$2:$A$2000,0)+1,MATCH(H$2,vdata_regressors!$A$1:$R$1,0)),"")</f>
        <v/>
      </c>
      <c r="I819" s="23" t="str">
        <f>IFERROR(INDEX(vdata_regressors!$A$1:$L$2000,MATCH($A819,vdata_regressors!$A$2:$A$2000,0)+1,MATCH(I$2,vdata_regressors!$A$1:$R$1,0)),"")</f>
        <v/>
      </c>
      <c r="J819" s="23" t="str">
        <f>IFERROR(INDEX(vdata_regressors!$A$1:$L$2000,MATCH($A819,vdata_regressors!$A$2:$A$2000,0)+1,MATCH(J$2,vdata_regressors!$A$1:$R$1,0)),"")</f>
        <v/>
      </c>
      <c r="K819" s="23" t="str">
        <f>IFERROR(INDEX(vdata_regressors!$A$1:$L$2000,MATCH($A819,vdata_regressors!$A$2:$A$2000,0)+1,MATCH(K$2,vdata_regressors!$A$1:$R$1,0)),"")</f>
        <v/>
      </c>
      <c r="L819" s="23" t="str">
        <f>IFERROR(INDEX(vdata_regressors!$A$1:$L$2000,MATCH($A819,vdata_regressors!$A$2:$A$2000,0)+1,MATCH(L$2,vdata_regressors!$A$1:$R$1,0)),"")</f>
        <v/>
      </c>
      <c r="M819" s="23" t="str">
        <f>IFERROR(VLOOKUP(A819,vdata_hours!$A$2:$B$1000,2,FALSE),"")</f>
        <v/>
      </c>
    </row>
    <row r="820" spans="1:13" x14ac:dyDescent="0.25">
      <c r="A820" s="23" t="str">
        <f>IF(vdata_hours!A819=0,"",vdata_hours!A819)</f>
        <v/>
      </c>
      <c r="B820" s="23" t="str">
        <f>IFERROR(INDEX(vdata_regressors!$A$1:$L$2000,MATCH($A820,vdata_regressors!$A$2:$A$2000,0)+1,MATCH(B$2,vdata_regressors!$A$1:$R$1,0)),"")</f>
        <v/>
      </c>
      <c r="C820" s="23" t="str">
        <f>IFERROR(INDEX(vdata_regressors!$A$1:$L$2000,MATCH($A820,vdata_regressors!$A$2:$A$2000,0)+1,MATCH(C$2,vdata_regressors!$A$1:$R$1,0)),"")</f>
        <v/>
      </c>
      <c r="D820" s="23" t="str">
        <f>IFERROR(INDEX(vdata_regressors!$A$1:$L$2000,MATCH($A820,vdata_regressors!$A$2:$A$2000,0)+1,MATCH(D$2,vdata_regressors!$A$1:$R$1,0)),"")</f>
        <v/>
      </c>
      <c r="E820" s="23" t="str">
        <f>IFERROR(INDEX(vdata_regressors!$A$1:$L$2000,MATCH($A820,vdata_regressors!$A$2:$A$2000,0)+1,MATCH(E$2,vdata_regressors!$A$1:$R$1,0)),"")</f>
        <v/>
      </c>
      <c r="F820" s="23" t="str">
        <f>IFERROR(INDEX(vdata_regressors!$A$1:$L$2000,MATCH($A820,vdata_regressors!$A$2:$A$2000,0)+1,MATCH(F$2,vdata_regressors!$A$1:$R$1,0)),"")</f>
        <v/>
      </c>
      <c r="G820" s="23" t="str">
        <f>IFERROR(INDEX(vdata_regressors!$A$1:$L$2000,MATCH($A820,vdata_regressors!$A$2:$A$2000,0)+1,MATCH(G$2,vdata_regressors!$A$1:$R$1,0)),"")</f>
        <v/>
      </c>
      <c r="H820" s="23" t="str">
        <f>IFERROR(INDEX(vdata_regressors!$A$1:$L$2000,MATCH($A820,vdata_regressors!$A$2:$A$2000,0)+1,MATCH(H$2,vdata_regressors!$A$1:$R$1,0)),"")</f>
        <v/>
      </c>
      <c r="I820" s="23" t="str">
        <f>IFERROR(INDEX(vdata_regressors!$A$1:$L$2000,MATCH($A820,vdata_regressors!$A$2:$A$2000,0)+1,MATCH(I$2,vdata_regressors!$A$1:$R$1,0)),"")</f>
        <v/>
      </c>
      <c r="J820" s="23" t="str">
        <f>IFERROR(INDEX(vdata_regressors!$A$1:$L$2000,MATCH($A820,vdata_regressors!$A$2:$A$2000,0)+1,MATCH(J$2,vdata_regressors!$A$1:$R$1,0)),"")</f>
        <v/>
      </c>
      <c r="K820" s="23" t="str">
        <f>IFERROR(INDEX(vdata_regressors!$A$1:$L$2000,MATCH($A820,vdata_regressors!$A$2:$A$2000,0)+1,MATCH(K$2,vdata_regressors!$A$1:$R$1,0)),"")</f>
        <v/>
      </c>
      <c r="L820" s="23" t="str">
        <f>IFERROR(INDEX(vdata_regressors!$A$1:$L$2000,MATCH($A820,vdata_regressors!$A$2:$A$2000,0)+1,MATCH(L$2,vdata_regressors!$A$1:$R$1,0)),"")</f>
        <v/>
      </c>
      <c r="M820" s="23" t="str">
        <f>IFERROR(VLOOKUP(A820,vdata_hours!$A$2:$B$1000,2,FALSE),"")</f>
        <v/>
      </c>
    </row>
    <row r="821" spans="1:13" x14ac:dyDescent="0.25">
      <c r="A821" s="23" t="str">
        <f>IF(vdata_hours!A820=0,"",vdata_hours!A820)</f>
        <v/>
      </c>
      <c r="B821" s="23" t="str">
        <f>IFERROR(INDEX(vdata_regressors!$A$1:$L$2000,MATCH($A821,vdata_regressors!$A$2:$A$2000,0)+1,MATCH(B$2,vdata_regressors!$A$1:$R$1,0)),"")</f>
        <v/>
      </c>
      <c r="C821" s="23" t="str">
        <f>IFERROR(INDEX(vdata_regressors!$A$1:$L$2000,MATCH($A821,vdata_regressors!$A$2:$A$2000,0)+1,MATCH(C$2,vdata_regressors!$A$1:$R$1,0)),"")</f>
        <v/>
      </c>
      <c r="D821" s="23" t="str">
        <f>IFERROR(INDEX(vdata_regressors!$A$1:$L$2000,MATCH($A821,vdata_regressors!$A$2:$A$2000,0)+1,MATCH(D$2,vdata_regressors!$A$1:$R$1,0)),"")</f>
        <v/>
      </c>
      <c r="E821" s="23" t="str">
        <f>IFERROR(INDEX(vdata_regressors!$A$1:$L$2000,MATCH($A821,vdata_regressors!$A$2:$A$2000,0)+1,MATCH(E$2,vdata_regressors!$A$1:$R$1,0)),"")</f>
        <v/>
      </c>
      <c r="F821" s="23" t="str">
        <f>IFERROR(INDEX(vdata_regressors!$A$1:$L$2000,MATCH($A821,vdata_regressors!$A$2:$A$2000,0)+1,MATCH(F$2,vdata_regressors!$A$1:$R$1,0)),"")</f>
        <v/>
      </c>
      <c r="G821" s="23" t="str">
        <f>IFERROR(INDEX(vdata_regressors!$A$1:$L$2000,MATCH($A821,vdata_regressors!$A$2:$A$2000,0)+1,MATCH(G$2,vdata_regressors!$A$1:$R$1,0)),"")</f>
        <v/>
      </c>
      <c r="H821" s="23" t="str">
        <f>IFERROR(INDEX(vdata_regressors!$A$1:$L$2000,MATCH($A821,vdata_regressors!$A$2:$A$2000,0)+1,MATCH(H$2,vdata_regressors!$A$1:$R$1,0)),"")</f>
        <v/>
      </c>
      <c r="I821" s="23" t="str">
        <f>IFERROR(INDEX(vdata_regressors!$A$1:$L$2000,MATCH($A821,vdata_regressors!$A$2:$A$2000,0)+1,MATCH(I$2,vdata_regressors!$A$1:$R$1,0)),"")</f>
        <v/>
      </c>
      <c r="J821" s="23" t="str">
        <f>IFERROR(INDEX(vdata_regressors!$A$1:$L$2000,MATCH($A821,vdata_regressors!$A$2:$A$2000,0)+1,MATCH(J$2,vdata_regressors!$A$1:$R$1,0)),"")</f>
        <v/>
      </c>
      <c r="K821" s="23" t="str">
        <f>IFERROR(INDEX(vdata_regressors!$A$1:$L$2000,MATCH($A821,vdata_regressors!$A$2:$A$2000,0)+1,MATCH(K$2,vdata_regressors!$A$1:$R$1,0)),"")</f>
        <v/>
      </c>
      <c r="L821" s="23" t="str">
        <f>IFERROR(INDEX(vdata_regressors!$A$1:$L$2000,MATCH($A821,vdata_regressors!$A$2:$A$2000,0)+1,MATCH(L$2,vdata_regressors!$A$1:$R$1,0)),"")</f>
        <v/>
      </c>
      <c r="M821" s="23" t="str">
        <f>IFERROR(VLOOKUP(A821,vdata_hours!$A$2:$B$1000,2,FALSE),"")</f>
        <v/>
      </c>
    </row>
    <row r="822" spans="1:13" x14ac:dyDescent="0.25">
      <c r="A822" s="23" t="str">
        <f>IF(vdata_hours!A821=0,"",vdata_hours!A821)</f>
        <v/>
      </c>
      <c r="B822" s="23" t="str">
        <f>IFERROR(INDEX(vdata_regressors!$A$1:$L$2000,MATCH($A822,vdata_regressors!$A$2:$A$2000,0)+1,MATCH(B$2,vdata_regressors!$A$1:$R$1,0)),"")</f>
        <v/>
      </c>
      <c r="C822" s="23" t="str">
        <f>IFERROR(INDEX(vdata_regressors!$A$1:$L$2000,MATCH($A822,vdata_regressors!$A$2:$A$2000,0)+1,MATCH(C$2,vdata_regressors!$A$1:$R$1,0)),"")</f>
        <v/>
      </c>
      <c r="D822" s="23" t="str">
        <f>IFERROR(INDEX(vdata_regressors!$A$1:$L$2000,MATCH($A822,vdata_regressors!$A$2:$A$2000,0)+1,MATCH(D$2,vdata_regressors!$A$1:$R$1,0)),"")</f>
        <v/>
      </c>
      <c r="E822" s="23" t="str">
        <f>IFERROR(INDEX(vdata_regressors!$A$1:$L$2000,MATCH($A822,vdata_regressors!$A$2:$A$2000,0)+1,MATCH(E$2,vdata_regressors!$A$1:$R$1,0)),"")</f>
        <v/>
      </c>
      <c r="F822" s="23" t="str">
        <f>IFERROR(INDEX(vdata_regressors!$A$1:$L$2000,MATCH($A822,vdata_regressors!$A$2:$A$2000,0)+1,MATCH(F$2,vdata_regressors!$A$1:$R$1,0)),"")</f>
        <v/>
      </c>
      <c r="G822" s="23" t="str">
        <f>IFERROR(INDEX(vdata_regressors!$A$1:$L$2000,MATCH($A822,vdata_regressors!$A$2:$A$2000,0)+1,MATCH(G$2,vdata_regressors!$A$1:$R$1,0)),"")</f>
        <v/>
      </c>
      <c r="H822" s="23" t="str">
        <f>IFERROR(INDEX(vdata_regressors!$A$1:$L$2000,MATCH($A822,vdata_regressors!$A$2:$A$2000,0)+1,MATCH(H$2,vdata_regressors!$A$1:$R$1,0)),"")</f>
        <v/>
      </c>
      <c r="I822" s="23" t="str">
        <f>IFERROR(INDEX(vdata_regressors!$A$1:$L$2000,MATCH($A822,vdata_regressors!$A$2:$A$2000,0)+1,MATCH(I$2,vdata_regressors!$A$1:$R$1,0)),"")</f>
        <v/>
      </c>
      <c r="J822" s="23" t="str">
        <f>IFERROR(INDEX(vdata_regressors!$A$1:$L$2000,MATCH($A822,vdata_regressors!$A$2:$A$2000,0)+1,MATCH(J$2,vdata_regressors!$A$1:$R$1,0)),"")</f>
        <v/>
      </c>
      <c r="K822" s="23" t="str">
        <f>IFERROR(INDEX(vdata_regressors!$A$1:$L$2000,MATCH($A822,vdata_regressors!$A$2:$A$2000,0)+1,MATCH(K$2,vdata_regressors!$A$1:$R$1,0)),"")</f>
        <v/>
      </c>
      <c r="L822" s="23" t="str">
        <f>IFERROR(INDEX(vdata_regressors!$A$1:$L$2000,MATCH($A822,vdata_regressors!$A$2:$A$2000,0)+1,MATCH(L$2,vdata_regressors!$A$1:$R$1,0)),"")</f>
        <v/>
      </c>
      <c r="M822" s="23" t="str">
        <f>IFERROR(VLOOKUP(A822,vdata_hours!$A$2:$B$1000,2,FALSE),"")</f>
        <v/>
      </c>
    </row>
    <row r="823" spans="1:13" x14ac:dyDescent="0.25">
      <c r="A823" s="23" t="str">
        <f>IF(vdata_hours!A822=0,"",vdata_hours!A822)</f>
        <v/>
      </c>
      <c r="B823" s="23" t="str">
        <f>IFERROR(INDEX(vdata_regressors!$A$1:$L$2000,MATCH($A823,vdata_regressors!$A$2:$A$2000,0)+1,MATCH(B$2,vdata_regressors!$A$1:$R$1,0)),"")</f>
        <v/>
      </c>
      <c r="C823" s="23" t="str">
        <f>IFERROR(INDEX(vdata_regressors!$A$1:$L$2000,MATCH($A823,vdata_regressors!$A$2:$A$2000,0)+1,MATCH(C$2,vdata_regressors!$A$1:$R$1,0)),"")</f>
        <v/>
      </c>
      <c r="D823" s="23" t="str">
        <f>IFERROR(INDEX(vdata_regressors!$A$1:$L$2000,MATCH($A823,vdata_regressors!$A$2:$A$2000,0)+1,MATCH(D$2,vdata_regressors!$A$1:$R$1,0)),"")</f>
        <v/>
      </c>
      <c r="E823" s="23" t="str">
        <f>IFERROR(INDEX(vdata_regressors!$A$1:$L$2000,MATCH($A823,vdata_regressors!$A$2:$A$2000,0)+1,MATCH(E$2,vdata_regressors!$A$1:$R$1,0)),"")</f>
        <v/>
      </c>
      <c r="F823" s="23" t="str">
        <f>IFERROR(INDEX(vdata_regressors!$A$1:$L$2000,MATCH($A823,vdata_regressors!$A$2:$A$2000,0)+1,MATCH(F$2,vdata_regressors!$A$1:$R$1,0)),"")</f>
        <v/>
      </c>
      <c r="G823" s="23" t="str">
        <f>IFERROR(INDEX(vdata_regressors!$A$1:$L$2000,MATCH($A823,vdata_regressors!$A$2:$A$2000,0)+1,MATCH(G$2,vdata_regressors!$A$1:$R$1,0)),"")</f>
        <v/>
      </c>
      <c r="H823" s="23" t="str">
        <f>IFERROR(INDEX(vdata_regressors!$A$1:$L$2000,MATCH($A823,vdata_regressors!$A$2:$A$2000,0)+1,MATCH(H$2,vdata_regressors!$A$1:$R$1,0)),"")</f>
        <v/>
      </c>
      <c r="I823" s="23" t="str">
        <f>IFERROR(INDEX(vdata_regressors!$A$1:$L$2000,MATCH($A823,vdata_regressors!$A$2:$A$2000,0)+1,MATCH(I$2,vdata_regressors!$A$1:$R$1,0)),"")</f>
        <v/>
      </c>
      <c r="J823" s="23" t="str">
        <f>IFERROR(INDEX(vdata_regressors!$A$1:$L$2000,MATCH($A823,vdata_regressors!$A$2:$A$2000,0)+1,MATCH(J$2,vdata_regressors!$A$1:$R$1,0)),"")</f>
        <v/>
      </c>
      <c r="K823" s="23" t="str">
        <f>IFERROR(INDEX(vdata_regressors!$A$1:$L$2000,MATCH($A823,vdata_regressors!$A$2:$A$2000,0)+1,MATCH(K$2,vdata_regressors!$A$1:$R$1,0)),"")</f>
        <v/>
      </c>
      <c r="L823" s="23" t="str">
        <f>IFERROR(INDEX(vdata_regressors!$A$1:$L$2000,MATCH($A823,vdata_regressors!$A$2:$A$2000,0)+1,MATCH(L$2,vdata_regressors!$A$1:$R$1,0)),"")</f>
        <v/>
      </c>
      <c r="M823" s="23" t="str">
        <f>IFERROR(VLOOKUP(A823,vdata_hours!$A$2:$B$1000,2,FALSE),"")</f>
        <v/>
      </c>
    </row>
    <row r="824" spans="1:13" x14ac:dyDescent="0.25">
      <c r="A824" s="23" t="str">
        <f>IF(vdata_hours!A823=0,"",vdata_hours!A823)</f>
        <v/>
      </c>
      <c r="B824" s="23" t="str">
        <f>IFERROR(INDEX(vdata_regressors!$A$1:$L$2000,MATCH($A824,vdata_regressors!$A$2:$A$2000,0)+1,MATCH(B$2,vdata_regressors!$A$1:$R$1,0)),"")</f>
        <v/>
      </c>
      <c r="C824" s="23" t="str">
        <f>IFERROR(INDEX(vdata_regressors!$A$1:$L$2000,MATCH($A824,vdata_regressors!$A$2:$A$2000,0)+1,MATCH(C$2,vdata_regressors!$A$1:$R$1,0)),"")</f>
        <v/>
      </c>
      <c r="D824" s="23" t="str">
        <f>IFERROR(INDEX(vdata_regressors!$A$1:$L$2000,MATCH($A824,vdata_regressors!$A$2:$A$2000,0)+1,MATCH(D$2,vdata_regressors!$A$1:$R$1,0)),"")</f>
        <v/>
      </c>
      <c r="E824" s="23" t="str">
        <f>IFERROR(INDEX(vdata_regressors!$A$1:$L$2000,MATCH($A824,vdata_regressors!$A$2:$A$2000,0)+1,MATCH(E$2,vdata_regressors!$A$1:$R$1,0)),"")</f>
        <v/>
      </c>
      <c r="F824" s="23" t="str">
        <f>IFERROR(INDEX(vdata_regressors!$A$1:$L$2000,MATCH($A824,vdata_regressors!$A$2:$A$2000,0)+1,MATCH(F$2,vdata_regressors!$A$1:$R$1,0)),"")</f>
        <v/>
      </c>
      <c r="G824" s="23" t="str">
        <f>IFERROR(INDEX(vdata_regressors!$A$1:$L$2000,MATCH($A824,vdata_regressors!$A$2:$A$2000,0)+1,MATCH(G$2,vdata_regressors!$A$1:$R$1,0)),"")</f>
        <v/>
      </c>
      <c r="H824" s="23" t="str">
        <f>IFERROR(INDEX(vdata_regressors!$A$1:$L$2000,MATCH($A824,vdata_regressors!$A$2:$A$2000,0)+1,MATCH(H$2,vdata_regressors!$A$1:$R$1,0)),"")</f>
        <v/>
      </c>
      <c r="I824" s="23" t="str">
        <f>IFERROR(INDEX(vdata_regressors!$A$1:$L$2000,MATCH($A824,vdata_regressors!$A$2:$A$2000,0)+1,MATCH(I$2,vdata_regressors!$A$1:$R$1,0)),"")</f>
        <v/>
      </c>
      <c r="J824" s="23" t="str">
        <f>IFERROR(INDEX(vdata_regressors!$A$1:$L$2000,MATCH($A824,vdata_regressors!$A$2:$A$2000,0)+1,MATCH(J$2,vdata_regressors!$A$1:$R$1,0)),"")</f>
        <v/>
      </c>
      <c r="K824" s="23" t="str">
        <f>IFERROR(INDEX(vdata_regressors!$A$1:$L$2000,MATCH($A824,vdata_regressors!$A$2:$A$2000,0)+1,MATCH(K$2,vdata_regressors!$A$1:$R$1,0)),"")</f>
        <v/>
      </c>
      <c r="L824" s="23" t="str">
        <f>IFERROR(INDEX(vdata_regressors!$A$1:$L$2000,MATCH($A824,vdata_regressors!$A$2:$A$2000,0)+1,MATCH(L$2,vdata_regressors!$A$1:$R$1,0)),"")</f>
        <v/>
      </c>
      <c r="M824" s="23" t="str">
        <f>IFERROR(VLOOKUP(A824,vdata_hours!$A$2:$B$1000,2,FALSE),"")</f>
        <v/>
      </c>
    </row>
    <row r="825" spans="1:13" x14ac:dyDescent="0.25">
      <c r="A825" s="23" t="str">
        <f>IF(vdata_hours!A824=0,"",vdata_hours!A824)</f>
        <v/>
      </c>
      <c r="B825" s="23" t="str">
        <f>IFERROR(INDEX(vdata_regressors!$A$1:$L$2000,MATCH($A825,vdata_regressors!$A$2:$A$2000,0)+1,MATCH(B$2,vdata_regressors!$A$1:$R$1,0)),"")</f>
        <v/>
      </c>
      <c r="C825" s="23" t="str">
        <f>IFERROR(INDEX(vdata_regressors!$A$1:$L$2000,MATCH($A825,vdata_regressors!$A$2:$A$2000,0)+1,MATCH(C$2,vdata_regressors!$A$1:$R$1,0)),"")</f>
        <v/>
      </c>
      <c r="D825" s="23" t="str">
        <f>IFERROR(INDEX(vdata_regressors!$A$1:$L$2000,MATCH($A825,vdata_regressors!$A$2:$A$2000,0)+1,MATCH(D$2,vdata_regressors!$A$1:$R$1,0)),"")</f>
        <v/>
      </c>
      <c r="E825" s="23" t="str">
        <f>IFERROR(INDEX(vdata_regressors!$A$1:$L$2000,MATCH($A825,vdata_regressors!$A$2:$A$2000,0)+1,MATCH(E$2,vdata_regressors!$A$1:$R$1,0)),"")</f>
        <v/>
      </c>
      <c r="F825" s="23" t="str">
        <f>IFERROR(INDEX(vdata_regressors!$A$1:$L$2000,MATCH($A825,vdata_regressors!$A$2:$A$2000,0)+1,MATCH(F$2,vdata_regressors!$A$1:$R$1,0)),"")</f>
        <v/>
      </c>
      <c r="G825" s="23" t="str">
        <f>IFERROR(INDEX(vdata_regressors!$A$1:$L$2000,MATCH($A825,vdata_regressors!$A$2:$A$2000,0)+1,MATCH(G$2,vdata_regressors!$A$1:$R$1,0)),"")</f>
        <v/>
      </c>
      <c r="H825" s="23" t="str">
        <f>IFERROR(INDEX(vdata_regressors!$A$1:$L$2000,MATCH($A825,vdata_regressors!$A$2:$A$2000,0)+1,MATCH(H$2,vdata_regressors!$A$1:$R$1,0)),"")</f>
        <v/>
      </c>
      <c r="I825" s="23" t="str">
        <f>IFERROR(INDEX(vdata_regressors!$A$1:$L$2000,MATCH($A825,vdata_regressors!$A$2:$A$2000,0)+1,MATCH(I$2,vdata_regressors!$A$1:$R$1,0)),"")</f>
        <v/>
      </c>
      <c r="J825" s="23" t="str">
        <f>IFERROR(INDEX(vdata_regressors!$A$1:$L$2000,MATCH($A825,vdata_regressors!$A$2:$A$2000,0)+1,MATCH(J$2,vdata_regressors!$A$1:$R$1,0)),"")</f>
        <v/>
      </c>
      <c r="K825" s="23" t="str">
        <f>IFERROR(INDEX(vdata_regressors!$A$1:$L$2000,MATCH($A825,vdata_regressors!$A$2:$A$2000,0)+1,MATCH(K$2,vdata_regressors!$A$1:$R$1,0)),"")</f>
        <v/>
      </c>
      <c r="L825" s="23" t="str">
        <f>IFERROR(INDEX(vdata_regressors!$A$1:$L$2000,MATCH($A825,vdata_regressors!$A$2:$A$2000,0)+1,MATCH(L$2,vdata_regressors!$A$1:$R$1,0)),"")</f>
        <v/>
      </c>
      <c r="M825" s="23" t="str">
        <f>IFERROR(VLOOKUP(A825,vdata_hours!$A$2:$B$1000,2,FALSE),"")</f>
        <v/>
      </c>
    </row>
    <row r="826" spans="1:13" x14ac:dyDescent="0.25">
      <c r="A826" s="23" t="str">
        <f>IF(vdata_hours!A825=0,"",vdata_hours!A825)</f>
        <v/>
      </c>
      <c r="B826" s="23" t="str">
        <f>IFERROR(INDEX(vdata_regressors!$A$1:$L$2000,MATCH($A826,vdata_regressors!$A$2:$A$2000,0)+1,MATCH(B$2,vdata_regressors!$A$1:$R$1,0)),"")</f>
        <v/>
      </c>
      <c r="C826" s="23" t="str">
        <f>IFERROR(INDEX(vdata_regressors!$A$1:$L$2000,MATCH($A826,vdata_regressors!$A$2:$A$2000,0)+1,MATCH(C$2,vdata_regressors!$A$1:$R$1,0)),"")</f>
        <v/>
      </c>
      <c r="D826" s="23" t="str">
        <f>IFERROR(INDEX(vdata_regressors!$A$1:$L$2000,MATCH($A826,vdata_regressors!$A$2:$A$2000,0)+1,MATCH(D$2,vdata_regressors!$A$1:$R$1,0)),"")</f>
        <v/>
      </c>
      <c r="E826" s="23" t="str">
        <f>IFERROR(INDEX(vdata_regressors!$A$1:$L$2000,MATCH($A826,vdata_regressors!$A$2:$A$2000,0)+1,MATCH(E$2,vdata_regressors!$A$1:$R$1,0)),"")</f>
        <v/>
      </c>
      <c r="F826" s="23" t="str">
        <f>IFERROR(INDEX(vdata_regressors!$A$1:$L$2000,MATCH($A826,vdata_regressors!$A$2:$A$2000,0)+1,MATCH(F$2,vdata_regressors!$A$1:$R$1,0)),"")</f>
        <v/>
      </c>
      <c r="G826" s="23" t="str">
        <f>IFERROR(INDEX(vdata_regressors!$A$1:$L$2000,MATCH($A826,vdata_regressors!$A$2:$A$2000,0)+1,MATCH(G$2,vdata_regressors!$A$1:$R$1,0)),"")</f>
        <v/>
      </c>
      <c r="H826" s="23" t="str">
        <f>IFERROR(INDEX(vdata_regressors!$A$1:$L$2000,MATCH($A826,vdata_regressors!$A$2:$A$2000,0)+1,MATCH(H$2,vdata_regressors!$A$1:$R$1,0)),"")</f>
        <v/>
      </c>
      <c r="I826" s="23" t="str">
        <f>IFERROR(INDEX(vdata_regressors!$A$1:$L$2000,MATCH($A826,vdata_regressors!$A$2:$A$2000,0)+1,MATCH(I$2,vdata_regressors!$A$1:$R$1,0)),"")</f>
        <v/>
      </c>
      <c r="J826" s="23" t="str">
        <f>IFERROR(INDEX(vdata_regressors!$A$1:$L$2000,MATCH($A826,vdata_regressors!$A$2:$A$2000,0)+1,MATCH(J$2,vdata_regressors!$A$1:$R$1,0)),"")</f>
        <v/>
      </c>
      <c r="K826" s="23" t="str">
        <f>IFERROR(INDEX(vdata_regressors!$A$1:$L$2000,MATCH($A826,vdata_regressors!$A$2:$A$2000,0)+1,MATCH(K$2,vdata_regressors!$A$1:$R$1,0)),"")</f>
        <v/>
      </c>
      <c r="L826" s="23" t="str">
        <f>IFERROR(INDEX(vdata_regressors!$A$1:$L$2000,MATCH($A826,vdata_regressors!$A$2:$A$2000,0)+1,MATCH(L$2,vdata_regressors!$A$1:$R$1,0)),"")</f>
        <v/>
      </c>
      <c r="M826" s="23" t="str">
        <f>IFERROR(VLOOKUP(A826,vdata_hours!$A$2:$B$1000,2,FALSE),"")</f>
        <v/>
      </c>
    </row>
    <row r="827" spans="1:13" x14ac:dyDescent="0.25">
      <c r="A827" s="23" t="str">
        <f>IF(vdata_hours!A826=0,"",vdata_hours!A826)</f>
        <v/>
      </c>
      <c r="B827" s="23" t="str">
        <f>IFERROR(INDEX(vdata_regressors!$A$1:$L$2000,MATCH($A827,vdata_regressors!$A$2:$A$2000,0)+1,MATCH(B$2,vdata_regressors!$A$1:$R$1,0)),"")</f>
        <v/>
      </c>
      <c r="C827" s="23" t="str">
        <f>IFERROR(INDEX(vdata_regressors!$A$1:$L$2000,MATCH($A827,vdata_regressors!$A$2:$A$2000,0)+1,MATCH(C$2,vdata_regressors!$A$1:$R$1,0)),"")</f>
        <v/>
      </c>
      <c r="D827" s="23" t="str">
        <f>IFERROR(INDEX(vdata_regressors!$A$1:$L$2000,MATCH($A827,vdata_regressors!$A$2:$A$2000,0)+1,MATCH(D$2,vdata_regressors!$A$1:$R$1,0)),"")</f>
        <v/>
      </c>
      <c r="E827" s="23" t="str">
        <f>IFERROR(INDEX(vdata_regressors!$A$1:$L$2000,MATCH($A827,vdata_regressors!$A$2:$A$2000,0)+1,MATCH(E$2,vdata_regressors!$A$1:$R$1,0)),"")</f>
        <v/>
      </c>
      <c r="F827" s="23" t="str">
        <f>IFERROR(INDEX(vdata_regressors!$A$1:$L$2000,MATCH($A827,vdata_regressors!$A$2:$A$2000,0)+1,MATCH(F$2,vdata_regressors!$A$1:$R$1,0)),"")</f>
        <v/>
      </c>
      <c r="G827" s="23" t="str">
        <f>IFERROR(INDEX(vdata_regressors!$A$1:$L$2000,MATCH($A827,vdata_regressors!$A$2:$A$2000,0)+1,MATCH(G$2,vdata_regressors!$A$1:$R$1,0)),"")</f>
        <v/>
      </c>
      <c r="H827" s="23" t="str">
        <f>IFERROR(INDEX(vdata_regressors!$A$1:$L$2000,MATCH($A827,vdata_regressors!$A$2:$A$2000,0)+1,MATCH(H$2,vdata_regressors!$A$1:$R$1,0)),"")</f>
        <v/>
      </c>
      <c r="I827" s="23" t="str">
        <f>IFERROR(INDEX(vdata_regressors!$A$1:$L$2000,MATCH($A827,vdata_regressors!$A$2:$A$2000,0)+1,MATCH(I$2,vdata_regressors!$A$1:$R$1,0)),"")</f>
        <v/>
      </c>
      <c r="J827" s="23" t="str">
        <f>IFERROR(INDEX(vdata_regressors!$A$1:$L$2000,MATCH($A827,vdata_regressors!$A$2:$A$2000,0)+1,MATCH(J$2,vdata_regressors!$A$1:$R$1,0)),"")</f>
        <v/>
      </c>
      <c r="K827" s="23" t="str">
        <f>IFERROR(INDEX(vdata_regressors!$A$1:$L$2000,MATCH($A827,vdata_regressors!$A$2:$A$2000,0)+1,MATCH(K$2,vdata_regressors!$A$1:$R$1,0)),"")</f>
        <v/>
      </c>
      <c r="L827" s="23" t="str">
        <f>IFERROR(INDEX(vdata_regressors!$A$1:$L$2000,MATCH($A827,vdata_regressors!$A$2:$A$2000,0)+1,MATCH(L$2,vdata_regressors!$A$1:$R$1,0)),"")</f>
        <v/>
      </c>
      <c r="M827" s="23" t="str">
        <f>IFERROR(VLOOKUP(A827,vdata_hours!$A$2:$B$1000,2,FALSE),"")</f>
        <v/>
      </c>
    </row>
    <row r="828" spans="1:13" x14ac:dyDescent="0.25">
      <c r="A828" s="23" t="str">
        <f>IF(vdata_hours!A827=0,"",vdata_hours!A827)</f>
        <v/>
      </c>
      <c r="B828" s="23" t="str">
        <f>IFERROR(INDEX(vdata_regressors!$A$1:$L$2000,MATCH($A828,vdata_regressors!$A$2:$A$2000,0)+1,MATCH(B$2,vdata_regressors!$A$1:$R$1,0)),"")</f>
        <v/>
      </c>
      <c r="C828" s="23" t="str">
        <f>IFERROR(INDEX(vdata_regressors!$A$1:$L$2000,MATCH($A828,vdata_regressors!$A$2:$A$2000,0)+1,MATCH(C$2,vdata_regressors!$A$1:$R$1,0)),"")</f>
        <v/>
      </c>
      <c r="D828" s="23" t="str">
        <f>IFERROR(INDEX(vdata_regressors!$A$1:$L$2000,MATCH($A828,vdata_regressors!$A$2:$A$2000,0)+1,MATCH(D$2,vdata_regressors!$A$1:$R$1,0)),"")</f>
        <v/>
      </c>
      <c r="E828" s="23" t="str">
        <f>IFERROR(INDEX(vdata_regressors!$A$1:$L$2000,MATCH($A828,vdata_regressors!$A$2:$A$2000,0)+1,MATCH(E$2,vdata_regressors!$A$1:$R$1,0)),"")</f>
        <v/>
      </c>
      <c r="F828" s="23" t="str">
        <f>IFERROR(INDEX(vdata_regressors!$A$1:$L$2000,MATCH($A828,vdata_regressors!$A$2:$A$2000,0)+1,MATCH(F$2,vdata_regressors!$A$1:$R$1,0)),"")</f>
        <v/>
      </c>
      <c r="G828" s="23" t="str">
        <f>IFERROR(INDEX(vdata_regressors!$A$1:$L$2000,MATCH($A828,vdata_regressors!$A$2:$A$2000,0)+1,MATCH(G$2,vdata_regressors!$A$1:$R$1,0)),"")</f>
        <v/>
      </c>
      <c r="H828" s="23" t="str">
        <f>IFERROR(INDEX(vdata_regressors!$A$1:$L$2000,MATCH($A828,vdata_regressors!$A$2:$A$2000,0)+1,MATCH(H$2,vdata_regressors!$A$1:$R$1,0)),"")</f>
        <v/>
      </c>
      <c r="I828" s="23" t="str">
        <f>IFERROR(INDEX(vdata_regressors!$A$1:$L$2000,MATCH($A828,vdata_regressors!$A$2:$A$2000,0)+1,MATCH(I$2,vdata_regressors!$A$1:$R$1,0)),"")</f>
        <v/>
      </c>
      <c r="J828" s="23" t="str">
        <f>IFERROR(INDEX(vdata_regressors!$A$1:$L$2000,MATCH($A828,vdata_regressors!$A$2:$A$2000,0)+1,MATCH(J$2,vdata_regressors!$A$1:$R$1,0)),"")</f>
        <v/>
      </c>
      <c r="K828" s="23" t="str">
        <f>IFERROR(INDEX(vdata_regressors!$A$1:$L$2000,MATCH($A828,vdata_regressors!$A$2:$A$2000,0)+1,MATCH(K$2,vdata_regressors!$A$1:$R$1,0)),"")</f>
        <v/>
      </c>
      <c r="L828" s="23" t="str">
        <f>IFERROR(INDEX(vdata_regressors!$A$1:$L$2000,MATCH($A828,vdata_regressors!$A$2:$A$2000,0)+1,MATCH(L$2,vdata_regressors!$A$1:$R$1,0)),"")</f>
        <v/>
      </c>
      <c r="M828" s="23" t="str">
        <f>IFERROR(VLOOKUP(A828,vdata_hours!$A$2:$B$1000,2,FALSE),"")</f>
        <v/>
      </c>
    </row>
    <row r="829" spans="1:13" x14ac:dyDescent="0.25">
      <c r="A829" s="23" t="str">
        <f>IF(vdata_hours!A828=0,"",vdata_hours!A828)</f>
        <v/>
      </c>
      <c r="B829" s="23" t="str">
        <f>IFERROR(INDEX(vdata_regressors!$A$1:$L$2000,MATCH($A829,vdata_regressors!$A$2:$A$2000,0)+1,MATCH(B$2,vdata_regressors!$A$1:$R$1,0)),"")</f>
        <v/>
      </c>
      <c r="C829" s="23" t="str">
        <f>IFERROR(INDEX(vdata_regressors!$A$1:$L$2000,MATCH($A829,vdata_regressors!$A$2:$A$2000,0)+1,MATCH(C$2,vdata_regressors!$A$1:$R$1,0)),"")</f>
        <v/>
      </c>
      <c r="D829" s="23" t="str">
        <f>IFERROR(INDEX(vdata_regressors!$A$1:$L$2000,MATCH($A829,vdata_regressors!$A$2:$A$2000,0)+1,MATCH(D$2,vdata_regressors!$A$1:$R$1,0)),"")</f>
        <v/>
      </c>
      <c r="E829" s="23" t="str">
        <f>IFERROR(INDEX(vdata_regressors!$A$1:$L$2000,MATCH($A829,vdata_regressors!$A$2:$A$2000,0)+1,MATCH(E$2,vdata_regressors!$A$1:$R$1,0)),"")</f>
        <v/>
      </c>
      <c r="F829" s="23" t="str">
        <f>IFERROR(INDEX(vdata_regressors!$A$1:$L$2000,MATCH($A829,vdata_regressors!$A$2:$A$2000,0)+1,MATCH(F$2,vdata_regressors!$A$1:$R$1,0)),"")</f>
        <v/>
      </c>
      <c r="G829" s="23" t="str">
        <f>IFERROR(INDEX(vdata_regressors!$A$1:$L$2000,MATCH($A829,vdata_regressors!$A$2:$A$2000,0)+1,MATCH(G$2,vdata_regressors!$A$1:$R$1,0)),"")</f>
        <v/>
      </c>
      <c r="H829" s="23" t="str">
        <f>IFERROR(INDEX(vdata_regressors!$A$1:$L$2000,MATCH($A829,vdata_regressors!$A$2:$A$2000,0)+1,MATCH(H$2,vdata_regressors!$A$1:$R$1,0)),"")</f>
        <v/>
      </c>
      <c r="I829" s="23" t="str">
        <f>IFERROR(INDEX(vdata_regressors!$A$1:$L$2000,MATCH($A829,vdata_regressors!$A$2:$A$2000,0)+1,MATCH(I$2,vdata_regressors!$A$1:$R$1,0)),"")</f>
        <v/>
      </c>
      <c r="J829" s="23" t="str">
        <f>IFERROR(INDEX(vdata_regressors!$A$1:$L$2000,MATCH($A829,vdata_regressors!$A$2:$A$2000,0)+1,MATCH(J$2,vdata_regressors!$A$1:$R$1,0)),"")</f>
        <v/>
      </c>
      <c r="K829" s="23" t="str">
        <f>IFERROR(INDEX(vdata_regressors!$A$1:$L$2000,MATCH($A829,vdata_regressors!$A$2:$A$2000,0)+1,MATCH(K$2,vdata_regressors!$A$1:$R$1,0)),"")</f>
        <v/>
      </c>
      <c r="L829" s="23" t="str">
        <f>IFERROR(INDEX(vdata_regressors!$A$1:$L$2000,MATCH($A829,vdata_regressors!$A$2:$A$2000,0)+1,MATCH(L$2,vdata_regressors!$A$1:$R$1,0)),"")</f>
        <v/>
      </c>
      <c r="M829" s="23" t="str">
        <f>IFERROR(VLOOKUP(A829,vdata_hours!$A$2:$B$1000,2,FALSE),"")</f>
        <v/>
      </c>
    </row>
    <row r="830" spans="1:13" x14ac:dyDescent="0.25">
      <c r="A830" s="23" t="str">
        <f>IF(vdata_hours!A829=0,"",vdata_hours!A829)</f>
        <v/>
      </c>
      <c r="B830" s="23" t="str">
        <f>IFERROR(INDEX(vdata_regressors!$A$1:$L$2000,MATCH($A830,vdata_regressors!$A$2:$A$2000,0)+1,MATCH(B$2,vdata_regressors!$A$1:$R$1,0)),"")</f>
        <v/>
      </c>
      <c r="C830" s="23" t="str">
        <f>IFERROR(INDEX(vdata_regressors!$A$1:$L$2000,MATCH($A830,vdata_regressors!$A$2:$A$2000,0)+1,MATCH(C$2,vdata_regressors!$A$1:$R$1,0)),"")</f>
        <v/>
      </c>
      <c r="D830" s="23" t="str">
        <f>IFERROR(INDEX(vdata_regressors!$A$1:$L$2000,MATCH($A830,vdata_regressors!$A$2:$A$2000,0)+1,MATCH(D$2,vdata_regressors!$A$1:$R$1,0)),"")</f>
        <v/>
      </c>
      <c r="E830" s="23" t="str">
        <f>IFERROR(INDEX(vdata_regressors!$A$1:$L$2000,MATCH($A830,vdata_regressors!$A$2:$A$2000,0)+1,MATCH(E$2,vdata_regressors!$A$1:$R$1,0)),"")</f>
        <v/>
      </c>
      <c r="F830" s="23" t="str">
        <f>IFERROR(INDEX(vdata_regressors!$A$1:$L$2000,MATCH($A830,vdata_regressors!$A$2:$A$2000,0)+1,MATCH(F$2,vdata_regressors!$A$1:$R$1,0)),"")</f>
        <v/>
      </c>
      <c r="G830" s="23" t="str">
        <f>IFERROR(INDEX(vdata_regressors!$A$1:$L$2000,MATCH($A830,vdata_regressors!$A$2:$A$2000,0)+1,MATCH(G$2,vdata_regressors!$A$1:$R$1,0)),"")</f>
        <v/>
      </c>
      <c r="H830" s="23" t="str">
        <f>IFERROR(INDEX(vdata_regressors!$A$1:$L$2000,MATCH($A830,vdata_regressors!$A$2:$A$2000,0)+1,MATCH(H$2,vdata_regressors!$A$1:$R$1,0)),"")</f>
        <v/>
      </c>
      <c r="I830" s="23" t="str">
        <f>IFERROR(INDEX(vdata_regressors!$A$1:$L$2000,MATCH($A830,vdata_regressors!$A$2:$A$2000,0)+1,MATCH(I$2,vdata_regressors!$A$1:$R$1,0)),"")</f>
        <v/>
      </c>
      <c r="J830" s="23" t="str">
        <f>IFERROR(INDEX(vdata_regressors!$A$1:$L$2000,MATCH($A830,vdata_regressors!$A$2:$A$2000,0)+1,MATCH(J$2,vdata_regressors!$A$1:$R$1,0)),"")</f>
        <v/>
      </c>
      <c r="K830" s="23" t="str">
        <f>IFERROR(INDEX(vdata_regressors!$A$1:$L$2000,MATCH($A830,vdata_regressors!$A$2:$A$2000,0)+1,MATCH(K$2,vdata_regressors!$A$1:$R$1,0)),"")</f>
        <v/>
      </c>
      <c r="L830" s="23" t="str">
        <f>IFERROR(INDEX(vdata_regressors!$A$1:$L$2000,MATCH($A830,vdata_regressors!$A$2:$A$2000,0)+1,MATCH(L$2,vdata_regressors!$A$1:$R$1,0)),"")</f>
        <v/>
      </c>
      <c r="M830" s="23" t="str">
        <f>IFERROR(VLOOKUP(A830,vdata_hours!$A$2:$B$1000,2,FALSE),"")</f>
        <v/>
      </c>
    </row>
    <row r="831" spans="1:13" x14ac:dyDescent="0.25">
      <c r="A831" s="23" t="str">
        <f>IF(vdata_hours!A830=0,"",vdata_hours!A830)</f>
        <v/>
      </c>
      <c r="B831" s="23" t="str">
        <f>IFERROR(INDEX(vdata_regressors!$A$1:$L$2000,MATCH($A831,vdata_regressors!$A$2:$A$2000,0)+1,MATCH(B$2,vdata_regressors!$A$1:$R$1,0)),"")</f>
        <v/>
      </c>
      <c r="C831" s="23" t="str">
        <f>IFERROR(INDEX(vdata_regressors!$A$1:$L$2000,MATCH($A831,vdata_regressors!$A$2:$A$2000,0)+1,MATCH(C$2,vdata_regressors!$A$1:$R$1,0)),"")</f>
        <v/>
      </c>
      <c r="D831" s="23" t="str">
        <f>IFERROR(INDEX(vdata_regressors!$A$1:$L$2000,MATCH($A831,vdata_regressors!$A$2:$A$2000,0)+1,MATCH(D$2,vdata_regressors!$A$1:$R$1,0)),"")</f>
        <v/>
      </c>
      <c r="E831" s="23" t="str">
        <f>IFERROR(INDEX(vdata_regressors!$A$1:$L$2000,MATCH($A831,vdata_regressors!$A$2:$A$2000,0)+1,MATCH(E$2,vdata_regressors!$A$1:$R$1,0)),"")</f>
        <v/>
      </c>
      <c r="F831" s="23" t="str">
        <f>IFERROR(INDEX(vdata_regressors!$A$1:$L$2000,MATCH($A831,vdata_regressors!$A$2:$A$2000,0)+1,MATCH(F$2,vdata_regressors!$A$1:$R$1,0)),"")</f>
        <v/>
      </c>
      <c r="G831" s="23" t="str">
        <f>IFERROR(INDEX(vdata_regressors!$A$1:$L$2000,MATCH($A831,vdata_regressors!$A$2:$A$2000,0)+1,MATCH(G$2,vdata_regressors!$A$1:$R$1,0)),"")</f>
        <v/>
      </c>
      <c r="H831" s="23" t="str">
        <f>IFERROR(INDEX(vdata_regressors!$A$1:$L$2000,MATCH($A831,vdata_regressors!$A$2:$A$2000,0)+1,MATCH(H$2,vdata_regressors!$A$1:$R$1,0)),"")</f>
        <v/>
      </c>
      <c r="I831" s="23" t="str">
        <f>IFERROR(INDEX(vdata_regressors!$A$1:$L$2000,MATCH($A831,vdata_regressors!$A$2:$A$2000,0)+1,MATCH(I$2,vdata_regressors!$A$1:$R$1,0)),"")</f>
        <v/>
      </c>
      <c r="J831" s="23" t="str">
        <f>IFERROR(INDEX(vdata_regressors!$A$1:$L$2000,MATCH($A831,vdata_regressors!$A$2:$A$2000,0)+1,MATCH(J$2,vdata_regressors!$A$1:$R$1,0)),"")</f>
        <v/>
      </c>
      <c r="K831" s="23" t="str">
        <f>IFERROR(INDEX(vdata_regressors!$A$1:$L$2000,MATCH($A831,vdata_regressors!$A$2:$A$2000,0)+1,MATCH(K$2,vdata_regressors!$A$1:$R$1,0)),"")</f>
        <v/>
      </c>
      <c r="L831" s="23" t="str">
        <f>IFERROR(INDEX(vdata_regressors!$A$1:$L$2000,MATCH($A831,vdata_regressors!$A$2:$A$2000,0)+1,MATCH(L$2,vdata_regressors!$A$1:$R$1,0)),"")</f>
        <v/>
      </c>
      <c r="M831" s="23" t="str">
        <f>IFERROR(VLOOKUP(A831,vdata_hours!$A$2:$B$1000,2,FALSE),"")</f>
        <v/>
      </c>
    </row>
    <row r="832" spans="1:13" x14ac:dyDescent="0.25">
      <c r="A832" s="23" t="str">
        <f>IF(vdata_hours!A831=0,"",vdata_hours!A831)</f>
        <v/>
      </c>
      <c r="B832" s="23" t="str">
        <f>IFERROR(INDEX(vdata_regressors!$A$1:$L$2000,MATCH($A832,vdata_regressors!$A$2:$A$2000,0)+1,MATCH(B$2,vdata_regressors!$A$1:$R$1,0)),"")</f>
        <v/>
      </c>
      <c r="C832" s="23" t="str">
        <f>IFERROR(INDEX(vdata_regressors!$A$1:$L$2000,MATCH($A832,vdata_regressors!$A$2:$A$2000,0)+1,MATCH(C$2,vdata_regressors!$A$1:$R$1,0)),"")</f>
        <v/>
      </c>
      <c r="D832" s="23" t="str">
        <f>IFERROR(INDEX(vdata_regressors!$A$1:$L$2000,MATCH($A832,vdata_regressors!$A$2:$A$2000,0)+1,MATCH(D$2,vdata_regressors!$A$1:$R$1,0)),"")</f>
        <v/>
      </c>
      <c r="E832" s="23" t="str">
        <f>IFERROR(INDEX(vdata_regressors!$A$1:$L$2000,MATCH($A832,vdata_regressors!$A$2:$A$2000,0)+1,MATCH(E$2,vdata_regressors!$A$1:$R$1,0)),"")</f>
        <v/>
      </c>
      <c r="F832" s="23" t="str">
        <f>IFERROR(INDEX(vdata_regressors!$A$1:$L$2000,MATCH($A832,vdata_regressors!$A$2:$A$2000,0)+1,MATCH(F$2,vdata_regressors!$A$1:$R$1,0)),"")</f>
        <v/>
      </c>
      <c r="G832" s="23" t="str">
        <f>IFERROR(INDEX(vdata_regressors!$A$1:$L$2000,MATCH($A832,vdata_regressors!$A$2:$A$2000,0)+1,MATCH(G$2,vdata_regressors!$A$1:$R$1,0)),"")</f>
        <v/>
      </c>
      <c r="H832" s="23" t="str">
        <f>IFERROR(INDEX(vdata_regressors!$A$1:$L$2000,MATCH($A832,vdata_regressors!$A$2:$A$2000,0)+1,MATCH(H$2,vdata_regressors!$A$1:$R$1,0)),"")</f>
        <v/>
      </c>
      <c r="I832" s="23" t="str">
        <f>IFERROR(INDEX(vdata_regressors!$A$1:$L$2000,MATCH($A832,vdata_regressors!$A$2:$A$2000,0)+1,MATCH(I$2,vdata_regressors!$A$1:$R$1,0)),"")</f>
        <v/>
      </c>
      <c r="J832" s="23" t="str">
        <f>IFERROR(INDEX(vdata_regressors!$A$1:$L$2000,MATCH($A832,vdata_regressors!$A$2:$A$2000,0)+1,MATCH(J$2,vdata_regressors!$A$1:$R$1,0)),"")</f>
        <v/>
      </c>
      <c r="K832" s="23" t="str">
        <f>IFERROR(INDEX(vdata_regressors!$A$1:$L$2000,MATCH($A832,vdata_regressors!$A$2:$A$2000,0)+1,MATCH(K$2,vdata_regressors!$A$1:$R$1,0)),"")</f>
        <v/>
      </c>
      <c r="L832" s="23" t="str">
        <f>IFERROR(INDEX(vdata_regressors!$A$1:$L$2000,MATCH($A832,vdata_regressors!$A$2:$A$2000,0)+1,MATCH(L$2,vdata_regressors!$A$1:$R$1,0)),"")</f>
        <v/>
      </c>
      <c r="M832" s="23" t="str">
        <f>IFERROR(VLOOKUP(A832,vdata_hours!$A$2:$B$1000,2,FALSE),"")</f>
        <v/>
      </c>
    </row>
    <row r="833" spans="1:13" x14ac:dyDescent="0.25">
      <c r="A833" s="23" t="str">
        <f>IF(vdata_hours!A832=0,"",vdata_hours!A832)</f>
        <v/>
      </c>
      <c r="B833" s="23" t="str">
        <f>IFERROR(INDEX(vdata_regressors!$A$1:$L$2000,MATCH($A833,vdata_regressors!$A$2:$A$2000,0)+1,MATCH(B$2,vdata_regressors!$A$1:$R$1,0)),"")</f>
        <v/>
      </c>
      <c r="C833" s="23" t="str">
        <f>IFERROR(INDEX(vdata_regressors!$A$1:$L$2000,MATCH($A833,vdata_regressors!$A$2:$A$2000,0)+1,MATCH(C$2,vdata_regressors!$A$1:$R$1,0)),"")</f>
        <v/>
      </c>
      <c r="D833" s="23" t="str">
        <f>IFERROR(INDEX(vdata_regressors!$A$1:$L$2000,MATCH($A833,vdata_regressors!$A$2:$A$2000,0)+1,MATCH(D$2,vdata_regressors!$A$1:$R$1,0)),"")</f>
        <v/>
      </c>
      <c r="E833" s="23" t="str">
        <f>IFERROR(INDEX(vdata_regressors!$A$1:$L$2000,MATCH($A833,vdata_regressors!$A$2:$A$2000,0)+1,MATCH(E$2,vdata_regressors!$A$1:$R$1,0)),"")</f>
        <v/>
      </c>
      <c r="F833" s="23" t="str">
        <f>IFERROR(INDEX(vdata_regressors!$A$1:$L$2000,MATCH($A833,vdata_regressors!$A$2:$A$2000,0)+1,MATCH(F$2,vdata_regressors!$A$1:$R$1,0)),"")</f>
        <v/>
      </c>
      <c r="G833" s="23" t="str">
        <f>IFERROR(INDEX(vdata_regressors!$A$1:$L$2000,MATCH($A833,vdata_regressors!$A$2:$A$2000,0)+1,MATCH(G$2,vdata_regressors!$A$1:$R$1,0)),"")</f>
        <v/>
      </c>
      <c r="H833" s="23" t="str">
        <f>IFERROR(INDEX(vdata_regressors!$A$1:$L$2000,MATCH($A833,vdata_regressors!$A$2:$A$2000,0)+1,MATCH(H$2,vdata_regressors!$A$1:$R$1,0)),"")</f>
        <v/>
      </c>
      <c r="I833" s="23" t="str">
        <f>IFERROR(INDEX(vdata_regressors!$A$1:$L$2000,MATCH($A833,vdata_regressors!$A$2:$A$2000,0)+1,MATCH(I$2,vdata_regressors!$A$1:$R$1,0)),"")</f>
        <v/>
      </c>
      <c r="J833" s="23" t="str">
        <f>IFERROR(INDEX(vdata_regressors!$A$1:$L$2000,MATCH($A833,vdata_regressors!$A$2:$A$2000,0)+1,MATCH(J$2,vdata_regressors!$A$1:$R$1,0)),"")</f>
        <v/>
      </c>
      <c r="K833" s="23" t="str">
        <f>IFERROR(INDEX(vdata_regressors!$A$1:$L$2000,MATCH($A833,vdata_regressors!$A$2:$A$2000,0)+1,MATCH(K$2,vdata_regressors!$A$1:$R$1,0)),"")</f>
        <v/>
      </c>
      <c r="L833" s="23" t="str">
        <f>IFERROR(INDEX(vdata_regressors!$A$1:$L$2000,MATCH($A833,vdata_regressors!$A$2:$A$2000,0)+1,MATCH(L$2,vdata_regressors!$A$1:$R$1,0)),"")</f>
        <v/>
      </c>
      <c r="M833" s="23" t="str">
        <f>IFERROR(VLOOKUP(A833,vdata_hours!$A$2:$B$1000,2,FALSE),"")</f>
        <v/>
      </c>
    </row>
    <row r="834" spans="1:13" x14ac:dyDescent="0.25">
      <c r="A834" s="23" t="str">
        <f>IF(vdata_hours!A833=0,"",vdata_hours!A833)</f>
        <v/>
      </c>
      <c r="B834" s="23" t="str">
        <f>IFERROR(INDEX(vdata_regressors!$A$1:$L$2000,MATCH($A834,vdata_regressors!$A$2:$A$2000,0)+1,MATCH(B$2,vdata_regressors!$A$1:$R$1,0)),"")</f>
        <v/>
      </c>
      <c r="C834" s="23" t="str">
        <f>IFERROR(INDEX(vdata_regressors!$A$1:$L$2000,MATCH($A834,vdata_regressors!$A$2:$A$2000,0)+1,MATCH(C$2,vdata_regressors!$A$1:$R$1,0)),"")</f>
        <v/>
      </c>
      <c r="D834" s="23" t="str">
        <f>IFERROR(INDEX(vdata_regressors!$A$1:$L$2000,MATCH($A834,vdata_regressors!$A$2:$A$2000,0)+1,MATCH(D$2,vdata_regressors!$A$1:$R$1,0)),"")</f>
        <v/>
      </c>
      <c r="E834" s="23" t="str">
        <f>IFERROR(INDEX(vdata_regressors!$A$1:$L$2000,MATCH($A834,vdata_regressors!$A$2:$A$2000,0)+1,MATCH(E$2,vdata_regressors!$A$1:$R$1,0)),"")</f>
        <v/>
      </c>
      <c r="F834" s="23" t="str">
        <f>IFERROR(INDEX(vdata_regressors!$A$1:$L$2000,MATCH($A834,vdata_regressors!$A$2:$A$2000,0)+1,MATCH(F$2,vdata_regressors!$A$1:$R$1,0)),"")</f>
        <v/>
      </c>
      <c r="G834" s="23" t="str">
        <f>IFERROR(INDEX(vdata_regressors!$A$1:$L$2000,MATCH($A834,vdata_regressors!$A$2:$A$2000,0)+1,MATCH(G$2,vdata_regressors!$A$1:$R$1,0)),"")</f>
        <v/>
      </c>
      <c r="H834" s="23" t="str">
        <f>IFERROR(INDEX(vdata_regressors!$A$1:$L$2000,MATCH($A834,vdata_regressors!$A$2:$A$2000,0)+1,MATCH(H$2,vdata_regressors!$A$1:$R$1,0)),"")</f>
        <v/>
      </c>
      <c r="I834" s="23" t="str">
        <f>IFERROR(INDEX(vdata_regressors!$A$1:$L$2000,MATCH($A834,vdata_regressors!$A$2:$A$2000,0)+1,MATCH(I$2,vdata_regressors!$A$1:$R$1,0)),"")</f>
        <v/>
      </c>
      <c r="J834" s="23" t="str">
        <f>IFERROR(INDEX(vdata_regressors!$A$1:$L$2000,MATCH($A834,vdata_regressors!$A$2:$A$2000,0)+1,MATCH(J$2,vdata_regressors!$A$1:$R$1,0)),"")</f>
        <v/>
      </c>
      <c r="K834" s="23" t="str">
        <f>IFERROR(INDEX(vdata_regressors!$A$1:$L$2000,MATCH($A834,vdata_regressors!$A$2:$A$2000,0)+1,MATCH(K$2,vdata_regressors!$A$1:$R$1,0)),"")</f>
        <v/>
      </c>
      <c r="L834" s="23" t="str">
        <f>IFERROR(INDEX(vdata_regressors!$A$1:$L$2000,MATCH($A834,vdata_regressors!$A$2:$A$2000,0)+1,MATCH(L$2,vdata_regressors!$A$1:$R$1,0)),"")</f>
        <v/>
      </c>
      <c r="M834" s="23" t="str">
        <f>IFERROR(VLOOKUP(A834,vdata_hours!$A$2:$B$1000,2,FALSE),"")</f>
        <v/>
      </c>
    </row>
    <row r="835" spans="1:13" x14ac:dyDescent="0.25">
      <c r="A835" s="23" t="str">
        <f>IF(vdata_hours!A834=0,"",vdata_hours!A834)</f>
        <v/>
      </c>
      <c r="B835" s="23" t="str">
        <f>IFERROR(INDEX(vdata_regressors!$A$1:$L$2000,MATCH($A835,vdata_regressors!$A$2:$A$2000,0)+1,MATCH(B$2,vdata_regressors!$A$1:$R$1,0)),"")</f>
        <v/>
      </c>
      <c r="C835" s="23" t="str">
        <f>IFERROR(INDEX(vdata_regressors!$A$1:$L$2000,MATCH($A835,vdata_regressors!$A$2:$A$2000,0)+1,MATCH(C$2,vdata_regressors!$A$1:$R$1,0)),"")</f>
        <v/>
      </c>
      <c r="D835" s="23" t="str">
        <f>IFERROR(INDEX(vdata_regressors!$A$1:$L$2000,MATCH($A835,vdata_regressors!$A$2:$A$2000,0)+1,MATCH(D$2,vdata_regressors!$A$1:$R$1,0)),"")</f>
        <v/>
      </c>
      <c r="E835" s="23" t="str">
        <f>IFERROR(INDEX(vdata_regressors!$A$1:$L$2000,MATCH($A835,vdata_regressors!$A$2:$A$2000,0)+1,MATCH(E$2,vdata_regressors!$A$1:$R$1,0)),"")</f>
        <v/>
      </c>
      <c r="F835" s="23" t="str">
        <f>IFERROR(INDEX(vdata_regressors!$A$1:$L$2000,MATCH($A835,vdata_regressors!$A$2:$A$2000,0)+1,MATCH(F$2,vdata_regressors!$A$1:$R$1,0)),"")</f>
        <v/>
      </c>
      <c r="G835" s="23" t="str">
        <f>IFERROR(INDEX(vdata_regressors!$A$1:$L$2000,MATCH($A835,vdata_regressors!$A$2:$A$2000,0)+1,MATCH(G$2,vdata_regressors!$A$1:$R$1,0)),"")</f>
        <v/>
      </c>
      <c r="H835" s="23" t="str">
        <f>IFERROR(INDEX(vdata_regressors!$A$1:$L$2000,MATCH($A835,vdata_regressors!$A$2:$A$2000,0)+1,MATCH(H$2,vdata_regressors!$A$1:$R$1,0)),"")</f>
        <v/>
      </c>
      <c r="I835" s="23" t="str">
        <f>IFERROR(INDEX(vdata_regressors!$A$1:$L$2000,MATCH($A835,vdata_regressors!$A$2:$A$2000,0)+1,MATCH(I$2,vdata_regressors!$A$1:$R$1,0)),"")</f>
        <v/>
      </c>
      <c r="J835" s="23" t="str">
        <f>IFERROR(INDEX(vdata_regressors!$A$1:$L$2000,MATCH($A835,vdata_regressors!$A$2:$A$2000,0)+1,MATCH(J$2,vdata_regressors!$A$1:$R$1,0)),"")</f>
        <v/>
      </c>
      <c r="K835" s="23" t="str">
        <f>IFERROR(INDEX(vdata_regressors!$A$1:$L$2000,MATCH($A835,vdata_regressors!$A$2:$A$2000,0)+1,MATCH(K$2,vdata_regressors!$A$1:$R$1,0)),"")</f>
        <v/>
      </c>
      <c r="L835" s="23" t="str">
        <f>IFERROR(INDEX(vdata_regressors!$A$1:$L$2000,MATCH($A835,vdata_regressors!$A$2:$A$2000,0)+1,MATCH(L$2,vdata_regressors!$A$1:$R$1,0)),"")</f>
        <v/>
      </c>
      <c r="M835" s="23" t="str">
        <f>IFERROR(VLOOKUP(A835,vdata_hours!$A$2:$B$1000,2,FALSE),"")</f>
        <v/>
      </c>
    </row>
    <row r="836" spans="1:13" x14ac:dyDescent="0.25">
      <c r="A836" s="23" t="str">
        <f>IF(vdata_hours!A835=0,"",vdata_hours!A835)</f>
        <v/>
      </c>
      <c r="B836" s="23" t="str">
        <f>IFERROR(INDEX(vdata_regressors!$A$1:$L$2000,MATCH($A836,vdata_regressors!$A$2:$A$2000,0)+1,MATCH(B$2,vdata_regressors!$A$1:$R$1,0)),"")</f>
        <v/>
      </c>
      <c r="C836" s="23" t="str">
        <f>IFERROR(INDEX(vdata_regressors!$A$1:$L$2000,MATCH($A836,vdata_regressors!$A$2:$A$2000,0)+1,MATCH(C$2,vdata_regressors!$A$1:$R$1,0)),"")</f>
        <v/>
      </c>
      <c r="D836" s="23" t="str">
        <f>IFERROR(INDEX(vdata_regressors!$A$1:$L$2000,MATCH($A836,vdata_regressors!$A$2:$A$2000,0)+1,MATCH(D$2,vdata_regressors!$A$1:$R$1,0)),"")</f>
        <v/>
      </c>
      <c r="E836" s="23" t="str">
        <f>IFERROR(INDEX(vdata_regressors!$A$1:$L$2000,MATCH($A836,vdata_regressors!$A$2:$A$2000,0)+1,MATCH(E$2,vdata_regressors!$A$1:$R$1,0)),"")</f>
        <v/>
      </c>
      <c r="F836" s="23" t="str">
        <f>IFERROR(INDEX(vdata_regressors!$A$1:$L$2000,MATCH($A836,vdata_regressors!$A$2:$A$2000,0)+1,MATCH(F$2,vdata_regressors!$A$1:$R$1,0)),"")</f>
        <v/>
      </c>
      <c r="G836" s="23" t="str">
        <f>IFERROR(INDEX(vdata_regressors!$A$1:$L$2000,MATCH($A836,vdata_regressors!$A$2:$A$2000,0)+1,MATCH(G$2,vdata_regressors!$A$1:$R$1,0)),"")</f>
        <v/>
      </c>
      <c r="H836" s="23" t="str">
        <f>IFERROR(INDEX(vdata_regressors!$A$1:$L$2000,MATCH($A836,vdata_regressors!$A$2:$A$2000,0)+1,MATCH(H$2,vdata_regressors!$A$1:$R$1,0)),"")</f>
        <v/>
      </c>
      <c r="I836" s="23" t="str">
        <f>IFERROR(INDEX(vdata_regressors!$A$1:$L$2000,MATCH($A836,vdata_regressors!$A$2:$A$2000,0)+1,MATCH(I$2,vdata_regressors!$A$1:$R$1,0)),"")</f>
        <v/>
      </c>
      <c r="J836" s="23" t="str">
        <f>IFERROR(INDEX(vdata_regressors!$A$1:$L$2000,MATCH($A836,vdata_regressors!$A$2:$A$2000,0)+1,MATCH(J$2,vdata_regressors!$A$1:$R$1,0)),"")</f>
        <v/>
      </c>
      <c r="K836" s="23" t="str">
        <f>IFERROR(INDEX(vdata_regressors!$A$1:$L$2000,MATCH($A836,vdata_regressors!$A$2:$A$2000,0)+1,MATCH(K$2,vdata_regressors!$A$1:$R$1,0)),"")</f>
        <v/>
      </c>
      <c r="L836" s="23" t="str">
        <f>IFERROR(INDEX(vdata_regressors!$A$1:$L$2000,MATCH($A836,vdata_regressors!$A$2:$A$2000,0)+1,MATCH(L$2,vdata_regressors!$A$1:$R$1,0)),"")</f>
        <v/>
      </c>
      <c r="M836" s="23" t="str">
        <f>IFERROR(VLOOKUP(A836,vdata_hours!$A$2:$B$1000,2,FALSE),"")</f>
        <v/>
      </c>
    </row>
    <row r="837" spans="1:13" x14ac:dyDescent="0.25">
      <c r="A837" s="23" t="str">
        <f>IF(vdata_hours!A836=0,"",vdata_hours!A836)</f>
        <v/>
      </c>
      <c r="B837" s="23" t="str">
        <f>IFERROR(INDEX(vdata_regressors!$A$1:$L$2000,MATCH($A837,vdata_regressors!$A$2:$A$2000,0)+1,MATCH(B$2,vdata_regressors!$A$1:$R$1,0)),"")</f>
        <v/>
      </c>
      <c r="C837" s="23" t="str">
        <f>IFERROR(INDEX(vdata_regressors!$A$1:$L$2000,MATCH($A837,vdata_regressors!$A$2:$A$2000,0)+1,MATCH(C$2,vdata_regressors!$A$1:$R$1,0)),"")</f>
        <v/>
      </c>
      <c r="D837" s="23" t="str">
        <f>IFERROR(INDEX(vdata_regressors!$A$1:$L$2000,MATCH($A837,vdata_regressors!$A$2:$A$2000,0)+1,MATCH(D$2,vdata_regressors!$A$1:$R$1,0)),"")</f>
        <v/>
      </c>
      <c r="E837" s="23" t="str">
        <f>IFERROR(INDEX(vdata_regressors!$A$1:$L$2000,MATCH($A837,vdata_regressors!$A$2:$A$2000,0)+1,MATCH(E$2,vdata_regressors!$A$1:$R$1,0)),"")</f>
        <v/>
      </c>
      <c r="F837" s="23" t="str">
        <f>IFERROR(INDEX(vdata_regressors!$A$1:$L$2000,MATCH($A837,vdata_regressors!$A$2:$A$2000,0)+1,MATCH(F$2,vdata_regressors!$A$1:$R$1,0)),"")</f>
        <v/>
      </c>
      <c r="G837" s="23" t="str">
        <f>IFERROR(INDEX(vdata_regressors!$A$1:$L$2000,MATCH($A837,vdata_regressors!$A$2:$A$2000,0)+1,MATCH(G$2,vdata_regressors!$A$1:$R$1,0)),"")</f>
        <v/>
      </c>
      <c r="H837" s="23" t="str">
        <f>IFERROR(INDEX(vdata_regressors!$A$1:$L$2000,MATCH($A837,vdata_regressors!$A$2:$A$2000,0)+1,MATCH(H$2,vdata_regressors!$A$1:$R$1,0)),"")</f>
        <v/>
      </c>
      <c r="I837" s="23" t="str">
        <f>IFERROR(INDEX(vdata_regressors!$A$1:$L$2000,MATCH($A837,vdata_regressors!$A$2:$A$2000,0)+1,MATCH(I$2,vdata_regressors!$A$1:$R$1,0)),"")</f>
        <v/>
      </c>
      <c r="J837" s="23" t="str">
        <f>IFERROR(INDEX(vdata_regressors!$A$1:$L$2000,MATCH($A837,vdata_regressors!$A$2:$A$2000,0)+1,MATCH(J$2,vdata_regressors!$A$1:$R$1,0)),"")</f>
        <v/>
      </c>
      <c r="K837" s="23" t="str">
        <f>IFERROR(INDEX(vdata_regressors!$A$1:$L$2000,MATCH($A837,vdata_regressors!$A$2:$A$2000,0)+1,MATCH(K$2,vdata_regressors!$A$1:$R$1,0)),"")</f>
        <v/>
      </c>
      <c r="L837" s="23" t="str">
        <f>IFERROR(INDEX(vdata_regressors!$A$1:$L$2000,MATCH($A837,vdata_regressors!$A$2:$A$2000,0)+1,MATCH(L$2,vdata_regressors!$A$1:$R$1,0)),"")</f>
        <v/>
      </c>
      <c r="M837" s="23" t="str">
        <f>IFERROR(VLOOKUP(A837,vdata_hours!$A$2:$B$1000,2,FALSE),"")</f>
        <v/>
      </c>
    </row>
    <row r="838" spans="1:13" x14ac:dyDescent="0.25">
      <c r="A838" s="23" t="str">
        <f>IF(vdata_hours!A837=0,"",vdata_hours!A837)</f>
        <v/>
      </c>
      <c r="B838" s="23" t="str">
        <f>IFERROR(INDEX(vdata_regressors!$A$1:$L$2000,MATCH($A838,vdata_regressors!$A$2:$A$2000,0)+1,MATCH(B$2,vdata_regressors!$A$1:$R$1,0)),"")</f>
        <v/>
      </c>
      <c r="C838" s="23" t="str">
        <f>IFERROR(INDEX(vdata_regressors!$A$1:$L$2000,MATCH($A838,vdata_regressors!$A$2:$A$2000,0)+1,MATCH(C$2,vdata_regressors!$A$1:$R$1,0)),"")</f>
        <v/>
      </c>
      <c r="D838" s="23" t="str">
        <f>IFERROR(INDEX(vdata_regressors!$A$1:$L$2000,MATCH($A838,vdata_regressors!$A$2:$A$2000,0)+1,MATCH(D$2,vdata_regressors!$A$1:$R$1,0)),"")</f>
        <v/>
      </c>
      <c r="E838" s="23" t="str">
        <f>IFERROR(INDEX(vdata_regressors!$A$1:$L$2000,MATCH($A838,vdata_regressors!$A$2:$A$2000,0)+1,MATCH(E$2,vdata_regressors!$A$1:$R$1,0)),"")</f>
        <v/>
      </c>
      <c r="F838" s="23" t="str">
        <f>IFERROR(INDEX(vdata_regressors!$A$1:$L$2000,MATCH($A838,vdata_regressors!$A$2:$A$2000,0)+1,MATCH(F$2,vdata_regressors!$A$1:$R$1,0)),"")</f>
        <v/>
      </c>
      <c r="G838" s="23" t="str">
        <f>IFERROR(INDEX(vdata_regressors!$A$1:$L$2000,MATCH($A838,vdata_regressors!$A$2:$A$2000,0)+1,MATCH(G$2,vdata_regressors!$A$1:$R$1,0)),"")</f>
        <v/>
      </c>
      <c r="H838" s="23" t="str">
        <f>IFERROR(INDEX(vdata_regressors!$A$1:$L$2000,MATCH($A838,vdata_regressors!$A$2:$A$2000,0)+1,MATCH(H$2,vdata_regressors!$A$1:$R$1,0)),"")</f>
        <v/>
      </c>
      <c r="I838" s="23" t="str">
        <f>IFERROR(INDEX(vdata_regressors!$A$1:$L$2000,MATCH($A838,vdata_regressors!$A$2:$A$2000,0)+1,MATCH(I$2,vdata_regressors!$A$1:$R$1,0)),"")</f>
        <v/>
      </c>
      <c r="J838" s="23" t="str">
        <f>IFERROR(INDEX(vdata_regressors!$A$1:$L$2000,MATCH($A838,vdata_regressors!$A$2:$A$2000,0)+1,MATCH(J$2,vdata_regressors!$A$1:$R$1,0)),"")</f>
        <v/>
      </c>
      <c r="K838" s="23" t="str">
        <f>IFERROR(INDEX(vdata_regressors!$A$1:$L$2000,MATCH($A838,vdata_regressors!$A$2:$A$2000,0)+1,MATCH(K$2,vdata_regressors!$A$1:$R$1,0)),"")</f>
        <v/>
      </c>
      <c r="L838" s="23" t="str">
        <f>IFERROR(INDEX(vdata_regressors!$A$1:$L$2000,MATCH($A838,vdata_regressors!$A$2:$A$2000,0)+1,MATCH(L$2,vdata_regressors!$A$1:$R$1,0)),"")</f>
        <v/>
      </c>
      <c r="M838" s="23" t="str">
        <f>IFERROR(VLOOKUP(A838,vdata_hours!$A$2:$B$1000,2,FALSE),"")</f>
        <v/>
      </c>
    </row>
    <row r="839" spans="1:13" x14ac:dyDescent="0.25">
      <c r="A839" s="23" t="str">
        <f>IF(vdata_hours!A838=0,"",vdata_hours!A838)</f>
        <v/>
      </c>
      <c r="B839" s="23" t="str">
        <f>IFERROR(INDEX(vdata_regressors!$A$1:$L$2000,MATCH($A839,vdata_regressors!$A$2:$A$2000,0)+1,MATCH(B$2,vdata_regressors!$A$1:$R$1,0)),"")</f>
        <v/>
      </c>
      <c r="C839" s="23" t="str">
        <f>IFERROR(INDEX(vdata_regressors!$A$1:$L$2000,MATCH($A839,vdata_regressors!$A$2:$A$2000,0)+1,MATCH(C$2,vdata_regressors!$A$1:$R$1,0)),"")</f>
        <v/>
      </c>
      <c r="D839" s="23" t="str">
        <f>IFERROR(INDEX(vdata_regressors!$A$1:$L$2000,MATCH($A839,vdata_regressors!$A$2:$A$2000,0)+1,MATCH(D$2,vdata_regressors!$A$1:$R$1,0)),"")</f>
        <v/>
      </c>
      <c r="E839" s="23" t="str">
        <f>IFERROR(INDEX(vdata_regressors!$A$1:$L$2000,MATCH($A839,vdata_regressors!$A$2:$A$2000,0)+1,MATCH(E$2,vdata_regressors!$A$1:$R$1,0)),"")</f>
        <v/>
      </c>
      <c r="F839" s="23" t="str">
        <f>IFERROR(INDEX(vdata_regressors!$A$1:$L$2000,MATCH($A839,vdata_regressors!$A$2:$A$2000,0)+1,MATCH(F$2,vdata_regressors!$A$1:$R$1,0)),"")</f>
        <v/>
      </c>
      <c r="G839" s="23" t="str">
        <f>IFERROR(INDEX(vdata_regressors!$A$1:$L$2000,MATCH($A839,vdata_regressors!$A$2:$A$2000,0)+1,MATCH(G$2,vdata_regressors!$A$1:$R$1,0)),"")</f>
        <v/>
      </c>
      <c r="H839" s="23" t="str">
        <f>IFERROR(INDEX(vdata_regressors!$A$1:$L$2000,MATCH($A839,vdata_regressors!$A$2:$A$2000,0)+1,MATCH(H$2,vdata_regressors!$A$1:$R$1,0)),"")</f>
        <v/>
      </c>
      <c r="I839" s="23" t="str">
        <f>IFERROR(INDEX(vdata_regressors!$A$1:$L$2000,MATCH($A839,vdata_regressors!$A$2:$A$2000,0)+1,MATCH(I$2,vdata_regressors!$A$1:$R$1,0)),"")</f>
        <v/>
      </c>
      <c r="J839" s="23" t="str">
        <f>IFERROR(INDEX(vdata_regressors!$A$1:$L$2000,MATCH($A839,vdata_regressors!$A$2:$A$2000,0)+1,MATCH(J$2,vdata_regressors!$A$1:$R$1,0)),"")</f>
        <v/>
      </c>
      <c r="K839" s="23" t="str">
        <f>IFERROR(INDEX(vdata_regressors!$A$1:$L$2000,MATCH($A839,vdata_regressors!$A$2:$A$2000,0)+1,MATCH(K$2,vdata_regressors!$A$1:$R$1,0)),"")</f>
        <v/>
      </c>
      <c r="L839" s="23" t="str">
        <f>IFERROR(INDEX(vdata_regressors!$A$1:$L$2000,MATCH($A839,vdata_regressors!$A$2:$A$2000,0)+1,MATCH(L$2,vdata_regressors!$A$1:$R$1,0)),"")</f>
        <v/>
      </c>
      <c r="M839" s="23" t="str">
        <f>IFERROR(VLOOKUP(A839,vdata_hours!$A$2:$B$1000,2,FALSE),"")</f>
        <v/>
      </c>
    </row>
    <row r="840" spans="1:13" x14ac:dyDescent="0.25">
      <c r="A840" s="23" t="str">
        <f>IF(vdata_hours!A839=0,"",vdata_hours!A839)</f>
        <v/>
      </c>
      <c r="B840" s="23" t="str">
        <f>IFERROR(INDEX(vdata_regressors!$A$1:$L$2000,MATCH($A840,vdata_regressors!$A$2:$A$2000,0)+1,MATCH(B$2,vdata_regressors!$A$1:$R$1,0)),"")</f>
        <v/>
      </c>
      <c r="C840" s="23" t="str">
        <f>IFERROR(INDEX(vdata_regressors!$A$1:$L$2000,MATCH($A840,vdata_regressors!$A$2:$A$2000,0)+1,MATCH(C$2,vdata_regressors!$A$1:$R$1,0)),"")</f>
        <v/>
      </c>
      <c r="D840" s="23" t="str">
        <f>IFERROR(INDEX(vdata_regressors!$A$1:$L$2000,MATCH($A840,vdata_regressors!$A$2:$A$2000,0)+1,MATCH(D$2,vdata_regressors!$A$1:$R$1,0)),"")</f>
        <v/>
      </c>
      <c r="E840" s="23" t="str">
        <f>IFERROR(INDEX(vdata_regressors!$A$1:$L$2000,MATCH($A840,vdata_regressors!$A$2:$A$2000,0)+1,MATCH(E$2,vdata_regressors!$A$1:$R$1,0)),"")</f>
        <v/>
      </c>
      <c r="F840" s="23" t="str">
        <f>IFERROR(INDEX(vdata_regressors!$A$1:$L$2000,MATCH($A840,vdata_regressors!$A$2:$A$2000,0)+1,MATCH(F$2,vdata_regressors!$A$1:$R$1,0)),"")</f>
        <v/>
      </c>
      <c r="G840" s="23" t="str">
        <f>IFERROR(INDEX(vdata_regressors!$A$1:$L$2000,MATCH($A840,vdata_regressors!$A$2:$A$2000,0)+1,MATCH(G$2,vdata_regressors!$A$1:$R$1,0)),"")</f>
        <v/>
      </c>
      <c r="H840" s="23" t="str">
        <f>IFERROR(INDEX(vdata_regressors!$A$1:$L$2000,MATCH($A840,vdata_regressors!$A$2:$A$2000,0)+1,MATCH(H$2,vdata_regressors!$A$1:$R$1,0)),"")</f>
        <v/>
      </c>
      <c r="I840" s="23" t="str">
        <f>IFERROR(INDEX(vdata_regressors!$A$1:$L$2000,MATCH($A840,vdata_regressors!$A$2:$A$2000,0)+1,MATCH(I$2,vdata_regressors!$A$1:$R$1,0)),"")</f>
        <v/>
      </c>
      <c r="J840" s="23" t="str">
        <f>IFERROR(INDEX(vdata_regressors!$A$1:$L$2000,MATCH($A840,vdata_regressors!$A$2:$A$2000,0)+1,MATCH(J$2,vdata_regressors!$A$1:$R$1,0)),"")</f>
        <v/>
      </c>
      <c r="K840" s="23" t="str">
        <f>IFERROR(INDEX(vdata_regressors!$A$1:$L$2000,MATCH($A840,vdata_regressors!$A$2:$A$2000,0)+1,MATCH(K$2,vdata_regressors!$A$1:$R$1,0)),"")</f>
        <v/>
      </c>
      <c r="L840" s="23" t="str">
        <f>IFERROR(INDEX(vdata_regressors!$A$1:$L$2000,MATCH($A840,vdata_regressors!$A$2:$A$2000,0)+1,MATCH(L$2,vdata_regressors!$A$1:$R$1,0)),"")</f>
        <v/>
      </c>
      <c r="M840" s="23" t="str">
        <f>IFERROR(VLOOKUP(A840,vdata_hours!$A$2:$B$1000,2,FALSE),"")</f>
        <v/>
      </c>
    </row>
    <row r="841" spans="1:13" x14ac:dyDescent="0.25">
      <c r="A841" s="23" t="str">
        <f>IF(vdata_hours!A840=0,"",vdata_hours!A840)</f>
        <v/>
      </c>
      <c r="B841" s="23" t="str">
        <f>IFERROR(INDEX(vdata_regressors!$A$1:$L$2000,MATCH($A841,vdata_regressors!$A$2:$A$2000,0)+1,MATCH(B$2,vdata_regressors!$A$1:$R$1,0)),"")</f>
        <v/>
      </c>
      <c r="C841" s="23" t="str">
        <f>IFERROR(INDEX(vdata_regressors!$A$1:$L$2000,MATCH($A841,vdata_regressors!$A$2:$A$2000,0)+1,MATCH(C$2,vdata_regressors!$A$1:$R$1,0)),"")</f>
        <v/>
      </c>
      <c r="D841" s="23" t="str">
        <f>IFERROR(INDEX(vdata_regressors!$A$1:$L$2000,MATCH($A841,vdata_regressors!$A$2:$A$2000,0)+1,MATCH(D$2,vdata_regressors!$A$1:$R$1,0)),"")</f>
        <v/>
      </c>
      <c r="E841" s="23" t="str">
        <f>IFERROR(INDEX(vdata_regressors!$A$1:$L$2000,MATCH($A841,vdata_regressors!$A$2:$A$2000,0)+1,MATCH(E$2,vdata_regressors!$A$1:$R$1,0)),"")</f>
        <v/>
      </c>
      <c r="F841" s="23" t="str">
        <f>IFERROR(INDEX(vdata_regressors!$A$1:$L$2000,MATCH($A841,vdata_regressors!$A$2:$A$2000,0)+1,MATCH(F$2,vdata_regressors!$A$1:$R$1,0)),"")</f>
        <v/>
      </c>
      <c r="G841" s="23" t="str">
        <f>IFERROR(INDEX(vdata_regressors!$A$1:$L$2000,MATCH($A841,vdata_regressors!$A$2:$A$2000,0)+1,MATCH(G$2,vdata_regressors!$A$1:$R$1,0)),"")</f>
        <v/>
      </c>
      <c r="H841" s="23" t="str">
        <f>IFERROR(INDEX(vdata_regressors!$A$1:$L$2000,MATCH($A841,vdata_regressors!$A$2:$A$2000,0)+1,MATCH(H$2,vdata_regressors!$A$1:$R$1,0)),"")</f>
        <v/>
      </c>
      <c r="I841" s="23" t="str">
        <f>IFERROR(INDEX(vdata_regressors!$A$1:$L$2000,MATCH($A841,vdata_regressors!$A$2:$A$2000,0)+1,MATCH(I$2,vdata_regressors!$A$1:$R$1,0)),"")</f>
        <v/>
      </c>
      <c r="J841" s="23" t="str">
        <f>IFERROR(INDEX(vdata_regressors!$A$1:$L$2000,MATCH($A841,vdata_regressors!$A$2:$A$2000,0)+1,MATCH(J$2,vdata_regressors!$A$1:$R$1,0)),"")</f>
        <v/>
      </c>
      <c r="K841" s="23" t="str">
        <f>IFERROR(INDEX(vdata_regressors!$A$1:$L$2000,MATCH($A841,vdata_regressors!$A$2:$A$2000,0)+1,MATCH(K$2,vdata_regressors!$A$1:$R$1,0)),"")</f>
        <v/>
      </c>
      <c r="L841" s="23" t="str">
        <f>IFERROR(INDEX(vdata_regressors!$A$1:$L$2000,MATCH($A841,vdata_regressors!$A$2:$A$2000,0)+1,MATCH(L$2,vdata_regressors!$A$1:$R$1,0)),"")</f>
        <v/>
      </c>
      <c r="M841" s="23" t="str">
        <f>IFERROR(VLOOKUP(A841,vdata_hours!$A$2:$B$1000,2,FALSE),"")</f>
        <v/>
      </c>
    </row>
    <row r="842" spans="1:13" x14ac:dyDescent="0.25">
      <c r="A842" s="23" t="str">
        <f>IF(vdata_hours!A841=0,"",vdata_hours!A841)</f>
        <v/>
      </c>
      <c r="B842" s="23" t="str">
        <f>IFERROR(INDEX(vdata_regressors!$A$1:$L$2000,MATCH($A842,vdata_regressors!$A$2:$A$2000,0)+1,MATCH(B$2,vdata_regressors!$A$1:$R$1,0)),"")</f>
        <v/>
      </c>
      <c r="C842" s="23" t="str">
        <f>IFERROR(INDEX(vdata_regressors!$A$1:$L$2000,MATCH($A842,vdata_regressors!$A$2:$A$2000,0)+1,MATCH(C$2,vdata_regressors!$A$1:$R$1,0)),"")</f>
        <v/>
      </c>
      <c r="D842" s="23" t="str">
        <f>IFERROR(INDEX(vdata_regressors!$A$1:$L$2000,MATCH($A842,vdata_regressors!$A$2:$A$2000,0)+1,MATCH(D$2,vdata_regressors!$A$1:$R$1,0)),"")</f>
        <v/>
      </c>
      <c r="E842" s="23" t="str">
        <f>IFERROR(INDEX(vdata_regressors!$A$1:$L$2000,MATCH($A842,vdata_regressors!$A$2:$A$2000,0)+1,MATCH(E$2,vdata_regressors!$A$1:$R$1,0)),"")</f>
        <v/>
      </c>
      <c r="F842" s="23" t="str">
        <f>IFERROR(INDEX(vdata_regressors!$A$1:$L$2000,MATCH($A842,vdata_regressors!$A$2:$A$2000,0)+1,MATCH(F$2,vdata_regressors!$A$1:$R$1,0)),"")</f>
        <v/>
      </c>
      <c r="G842" s="23" t="str">
        <f>IFERROR(INDEX(vdata_regressors!$A$1:$L$2000,MATCH($A842,vdata_regressors!$A$2:$A$2000,0)+1,MATCH(G$2,vdata_regressors!$A$1:$R$1,0)),"")</f>
        <v/>
      </c>
      <c r="H842" s="23" t="str">
        <f>IFERROR(INDEX(vdata_regressors!$A$1:$L$2000,MATCH($A842,vdata_regressors!$A$2:$A$2000,0)+1,MATCH(H$2,vdata_regressors!$A$1:$R$1,0)),"")</f>
        <v/>
      </c>
      <c r="I842" s="23" t="str">
        <f>IFERROR(INDEX(vdata_regressors!$A$1:$L$2000,MATCH($A842,vdata_regressors!$A$2:$A$2000,0)+1,MATCH(I$2,vdata_regressors!$A$1:$R$1,0)),"")</f>
        <v/>
      </c>
      <c r="J842" s="23" t="str">
        <f>IFERROR(INDEX(vdata_regressors!$A$1:$L$2000,MATCH($A842,vdata_regressors!$A$2:$A$2000,0)+1,MATCH(J$2,vdata_regressors!$A$1:$R$1,0)),"")</f>
        <v/>
      </c>
      <c r="K842" s="23" t="str">
        <f>IFERROR(INDEX(vdata_regressors!$A$1:$L$2000,MATCH($A842,vdata_regressors!$A$2:$A$2000,0)+1,MATCH(K$2,vdata_regressors!$A$1:$R$1,0)),"")</f>
        <v/>
      </c>
      <c r="L842" s="23" t="str">
        <f>IFERROR(INDEX(vdata_regressors!$A$1:$L$2000,MATCH($A842,vdata_regressors!$A$2:$A$2000,0)+1,MATCH(L$2,vdata_regressors!$A$1:$R$1,0)),"")</f>
        <v/>
      </c>
      <c r="M842" s="23" t="str">
        <f>IFERROR(VLOOKUP(A842,vdata_hours!$A$2:$B$1000,2,FALSE),"")</f>
        <v/>
      </c>
    </row>
    <row r="843" spans="1:13" x14ac:dyDescent="0.25">
      <c r="A843" s="23" t="str">
        <f>IF(vdata_hours!A842=0,"",vdata_hours!A842)</f>
        <v/>
      </c>
      <c r="B843" s="23" t="str">
        <f>IFERROR(INDEX(vdata_regressors!$A$1:$L$2000,MATCH($A843,vdata_regressors!$A$2:$A$2000,0)+1,MATCH(B$2,vdata_regressors!$A$1:$R$1,0)),"")</f>
        <v/>
      </c>
      <c r="C843" s="23" t="str">
        <f>IFERROR(INDEX(vdata_regressors!$A$1:$L$2000,MATCH($A843,vdata_regressors!$A$2:$A$2000,0)+1,MATCH(C$2,vdata_regressors!$A$1:$R$1,0)),"")</f>
        <v/>
      </c>
      <c r="D843" s="23" t="str">
        <f>IFERROR(INDEX(vdata_regressors!$A$1:$L$2000,MATCH($A843,vdata_regressors!$A$2:$A$2000,0)+1,MATCH(D$2,vdata_regressors!$A$1:$R$1,0)),"")</f>
        <v/>
      </c>
      <c r="E843" s="23" t="str">
        <f>IFERROR(INDEX(vdata_regressors!$A$1:$L$2000,MATCH($A843,vdata_regressors!$A$2:$A$2000,0)+1,MATCH(E$2,vdata_regressors!$A$1:$R$1,0)),"")</f>
        <v/>
      </c>
      <c r="F843" s="23" t="str">
        <f>IFERROR(INDEX(vdata_regressors!$A$1:$L$2000,MATCH($A843,vdata_regressors!$A$2:$A$2000,0)+1,MATCH(F$2,vdata_regressors!$A$1:$R$1,0)),"")</f>
        <v/>
      </c>
      <c r="G843" s="23" t="str">
        <f>IFERROR(INDEX(vdata_regressors!$A$1:$L$2000,MATCH($A843,vdata_regressors!$A$2:$A$2000,0)+1,MATCH(G$2,vdata_regressors!$A$1:$R$1,0)),"")</f>
        <v/>
      </c>
      <c r="H843" s="23" t="str">
        <f>IFERROR(INDEX(vdata_regressors!$A$1:$L$2000,MATCH($A843,vdata_regressors!$A$2:$A$2000,0)+1,MATCH(H$2,vdata_regressors!$A$1:$R$1,0)),"")</f>
        <v/>
      </c>
      <c r="I843" s="23" t="str">
        <f>IFERROR(INDEX(vdata_regressors!$A$1:$L$2000,MATCH($A843,vdata_regressors!$A$2:$A$2000,0)+1,MATCH(I$2,vdata_regressors!$A$1:$R$1,0)),"")</f>
        <v/>
      </c>
      <c r="J843" s="23" t="str">
        <f>IFERROR(INDEX(vdata_regressors!$A$1:$L$2000,MATCH($A843,vdata_regressors!$A$2:$A$2000,0)+1,MATCH(J$2,vdata_regressors!$A$1:$R$1,0)),"")</f>
        <v/>
      </c>
      <c r="K843" s="23" t="str">
        <f>IFERROR(INDEX(vdata_regressors!$A$1:$L$2000,MATCH($A843,vdata_regressors!$A$2:$A$2000,0)+1,MATCH(K$2,vdata_regressors!$A$1:$R$1,0)),"")</f>
        <v/>
      </c>
      <c r="L843" s="23" t="str">
        <f>IFERROR(INDEX(vdata_regressors!$A$1:$L$2000,MATCH($A843,vdata_regressors!$A$2:$A$2000,0)+1,MATCH(L$2,vdata_regressors!$A$1:$R$1,0)),"")</f>
        <v/>
      </c>
      <c r="M843" s="23" t="str">
        <f>IFERROR(VLOOKUP(A843,vdata_hours!$A$2:$B$1000,2,FALSE),"")</f>
        <v/>
      </c>
    </row>
    <row r="844" spans="1:13" x14ac:dyDescent="0.25">
      <c r="A844" s="23" t="str">
        <f>IF(vdata_hours!A843=0,"",vdata_hours!A843)</f>
        <v/>
      </c>
      <c r="B844" s="23" t="str">
        <f>IFERROR(INDEX(vdata_regressors!$A$1:$L$2000,MATCH($A844,vdata_regressors!$A$2:$A$2000,0)+1,MATCH(B$2,vdata_regressors!$A$1:$R$1,0)),"")</f>
        <v/>
      </c>
      <c r="C844" s="23" t="str">
        <f>IFERROR(INDEX(vdata_regressors!$A$1:$L$2000,MATCH($A844,vdata_regressors!$A$2:$A$2000,0)+1,MATCH(C$2,vdata_regressors!$A$1:$R$1,0)),"")</f>
        <v/>
      </c>
      <c r="D844" s="23" t="str">
        <f>IFERROR(INDEX(vdata_regressors!$A$1:$L$2000,MATCH($A844,vdata_regressors!$A$2:$A$2000,0)+1,MATCH(D$2,vdata_regressors!$A$1:$R$1,0)),"")</f>
        <v/>
      </c>
      <c r="E844" s="23" t="str">
        <f>IFERROR(INDEX(vdata_regressors!$A$1:$L$2000,MATCH($A844,vdata_regressors!$A$2:$A$2000,0)+1,MATCH(E$2,vdata_regressors!$A$1:$R$1,0)),"")</f>
        <v/>
      </c>
      <c r="F844" s="23" t="str">
        <f>IFERROR(INDEX(vdata_regressors!$A$1:$L$2000,MATCH($A844,vdata_regressors!$A$2:$A$2000,0)+1,MATCH(F$2,vdata_regressors!$A$1:$R$1,0)),"")</f>
        <v/>
      </c>
      <c r="G844" s="23" t="str">
        <f>IFERROR(INDEX(vdata_regressors!$A$1:$L$2000,MATCH($A844,vdata_regressors!$A$2:$A$2000,0)+1,MATCH(G$2,vdata_regressors!$A$1:$R$1,0)),"")</f>
        <v/>
      </c>
      <c r="H844" s="23" t="str">
        <f>IFERROR(INDEX(vdata_regressors!$A$1:$L$2000,MATCH($A844,vdata_regressors!$A$2:$A$2000,0)+1,MATCH(H$2,vdata_regressors!$A$1:$R$1,0)),"")</f>
        <v/>
      </c>
      <c r="I844" s="23" t="str">
        <f>IFERROR(INDEX(vdata_regressors!$A$1:$L$2000,MATCH($A844,vdata_regressors!$A$2:$A$2000,0)+1,MATCH(I$2,vdata_regressors!$A$1:$R$1,0)),"")</f>
        <v/>
      </c>
      <c r="J844" s="23" t="str">
        <f>IFERROR(INDEX(vdata_regressors!$A$1:$L$2000,MATCH($A844,vdata_regressors!$A$2:$A$2000,0)+1,MATCH(J$2,vdata_regressors!$A$1:$R$1,0)),"")</f>
        <v/>
      </c>
      <c r="K844" s="23" t="str">
        <f>IFERROR(INDEX(vdata_regressors!$A$1:$L$2000,MATCH($A844,vdata_regressors!$A$2:$A$2000,0)+1,MATCH(K$2,vdata_regressors!$A$1:$R$1,0)),"")</f>
        <v/>
      </c>
      <c r="L844" s="23" t="str">
        <f>IFERROR(INDEX(vdata_regressors!$A$1:$L$2000,MATCH($A844,vdata_regressors!$A$2:$A$2000,0)+1,MATCH(L$2,vdata_regressors!$A$1:$R$1,0)),"")</f>
        <v/>
      </c>
      <c r="M844" s="23" t="str">
        <f>IFERROR(VLOOKUP(A844,vdata_hours!$A$2:$B$1000,2,FALSE),"")</f>
        <v/>
      </c>
    </row>
    <row r="845" spans="1:13" x14ac:dyDescent="0.25">
      <c r="A845" s="23" t="str">
        <f>IF(vdata_hours!A844=0,"",vdata_hours!A844)</f>
        <v/>
      </c>
      <c r="B845" s="23" t="str">
        <f>IFERROR(INDEX(vdata_regressors!$A$1:$L$2000,MATCH($A845,vdata_regressors!$A$2:$A$2000,0)+1,MATCH(B$2,vdata_regressors!$A$1:$R$1,0)),"")</f>
        <v/>
      </c>
      <c r="C845" s="23" t="str">
        <f>IFERROR(INDEX(vdata_regressors!$A$1:$L$2000,MATCH($A845,vdata_regressors!$A$2:$A$2000,0)+1,MATCH(C$2,vdata_regressors!$A$1:$R$1,0)),"")</f>
        <v/>
      </c>
      <c r="D845" s="23" t="str">
        <f>IFERROR(INDEX(vdata_regressors!$A$1:$L$2000,MATCH($A845,vdata_regressors!$A$2:$A$2000,0)+1,MATCH(D$2,vdata_regressors!$A$1:$R$1,0)),"")</f>
        <v/>
      </c>
      <c r="E845" s="23" t="str">
        <f>IFERROR(INDEX(vdata_regressors!$A$1:$L$2000,MATCH($A845,vdata_regressors!$A$2:$A$2000,0)+1,MATCH(E$2,vdata_regressors!$A$1:$R$1,0)),"")</f>
        <v/>
      </c>
      <c r="F845" s="23" t="str">
        <f>IFERROR(INDEX(vdata_regressors!$A$1:$L$2000,MATCH($A845,vdata_regressors!$A$2:$A$2000,0)+1,MATCH(F$2,vdata_regressors!$A$1:$R$1,0)),"")</f>
        <v/>
      </c>
      <c r="G845" s="23" t="str">
        <f>IFERROR(INDEX(vdata_regressors!$A$1:$L$2000,MATCH($A845,vdata_regressors!$A$2:$A$2000,0)+1,MATCH(G$2,vdata_regressors!$A$1:$R$1,0)),"")</f>
        <v/>
      </c>
      <c r="H845" s="23" t="str">
        <f>IFERROR(INDEX(vdata_regressors!$A$1:$L$2000,MATCH($A845,vdata_regressors!$A$2:$A$2000,0)+1,MATCH(H$2,vdata_regressors!$A$1:$R$1,0)),"")</f>
        <v/>
      </c>
      <c r="I845" s="23" t="str">
        <f>IFERROR(INDEX(vdata_regressors!$A$1:$L$2000,MATCH($A845,vdata_regressors!$A$2:$A$2000,0)+1,MATCH(I$2,vdata_regressors!$A$1:$R$1,0)),"")</f>
        <v/>
      </c>
      <c r="J845" s="23" t="str">
        <f>IFERROR(INDEX(vdata_regressors!$A$1:$L$2000,MATCH($A845,vdata_regressors!$A$2:$A$2000,0)+1,MATCH(J$2,vdata_regressors!$A$1:$R$1,0)),"")</f>
        <v/>
      </c>
      <c r="K845" s="23" t="str">
        <f>IFERROR(INDEX(vdata_regressors!$A$1:$L$2000,MATCH($A845,vdata_regressors!$A$2:$A$2000,0)+1,MATCH(K$2,vdata_regressors!$A$1:$R$1,0)),"")</f>
        <v/>
      </c>
      <c r="L845" s="23" t="str">
        <f>IFERROR(INDEX(vdata_regressors!$A$1:$L$2000,MATCH($A845,vdata_regressors!$A$2:$A$2000,0)+1,MATCH(L$2,vdata_regressors!$A$1:$R$1,0)),"")</f>
        <v/>
      </c>
      <c r="M845" s="23" t="str">
        <f>IFERROR(VLOOKUP(A845,vdata_hours!$A$2:$B$1000,2,FALSE),"")</f>
        <v/>
      </c>
    </row>
    <row r="846" spans="1:13" x14ac:dyDescent="0.25">
      <c r="A846" s="23" t="str">
        <f>IF(vdata_hours!A845=0,"",vdata_hours!A845)</f>
        <v/>
      </c>
      <c r="B846" s="23" t="str">
        <f>IFERROR(INDEX(vdata_regressors!$A$1:$L$2000,MATCH($A846,vdata_regressors!$A$2:$A$2000,0)+1,MATCH(B$2,vdata_regressors!$A$1:$R$1,0)),"")</f>
        <v/>
      </c>
      <c r="C846" s="23" t="str">
        <f>IFERROR(INDEX(vdata_regressors!$A$1:$L$2000,MATCH($A846,vdata_regressors!$A$2:$A$2000,0)+1,MATCH(C$2,vdata_regressors!$A$1:$R$1,0)),"")</f>
        <v/>
      </c>
      <c r="D846" s="23" t="str">
        <f>IFERROR(INDEX(vdata_regressors!$A$1:$L$2000,MATCH($A846,vdata_regressors!$A$2:$A$2000,0)+1,MATCH(D$2,vdata_regressors!$A$1:$R$1,0)),"")</f>
        <v/>
      </c>
      <c r="E846" s="23" t="str">
        <f>IFERROR(INDEX(vdata_regressors!$A$1:$L$2000,MATCH($A846,vdata_regressors!$A$2:$A$2000,0)+1,MATCH(E$2,vdata_regressors!$A$1:$R$1,0)),"")</f>
        <v/>
      </c>
      <c r="F846" s="23" t="str">
        <f>IFERROR(INDEX(vdata_regressors!$A$1:$L$2000,MATCH($A846,vdata_regressors!$A$2:$A$2000,0)+1,MATCH(F$2,vdata_regressors!$A$1:$R$1,0)),"")</f>
        <v/>
      </c>
      <c r="G846" s="23" t="str">
        <f>IFERROR(INDEX(vdata_regressors!$A$1:$L$2000,MATCH($A846,vdata_regressors!$A$2:$A$2000,0)+1,MATCH(G$2,vdata_regressors!$A$1:$R$1,0)),"")</f>
        <v/>
      </c>
      <c r="H846" s="23" t="str">
        <f>IFERROR(INDEX(vdata_regressors!$A$1:$L$2000,MATCH($A846,vdata_regressors!$A$2:$A$2000,0)+1,MATCH(H$2,vdata_regressors!$A$1:$R$1,0)),"")</f>
        <v/>
      </c>
      <c r="I846" s="23" t="str">
        <f>IFERROR(INDEX(vdata_regressors!$A$1:$L$2000,MATCH($A846,vdata_regressors!$A$2:$A$2000,0)+1,MATCH(I$2,vdata_regressors!$A$1:$R$1,0)),"")</f>
        <v/>
      </c>
      <c r="J846" s="23" t="str">
        <f>IFERROR(INDEX(vdata_regressors!$A$1:$L$2000,MATCH($A846,vdata_regressors!$A$2:$A$2000,0)+1,MATCH(J$2,vdata_regressors!$A$1:$R$1,0)),"")</f>
        <v/>
      </c>
      <c r="K846" s="23" t="str">
        <f>IFERROR(INDEX(vdata_regressors!$A$1:$L$2000,MATCH($A846,vdata_regressors!$A$2:$A$2000,0)+1,MATCH(K$2,vdata_regressors!$A$1:$R$1,0)),"")</f>
        <v/>
      </c>
      <c r="L846" s="23" t="str">
        <f>IFERROR(INDEX(vdata_regressors!$A$1:$L$2000,MATCH($A846,vdata_regressors!$A$2:$A$2000,0)+1,MATCH(L$2,vdata_regressors!$A$1:$R$1,0)),"")</f>
        <v/>
      </c>
      <c r="M846" s="23" t="str">
        <f>IFERROR(VLOOKUP(A846,vdata_hours!$A$2:$B$1000,2,FALSE),"")</f>
        <v/>
      </c>
    </row>
    <row r="847" spans="1:13" x14ac:dyDescent="0.25">
      <c r="A847" s="23" t="str">
        <f>IF(vdata_hours!A846=0,"",vdata_hours!A846)</f>
        <v/>
      </c>
      <c r="B847" s="23" t="str">
        <f>IFERROR(INDEX(vdata_regressors!$A$1:$L$2000,MATCH($A847,vdata_regressors!$A$2:$A$2000,0)+1,MATCH(B$2,vdata_regressors!$A$1:$R$1,0)),"")</f>
        <v/>
      </c>
      <c r="C847" s="23" t="str">
        <f>IFERROR(INDEX(vdata_regressors!$A$1:$L$2000,MATCH($A847,vdata_regressors!$A$2:$A$2000,0)+1,MATCH(C$2,vdata_regressors!$A$1:$R$1,0)),"")</f>
        <v/>
      </c>
      <c r="D847" s="23" t="str">
        <f>IFERROR(INDEX(vdata_regressors!$A$1:$L$2000,MATCH($A847,vdata_regressors!$A$2:$A$2000,0)+1,MATCH(D$2,vdata_regressors!$A$1:$R$1,0)),"")</f>
        <v/>
      </c>
      <c r="E847" s="23" t="str">
        <f>IFERROR(INDEX(vdata_regressors!$A$1:$L$2000,MATCH($A847,vdata_regressors!$A$2:$A$2000,0)+1,MATCH(E$2,vdata_regressors!$A$1:$R$1,0)),"")</f>
        <v/>
      </c>
      <c r="F847" s="23" t="str">
        <f>IFERROR(INDEX(vdata_regressors!$A$1:$L$2000,MATCH($A847,vdata_regressors!$A$2:$A$2000,0)+1,MATCH(F$2,vdata_regressors!$A$1:$R$1,0)),"")</f>
        <v/>
      </c>
      <c r="G847" s="23" t="str">
        <f>IFERROR(INDEX(vdata_regressors!$A$1:$L$2000,MATCH($A847,vdata_regressors!$A$2:$A$2000,0)+1,MATCH(G$2,vdata_regressors!$A$1:$R$1,0)),"")</f>
        <v/>
      </c>
      <c r="H847" s="23" t="str">
        <f>IFERROR(INDEX(vdata_regressors!$A$1:$L$2000,MATCH($A847,vdata_regressors!$A$2:$A$2000,0)+1,MATCH(H$2,vdata_regressors!$A$1:$R$1,0)),"")</f>
        <v/>
      </c>
      <c r="I847" s="23" t="str">
        <f>IFERROR(INDEX(vdata_regressors!$A$1:$L$2000,MATCH($A847,vdata_regressors!$A$2:$A$2000,0)+1,MATCH(I$2,vdata_regressors!$A$1:$R$1,0)),"")</f>
        <v/>
      </c>
      <c r="J847" s="23" t="str">
        <f>IFERROR(INDEX(vdata_regressors!$A$1:$L$2000,MATCH($A847,vdata_regressors!$A$2:$A$2000,0)+1,MATCH(J$2,vdata_regressors!$A$1:$R$1,0)),"")</f>
        <v/>
      </c>
      <c r="K847" s="23" t="str">
        <f>IFERROR(INDEX(vdata_regressors!$A$1:$L$2000,MATCH($A847,vdata_regressors!$A$2:$A$2000,0)+1,MATCH(K$2,vdata_regressors!$A$1:$R$1,0)),"")</f>
        <v/>
      </c>
      <c r="L847" s="23" t="str">
        <f>IFERROR(INDEX(vdata_regressors!$A$1:$L$2000,MATCH($A847,vdata_regressors!$A$2:$A$2000,0)+1,MATCH(L$2,vdata_regressors!$A$1:$R$1,0)),"")</f>
        <v/>
      </c>
      <c r="M847" s="23" t="str">
        <f>IFERROR(VLOOKUP(A847,vdata_hours!$A$2:$B$1000,2,FALSE),"")</f>
        <v/>
      </c>
    </row>
    <row r="848" spans="1:13" x14ac:dyDescent="0.25">
      <c r="A848" s="23" t="str">
        <f>IF(vdata_hours!A847=0,"",vdata_hours!A847)</f>
        <v/>
      </c>
      <c r="B848" s="23" t="str">
        <f>IFERROR(INDEX(vdata_regressors!$A$1:$L$2000,MATCH($A848,vdata_regressors!$A$2:$A$2000,0)+1,MATCH(B$2,vdata_regressors!$A$1:$R$1,0)),"")</f>
        <v/>
      </c>
      <c r="C848" s="23" t="str">
        <f>IFERROR(INDEX(vdata_regressors!$A$1:$L$2000,MATCH($A848,vdata_regressors!$A$2:$A$2000,0)+1,MATCH(C$2,vdata_regressors!$A$1:$R$1,0)),"")</f>
        <v/>
      </c>
      <c r="D848" s="23" t="str">
        <f>IFERROR(INDEX(vdata_regressors!$A$1:$L$2000,MATCH($A848,vdata_regressors!$A$2:$A$2000,0)+1,MATCH(D$2,vdata_regressors!$A$1:$R$1,0)),"")</f>
        <v/>
      </c>
      <c r="E848" s="23" t="str">
        <f>IFERROR(INDEX(vdata_regressors!$A$1:$L$2000,MATCH($A848,vdata_regressors!$A$2:$A$2000,0)+1,MATCH(E$2,vdata_regressors!$A$1:$R$1,0)),"")</f>
        <v/>
      </c>
      <c r="F848" s="23" t="str">
        <f>IFERROR(INDEX(vdata_regressors!$A$1:$L$2000,MATCH($A848,vdata_regressors!$A$2:$A$2000,0)+1,MATCH(F$2,vdata_regressors!$A$1:$R$1,0)),"")</f>
        <v/>
      </c>
      <c r="G848" s="23" t="str">
        <f>IFERROR(INDEX(vdata_regressors!$A$1:$L$2000,MATCH($A848,vdata_regressors!$A$2:$A$2000,0)+1,MATCH(G$2,vdata_regressors!$A$1:$R$1,0)),"")</f>
        <v/>
      </c>
      <c r="H848" s="23" t="str">
        <f>IFERROR(INDEX(vdata_regressors!$A$1:$L$2000,MATCH($A848,vdata_regressors!$A$2:$A$2000,0)+1,MATCH(H$2,vdata_regressors!$A$1:$R$1,0)),"")</f>
        <v/>
      </c>
      <c r="I848" s="23" t="str">
        <f>IFERROR(INDEX(vdata_regressors!$A$1:$L$2000,MATCH($A848,vdata_regressors!$A$2:$A$2000,0)+1,MATCH(I$2,vdata_regressors!$A$1:$R$1,0)),"")</f>
        <v/>
      </c>
      <c r="J848" s="23" t="str">
        <f>IFERROR(INDEX(vdata_regressors!$A$1:$L$2000,MATCH($A848,vdata_regressors!$A$2:$A$2000,0)+1,MATCH(J$2,vdata_regressors!$A$1:$R$1,0)),"")</f>
        <v/>
      </c>
      <c r="K848" s="23" t="str">
        <f>IFERROR(INDEX(vdata_regressors!$A$1:$L$2000,MATCH($A848,vdata_regressors!$A$2:$A$2000,0)+1,MATCH(K$2,vdata_regressors!$A$1:$R$1,0)),"")</f>
        <v/>
      </c>
      <c r="L848" s="23" t="str">
        <f>IFERROR(INDEX(vdata_regressors!$A$1:$L$2000,MATCH($A848,vdata_regressors!$A$2:$A$2000,0)+1,MATCH(L$2,vdata_regressors!$A$1:$R$1,0)),"")</f>
        <v/>
      </c>
      <c r="M848" s="23" t="str">
        <f>IFERROR(VLOOKUP(A848,vdata_hours!$A$2:$B$1000,2,FALSE),"")</f>
        <v/>
      </c>
    </row>
    <row r="849" spans="1:13" x14ac:dyDescent="0.25">
      <c r="A849" s="23" t="str">
        <f>IF(vdata_hours!A848=0,"",vdata_hours!A848)</f>
        <v/>
      </c>
      <c r="B849" s="23" t="str">
        <f>IFERROR(INDEX(vdata_regressors!$A$1:$L$2000,MATCH($A849,vdata_regressors!$A$2:$A$2000,0)+1,MATCH(B$2,vdata_regressors!$A$1:$R$1,0)),"")</f>
        <v/>
      </c>
      <c r="C849" s="23" t="str">
        <f>IFERROR(INDEX(vdata_regressors!$A$1:$L$2000,MATCH($A849,vdata_regressors!$A$2:$A$2000,0)+1,MATCH(C$2,vdata_regressors!$A$1:$R$1,0)),"")</f>
        <v/>
      </c>
      <c r="D849" s="23" t="str">
        <f>IFERROR(INDEX(vdata_regressors!$A$1:$L$2000,MATCH($A849,vdata_regressors!$A$2:$A$2000,0)+1,MATCH(D$2,vdata_regressors!$A$1:$R$1,0)),"")</f>
        <v/>
      </c>
      <c r="E849" s="23" t="str">
        <f>IFERROR(INDEX(vdata_regressors!$A$1:$L$2000,MATCH($A849,vdata_regressors!$A$2:$A$2000,0)+1,MATCH(E$2,vdata_regressors!$A$1:$R$1,0)),"")</f>
        <v/>
      </c>
      <c r="F849" s="23" t="str">
        <f>IFERROR(INDEX(vdata_regressors!$A$1:$L$2000,MATCH($A849,vdata_regressors!$A$2:$A$2000,0)+1,MATCH(F$2,vdata_regressors!$A$1:$R$1,0)),"")</f>
        <v/>
      </c>
      <c r="G849" s="23" t="str">
        <f>IFERROR(INDEX(vdata_regressors!$A$1:$L$2000,MATCH($A849,vdata_regressors!$A$2:$A$2000,0)+1,MATCH(G$2,vdata_regressors!$A$1:$R$1,0)),"")</f>
        <v/>
      </c>
      <c r="H849" s="23" t="str">
        <f>IFERROR(INDEX(vdata_regressors!$A$1:$L$2000,MATCH($A849,vdata_regressors!$A$2:$A$2000,0)+1,MATCH(H$2,vdata_regressors!$A$1:$R$1,0)),"")</f>
        <v/>
      </c>
      <c r="I849" s="23" t="str">
        <f>IFERROR(INDEX(vdata_regressors!$A$1:$L$2000,MATCH($A849,vdata_regressors!$A$2:$A$2000,0)+1,MATCH(I$2,vdata_regressors!$A$1:$R$1,0)),"")</f>
        <v/>
      </c>
      <c r="J849" s="23" t="str">
        <f>IFERROR(INDEX(vdata_regressors!$A$1:$L$2000,MATCH($A849,vdata_regressors!$A$2:$A$2000,0)+1,MATCH(J$2,vdata_regressors!$A$1:$R$1,0)),"")</f>
        <v/>
      </c>
      <c r="K849" s="23" t="str">
        <f>IFERROR(INDEX(vdata_regressors!$A$1:$L$2000,MATCH($A849,vdata_regressors!$A$2:$A$2000,0)+1,MATCH(K$2,vdata_regressors!$A$1:$R$1,0)),"")</f>
        <v/>
      </c>
      <c r="L849" s="23" t="str">
        <f>IFERROR(INDEX(vdata_regressors!$A$1:$L$2000,MATCH($A849,vdata_regressors!$A$2:$A$2000,0)+1,MATCH(L$2,vdata_regressors!$A$1:$R$1,0)),"")</f>
        <v/>
      </c>
      <c r="M849" s="23" t="str">
        <f>IFERROR(VLOOKUP(A849,vdata_hours!$A$2:$B$1000,2,FALSE),"")</f>
        <v/>
      </c>
    </row>
    <row r="850" spans="1:13" x14ac:dyDescent="0.25">
      <c r="A850" s="23" t="str">
        <f>IF(vdata_hours!A849=0,"",vdata_hours!A849)</f>
        <v/>
      </c>
      <c r="B850" s="23" t="str">
        <f>IFERROR(INDEX(vdata_regressors!$A$1:$L$2000,MATCH($A850,vdata_regressors!$A$2:$A$2000,0)+1,MATCH(B$2,vdata_regressors!$A$1:$R$1,0)),"")</f>
        <v/>
      </c>
      <c r="C850" s="23" t="str">
        <f>IFERROR(INDEX(vdata_regressors!$A$1:$L$2000,MATCH($A850,vdata_regressors!$A$2:$A$2000,0)+1,MATCH(C$2,vdata_regressors!$A$1:$R$1,0)),"")</f>
        <v/>
      </c>
      <c r="D850" s="23" t="str">
        <f>IFERROR(INDEX(vdata_regressors!$A$1:$L$2000,MATCH($A850,vdata_regressors!$A$2:$A$2000,0)+1,MATCH(D$2,vdata_regressors!$A$1:$R$1,0)),"")</f>
        <v/>
      </c>
      <c r="E850" s="23" t="str">
        <f>IFERROR(INDEX(vdata_regressors!$A$1:$L$2000,MATCH($A850,vdata_regressors!$A$2:$A$2000,0)+1,MATCH(E$2,vdata_regressors!$A$1:$R$1,0)),"")</f>
        <v/>
      </c>
      <c r="F850" s="23" t="str">
        <f>IFERROR(INDEX(vdata_regressors!$A$1:$L$2000,MATCH($A850,vdata_regressors!$A$2:$A$2000,0)+1,MATCH(F$2,vdata_regressors!$A$1:$R$1,0)),"")</f>
        <v/>
      </c>
      <c r="G850" s="23" t="str">
        <f>IFERROR(INDEX(vdata_regressors!$A$1:$L$2000,MATCH($A850,vdata_regressors!$A$2:$A$2000,0)+1,MATCH(G$2,vdata_regressors!$A$1:$R$1,0)),"")</f>
        <v/>
      </c>
      <c r="H850" s="23" t="str">
        <f>IFERROR(INDEX(vdata_regressors!$A$1:$L$2000,MATCH($A850,vdata_regressors!$A$2:$A$2000,0)+1,MATCH(H$2,vdata_regressors!$A$1:$R$1,0)),"")</f>
        <v/>
      </c>
      <c r="I850" s="23" t="str">
        <f>IFERROR(INDEX(vdata_regressors!$A$1:$L$2000,MATCH($A850,vdata_regressors!$A$2:$A$2000,0)+1,MATCH(I$2,vdata_regressors!$A$1:$R$1,0)),"")</f>
        <v/>
      </c>
      <c r="J850" s="23" t="str">
        <f>IFERROR(INDEX(vdata_regressors!$A$1:$L$2000,MATCH($A850,vdata_regressors!$A$2:$A$2000,0)+1,MATCH(J$2,vdata_regressors!$A$1:$R$1,0)),"")</f>
        <v/>
      </c>
      <c r="K850" s="23" t="str">
        <f>IFERROR(INDEX(vdata_regressors!$A$1:$L$2000,MATCH($A850,vdata_regressors!$A$2:$A$2000,0)+1,MATCH(K$2,vdata_regressors!$A$1:$R$1,0)),"")</f>
        <v/>
      </c>
      <c r="L850" s="23" t="str">
        <f>IFERROR(INDEX(vdata_regressors!$A$1:$L$2000,MATCH($A850,vdata_regressors!$A$2:$A$2000,0)+1,MATCH(L$2,vdata_regressors!$A$1:$R$1,0)),"")</f>
        <v/>
      </c>
      <c r="M850" s="23" t="str">
        <f>IFERROR(VLOOKUP(A850,vdata_hours!$A$2:$B$1000,2,FALSE),"")</f>
        <v/>
      </c>
    </row>
    <row r="851" spans="1:13" x14ac:dyDescent="0.25">
      <c r="A851" s="23" t="str">
        <f>IF(vdata_hours!A850=0,"",vdata_hours!A850)</f>
        <v/>
      </c>
      <c r="B851" s="23" t="str">
        <f>IFERROR(INDEX(vdata_regressors!$A$1:$L$2000,MATCH($A851,vdata_regressors!$A$2:$A$2000,0)+1,MATCH(B$2,vdata_regressors!$A$1:$R$1,0)),"")</f>
        <v/>
      </c>
      <c r="C851" s="23" t="str">
        <f>IFERROR(INDEX(vdata_regressors!$A$1:$L$2000,MATCH($A851,vdata_regressors!$A$2:$A$2000,0)+1,MATCH(C$2,vdata_regressors!$A$1:$R$1,0)),"")</f>
        <v/>
      </c>
      <c r="D851" s="23" t="str">
        <f>IFERROR(INDEX(vdata_regressors!$A$1:$L$2000,MATCH($A851,vdata_regressors!$A$2:$A$2000,0)+1,MATCH(D$2,vdata_regressors!$A$1:$R$1,0)),"")</f>
        <v/>
      </c>
      <c r="E851" s="23" t="str">
        <f>IFERROR(INDEX(vdata_regressors!$A$1:$L$2000,MATCH($A851,vdata_regressors!$A$2:$A$2000,0)+1,MATCH(E$2,vdata_regressors!$A$1:$R$1,0)),"")</f>
        <v/>
      </c>
      <c r="F851" s="23" t="str">
        <f>IFERROR(INDEX(vdata_regressors!$A$1:$L$2000,MATCH($A851,vdata_regressors!$A$2:$A$2000,0)+1,MATCH(F$2,vdata_regressors!$A$1:$R$1,0)),"")</f>
        <v/>
      </c>
      <c r="G851" s="23" t="str">
        <f>IFERROR(INDEX(vdata_regressors!$A$1:$L$2000,MATCH($A851,vdata_regressors!$A$2:$A$2000,0)+1,MATCH(G$2,vdata_regressors!$A$1:$R$1,0)),"")</f>
        <v/>
      </c>
      <c r="H851" s="23" t="str">
        <f>IFERROR(INDEX(vdata_regressors!$A$1:$L$2000,MATCH($A851,vdata_regressors!$A$2:$A$2000,0)+1,MATCH(H$2,vdata_regressors!$A$1:$R$1,0)),"")</f>
        <v/>
      </c>
      <c r="I851" s="23" t="str">
        <f>IFERROR(INDEX(vdata_regressors!$A$1:$L$2000,MATCH($A851,vdata_regressors!$A$2:$A$2000,0)+1,MATCH(I$2,vdata_regressors!$A$1:$R$1,0)),"")</f>
        <v/>
      </c>
      <c r="J851" s="23" t="str">
        <f>IFERROR(INDEX(vdata_regressors!$A$1:$L$2000,MATCH($A851,vdata_regressors!$A$2:$A$2000,0)+1,MATCH(J$2,vdata_regressors!$A$1:$R$1,0)),"")</f>
        <v/>
      </c>
      <c r="K851" s="23" t="str">
        <f>IFERROR(INDEX(vdata_regressors!$A$1:$L$2000,MATCH($A851,vdata_regressors!$A$2:$A$2000,0)+1,MATCH(K$2,vdata_regressors!$A$1:$R$1,0)),"")</f>
        <v/>
      </c>
      <c r="L851" s="23" t="str">
        <f>IFERROR(INDEX(vdata_regressors!$A$1:$L$2000,MATCH($A851,vdata_regressors!$A$2:$A$2000,0)+1,MATCH(L$2,vdata_regressors!$A$1:$R$1,0)),"")</f>
        <v/>
      </c>
      <c r="M851" s="23" t="str">
        <f>IFERROR(VLOOKUP(A851,vdata_hours!$A$2:$B$1000,2,FALSE),"")</f>
        <v/>
      </c>
    </row>
    <row r="852" spans="1:13" x14ac:dyDescent="0.25">
      <c r="A852" s="23" t="str">
        <f>IF(vdata_hours!A851=0,"",vdata_hours!A851)</f>
        <v/>
      </c>
      <c r="B852" s="23" t="str">
        <f>IFERROR(INDEX(vdata_regressors!$A$1:$L$2000,MATCH($A852,vdata_regressors!$A$2:$A$2000,0)+1,MATCH(B$2,vdata_regressors!$A$1:$R$1,0)),"")</f>
        <v/>
      </c>
      <c r="C852" s="23" t="str">
        <f>IFERROR(INDEX(vdata_regressors!$A$1:$L$2000,MATCH($A852,vdata_regressors!$A$2:$A$2000,0)+1,MATCH(C$2,vdata_regressors!$A$1:$R$1,0)),"")</f>
        <v/>
      </c>
      <c r="D852" s="23" t="str">
        <f>IFERROR(INDEX(vdata_regressors!$A$1:$L$2000,MATCH($A852,vdata_regressors!$A$2:$A$2000,0)+1,MATCH(D$2,vdata_regressors!$A$1:$R$1,0)),"")</f>
        <v/>
      </c>
      <c r="E852" s="23" t="str">
        <f>IFERROR(INDEX(vdata_regressors!$A$1:$L$2000,MATCH($A852,vdata_regressors!$A$2:$A$2000,0)+1,MATCH(E$2,vdata_regressors!$A$1:$R$1,0)),"")</f>
        <v/>
      </c>
      <c r="F852" s="23" t="str">
        <f>IFERROR(INDEX(vdata_regressors!$A$1:$L$2000,MATCH($A852,vdata_regressors!$A$2:$A$2000,0)+1,MATCH(F$2,vdata_regressors!$A$1:$R$1,0)),"")</f>
        <v/>
      </c>
      <c r="G852" s="23" t="str">
        <f>IFERROR(INDEX(vdata_regressors!$A$1:$L$2000,MATCH($A852,vdata_regressors!$A$2:$A$2000,0)+1,MATCH(G$2,vdata_regressors!$A$1:$R$1,0)),"")</f>
        <v/>
      </c>
      <c r="H852" s="23" t="str">
        <f>IFERROR(INDEX(vdata_regressors!$A$1:$L$2000,MATCH($A852,vdata_regressors!$A$2:$A$2000,0)+1,MATCH(H$2,vdata_regressors!$A$1:$R$1,0)),"")</f>
        <v/>
      </c>
      <c r="I852" s="23" t="str">
        <f>IFERROR(INDEX(vdata_regressors!$A$1:$L$2000,MATCH($A852,vdata_regressors!$A$2:$A$2000,0)+1,MATCH(I$2,vdata_regressors!$A$1:$R$1,0)),"")</f>
        <v/>
      </c>
      <c r="J852" s="23" t="str">
        <f>IFERROR(INDEX(vdata_regressors!$A$1:$L$2000,MATCH($A852,vdata_regressors!$A$2:$A$2000,0)+1,MATCH(J$2,vdata_regressors!$A$1:$R$1,0)),"")</f>
        <v/>
      </c>
      <c r="K852" s="23" t="str">
        <f>IFERROR(INDEX(vdata_regressors!$A$1:$L$2000,MATCH($A852,vdata_regressors!$A$2:$A$2000,0)+1,MATCH(K$2,vdata_regressors!$A$1:$R$1,0)),"")</f>
        <v/>
      </c>
      <c r="L852" s="23" t="str">
        <f>IFERROR(INDEX(vdata_regressors!$A$1:$L$2000,MATCH($A852,vdata_regressors!$A$2:$A$2000,0)+1,MATCH(L$2,vdata_regressors!$A$1:$R$1,0)),"")</f>
        <v/>
      </c>
      <c r="M852" s="23" t="str">
        <f>IFERROR(VLOOKUP(A852,vdata_hours!$A$2:$B$1000,2,FALSE),"")</f>
        <v/>
      </c>
    </row>
    <row r="853" spans="1:13" x14ac:dyDescent="0.25">
      <c r="A853" s="23" t="str">
        <f>IF(vdata_hours!A852=0,"",vdata_hours!A852)</f>
        <v/>
      </c>
      <c r="B853" s="23" t="str">
        <f>IFERROR(INDEX(vdata_regressors!$A$1:$L$2000,MATCH($A853,vdata_regressors!$A$2:$A$2000,0)+1,MATCH(B$2,vdata_regressors!$A$1:$R$1,0)),"")</f>
        <v/>
      </c>
      <c r="C853" s="23" t="str">
        <f>IFERROR(INDEX(vdata_regressors!$A$1:$L$2000,MATCH($A853,vdata_regressors!$A$2:$A$2000,0)+1,MATCH(C$2,vdata_regressors!$A$1:$R$1,0)),"")</f>
        <v/>
      </c>
      <c r="D853" s="23" t="str">
        <f>IFERROR(INDEX(vdata_regressors!$A$1:$L$2000,MATCH($A853,vdata_regressors!$A$2:$A$2000,0)+1,MATCH(D$2,vdata_regressors!$A$1:$R$1,0)),"")</f>
        <v/>
      </c>
      <c r="E853" s="23" t="str">
        <f>IFERROR(INDEX(vdata_regressors!$A$1:$L$2000,MATCH($A853,vdata_regressors!$A$2:$A$2000,0)+1,MATCH(E$2,vdata_regressors!$A$1:$R$1,0)),"")</f>
        <v/>
      </c>
      <c r="F853" s="23" t="str">
        <f>IFERROR(INDEX(vdata_regressors!$A$1:$L$2000,MATCH($A853,vdata_regressors!$A$2:$A$2000,0)+1,MATCH(F$2,vdata_regressors!$A$1:$R$1,0)),"")</f>
        <v/>
      </c>
      <c r="G853" s="23" t="str">
        <f>IFERROR(INDEX(vdata_regressors!$A$1:$L$2000,MATCH($A853,vdata_regressors!$A$2:$A$2000,0)+1,MATCH(G$2,vdata_regressors!$A$1:$R$1,0)),"")</f>
        <v/>
      </c>
      <c r="H853" s="23" t="str">
        <f>IFERROR(INDEX(vdata_regressors!$A$1:$L$2000,MATCH($A853,vdata_regressors!$A$2:$A$2000,0)+1,MATCH(H$2,vdata_regressors!$A$1:$R$1,0)),"")</f>
        <v/>
      </c>
      <c r="I853" s="23" t="str">
        <f>IFERROR(INDEX(vdata_regressors!$A$1:$L$2000,MATCH($A853,vdata_regressors!$A$2:$A$2000,0)+1,MATCH(I$2,vdata_regressors!$A$1:$R$1,0)),"")</f>
        <v/>
      </c>
      <c r="J853" s="23" t="str">
        <f>IFERROR(INDEX(vdata_regressors!$A$1:$L$2000,MATCH($A853,vdata_regressors!$A$2:$A$2000,0)+1,MATCH(J$2,vdata_regressors!$A$1:$R$1,0)),"")</f>
        <v/>
      </c>
      <c r="K853" s="23" t="str">
        <f>IFERROR(INDEX(vdata_regressors!$A$1:$L$2000,MATCH($A853,vdata_regressors!$A$2:$A$2000,0)+1,MATCH(K$2,vdata_regressors!$A$1:$R$1,0)),"")</f>
        <v/>
      </c>
      <c r="L853" s="23" t="str">
        <f>IFERROR(INDEX(vdata_regressors!$A$1:$L$2000,MATCH($A853,vdata_regressors!$A$2:$A$2000,0)+1,MATCH(L$2,vdata_regressors!$A$1:$R$1,0)),"")</f>
        <v/>
      </c>
      <c r="M853" s="23" t="str">
        <f>IFERROR(VLOOKUP(A853,vdata_hours!$A$2:$B$1000,2,FALSE),"")</f>
        <v/>
      </c>
    </row>
    <row r="854" spans="1:13" x14ac:dyDescent="0.25">
      <c r="A854" s="23" t="str">
        <f>IF(vdata_hours!A853=0,"",vdata_hours!A853)</f>
        <v/>
      </c>
      <c r="B854" s="23" t="str">
        <f>IFERROR(INDEX(vdata_regressors!$A$1:$L$2000,MATCH($A854,vdata_regressors!$A$2:$A$2000,0)+1,MATCH(B$2,vdata_regressors!$A$1:$R$1,0)),"")</f>
        <v/>
      </c>
      <c r="C854" s="23" t="str">
        <f>IFERROR(INDEX(vdata_regressors!$A$1:$L$2000,MATCH($A854,vdata_regressors!$A$2:$A$2000,0)+1,MATCH(C$2,vdata_regressors!$A$1:$R$1,0)),"")</f>
        <v/>
      </c>
      <c r="D854" s="23" t="str">
        <f>IFERROR(INDEX(vdata_regressors!$A$1:$L$2000,MATCH($A854,vdata_regressors!$A$2:$A$2000,0)+1,MATCH(D$2,vdata_regressors!$A$1:$R$1,0)),"")</f>
        <v/>
      </c>
      <c r="E854" s="23" t="str">
        <f>IFERROR(INDEX(vdata_regressors!$A$1:$L$2000,MATCH($A854,vdata_regressors!$A$2:$A$2000,0)+1,MATCH(E$2,vdata_regressors!$A$1:$R$1,0)),"")</f>
        <v/>
      </c>
      <c r="F854" s="23" t="str">
        <f>IFERROR(INDEX(vdata_regressors!$A$1:$L$2000,MATCH($A854,vdata_regressors!$A$2:$A$2000,0)+1,MATCH(F$2,vdata_regressors!$A$1:$R$1,0)),"")</f>
        <v/>
      </c>
      <c r="G854" s="23" t="str">
        <f>IFERROR(INDEX(vdata_regressors!$A$1:$L$2000,MATCH($A854,vdata_regressors!$A$2:$A$2000,0)+1,MATCH(G$2,vdata_regressors!$A$1:$R$1,0)),"")</f>
        <v/>
      </c>
      <c r="H854" s="23" t="str">
        <f>IFERROR(INDEX(vdata_regressors!$A$1:$L$2000,MATCH($A854,vdata_regressors!$A$2:$A$2000,0)+1,MATCH(H$2,vdata_regressors!$A$1:$R$1,0)),"")</f>
        <v/>
      </c>
      <c r="I854" s="23" t="str">
        <f>IFERROR(INDEX(vdata_regressors!$A$1:$L$2000,MATCH($A854,vdata_regressors!$A$2:$A$2000,0)+1,MATCH(I$2,vdata_regressors!$A$1:$R$1,0)),"")</f>
        <v/>
      </c>
      <c r="J854" s="23" t="str">
        <f>IFERROR(INDEX(vdata_regressors!$A$1:$L$2000,MATCH($A854,vdata_regressors!$A$2:$A$2000,0)+1,MATCH(J$2,vdata_regressors!$A$1:$R$1,0)),"")</f>
        <v/>
      </c>
      <c r="K854" s="23" t="str">
        <f>IFERROR(INDEX(vdata_regressors!$A$1:$L$2000,MATCH($A854,vdata_regressors!$A$2:$A$2000,0)+1,MATCH(K$2,vdata_regressors!$A$1:$R$1,0)),"")</f>
        <v/>
      </c>
      <c r="L854" s="23" t="str">
        <f>IFERROR(INDEX(vdata_regressors!$A$1:$L$2000,MATCH($A854,vdata_regressors!$A$2:$A$2000,0)+1,MATCH(L$2,vdata_regressors!$A$1:$R$1,0)),"")</f>
        <v/>
      </c>
      <c r="M854" s="23" t="str">
        <f>IFERROR(VLOOKUP(A854,vdata_hours!$A$2:$B$1000,2,FALSE),"")</f>
        <v/>
      </c>
    </row>
    <row r="855" spans="1:13" x14ac:dyDescent="0.25">
      <c r="A855" s="23" t="str">
        <f>IF(vdata_hours!A854=0,"",vdata_hours!A854)</f>
        <v/>
      </c>
      <c r="B855" s="23" t="str">
        <f>IFERROR(INDEX(vdata_regressors!$A$1:$L$2000,MATCH($A855,vdata_regressors!$A$2:$A$2000,0)+1,MATCH(B$2,vdata_regressors!$A$1:$R$1,0)),"")</f>
        <v/>
      </c>
      <c r="C855" s="23" t="str">
        <f>IFERROR(INDEX(vdata_regressors!$A$1:$L$2000,MATCH($A855,vdata_regressors!$A$2:$A$2000,0)+1,MATCH(C$2,vdata_regressors!$A$1:$R$1,0)),"")</f>
        <v/>
      </c>
      <c r="D855" s="23" t="str">
        <f>IFERROR(INDEX(vdata_regressors!$A$1:$L$2000,MATCH($A855,vdata_regressors!$A$2:$A$2000,0)+1,MATCH(D$2,vdata_regressors!$A$1:$R$1,0)),"")</f>
        <v/>
      </c>
      <c r="E855" s="23" t="str">
        <f>IFERROR(INDEX(vdata_regressors!$A$1:$L$2000,MATCH($A855,vdata_regressors!$A$2:$A$2000,0)+1,MATCH(E$2,vdata_regressors!$A$1:$R$1,0)),"")</f>
        <v/>
      </c>
      <c r="F855" s="23" t="str">
        <f>IFERROR(INDEX(vdata_regressors!$A$1:$L$2000,MATCH($A855,vdata_regressors!$A$2:$A$2000,0)+1,MATCH(F$2,vdata_regressors!$A$1:$R$1,0)),"")</f>
        <v/>
      </c>
      <c r="G855" s="23" t="str">
        <f>IFERROR(INDEX(vdata_regressors!$A$1:$L$2000,MATCH($A855,vdata_regressors!$A$2:$A$2000,0)+1,MATCH(G$2,vdata_regressors!$A$1:$R$1,0)),"")</f>
        <v/>
      </c>
      <c r="H855" s="23" t="str">
        <f>IFERROR(INDEX(vdata_regressors!$A$1:$L$2000,MATCH($A855,vdata_regressors!$A$2:$A$2000,0)+1,MATCH(H$2,vdata_regressors!$A$1:$R$1,0)),"")</f>
        <v/>
      </c>
      <c r="I855" s="23" t="str">
        <f>IFERROR(INDEX(vdata_regressors!$A$1:$L$2000,MATCH($A855,vdata_regressors!$A$2:$A$2000,0)+1,MATCH(I$2,vdata_regressors!$A$1:$R$1,0)),"")</f>
        <v/>
      </c>
      <c r="J855" s="23" t="str">
        <f>IFERROR(INDEX(vdata_regressors!$A$1:$L$2000,MATCH($A855,vdata_regressors!$A$2:$A$2000,0)+1,MATCH(J$2,vdata_regressors!$A$1:$R$1,0)),"")</f>
        <v/>
      </c>
      <c r="K855" s="23" t="str">
        <f>IFERROR(INDEX(vdata_regressors!$A$1:$L$2000,MATCH($A855,vdata_regressors!$A$2:$A$2000,0)+1,MATCH(K$2,vdata_regressors!$A$1:$R$1,0)),"")</f>
        <v/>
      </c>
      <c r="L855" s="23" t="str">
        <f>IFERROR(INDEX(vdata_regressors!$A$1:$L$2000,MATCH($A855,vdata_regressors!$A$2:$A$2000,0)+1,MATCH(L$2,vdata_regressors!$A$1:$R$1,0)),"")</f>
        <v/>
      </c>
      <c r="M855" s="23" t="str">
        <f>IFERROR(VLOOKUP(A855,vdata_hours!$A$2:$B$1000,2,FALSE),"")</f>
        <v/>
      </c>
    </row>
    <row r="856" spans="1:13" x14ac:dyDescent="0.25">
      <c r="A856" s="23" t="str">
        <f>IF(vdata_hours!A855=0,"",vdata_hours!A855)</f>
        <v/>
      </c>
      <c r="B856" s="23" t="str">
        <f>IFERROR(INDEX(vdata_regressors!$A$1:$L$2000,MATCH($A856,vdata_regressors!$A$2:$A$2000,0)+1,MATCH(B$2,vdata_regressors!$A$1:$R$1,0)),"")</f>
        <v/>
      </c>
      <c r="C856" s="23" t="str">
        <f>IFERROR(INDEX(vdata_regressors!$A$1:$L$2000,MATCH($A856,vdata_regressors!$A$2:$A$2000,0)+1,MATCH(C$2,vdata_regressors!$A$1:$R$1,0)),"")</f>
        <v/>
      </c>
      <c r="D856" s="23" t="str">
        <f>IFERROR(INDEX(vdata_regressors!$A$1:$L$2000,MATCH($A856,vdata_regressors!$A$2:$A$2000,0)+1,MATCH(D$2,vdata_regressors!$A$1:$R$1,0)),"")</f>
        <v/>
      </c>
      <c r="E856" s="23" t="str">
        <f>IFERROR(INDEX(vdata_regressors!$A$1:$L$2000,MATCH($A856,vdata_regressors!$A$2:$A$2000,0)+1,MATCH(E$2,vdata_regressors!$A$1:$R$1,0)),"")</f>
        <v/>
      </c>
      <c r="F856" s="23" t="str">
        <f>IFERROR(INDEX(vdata_regressors!$A$1:$L$2000,MATCH($A856,vdata_regressors!$A$2:$A$2000,0)+1,MATCH(F$2,vdata_regressors!$A$1:$R$1,0)),"")</f>
        <v/>
      </c>
      <c r="G856" s="23" t="str">
        <f>IFERROR(INDEX(vdata_regressors!$A$1:$L$2000,MATCH($A856,vdata_regressors!$A$2:$A$2000,0)+1,MATCH(G$2,vdata_regressors!$A$1:$R$1,0)),"")</f>
        <v/>
      </c>
      <c r="H856" s="23" t="str">
        <f>IFERROR(INDEX(vdata_regressors!$A$1:$L$2000,MATCH($A856,vdata_regressors!$A$2:$A$2000,0)+1,MATCH(H$2,vdata_regressors!$A$1:$R$1,0)),"")</f>
        <v/>
      </c>
      <c r="I856" s="23" t="str">
        <f>IFERROR(INDEX(vdata_regressors!$A$1:$L$2000,MATCH($A856,vdata_regressors!$A$2:$A$2000,0)+1,MATCH(I$2,vdata_regressors!$A$1:$R$1,0)),"")</f>
        <v/>
      </c>
      <c r="J856" s="23" t="str">
        <f>IFERROR(INDEX(vdata_regressors!$A$1:$L$2000,MATCH($A856,vdata_regressors!$A$2:$A$2000,0)+1,MATCH(J$2,vdata_regressors!$A$1:$R$1,0)),"")</f>
        <v/>
      </c>
      <c r="K856" s="23" t="str">
        <f>IFERROR(INDEX(vdata_regressors!$A$1:$L$2000,MATCH($A856,vdata_regressors!$A$2:$A$2000,0)+1,MATCH(K$2,vdata_regressors!$A$1:$R$1,0)),"")</f>
        <v/>
      </c>
      <c r="L856" s="23" t="str">
        <f>IFERROR(INDEX(vdata_regressors!$A$1:$L$2000,MATCH($A856,vdata_regressors!$A$2:$A$2000,0)+1,MATCH(L$2,vdata_regressors!$A$1:$R$1,0)),"")</f>
        <v/>
      </c>
      <c r="M856" s="23" t="str">
        <f>IFERROR(VLOOKUP(A856,vdata_hours!$A$2:$B$1000,2,FALSE),"")</f>
        <v/>
      </c>
    </row>
    <row r="857" spans="1:13" x14ac:dyDescent="0.25">
      <c r="A857" s="23" t="str">
        <f>IF(vdata_hours!A856=0,"",vdata_hours!A856)</f>
        <v/>
      </c>
      <c r="B857" s="23" t="str">
        <f>IFERROR(INDEX(vdata_regressors!$A$1:$L$2000,MATCH($A857,vdata_regressors!$A$2:$A$2000,0)+1,MATCH(B$2,vdata_regressors!$A$1:$R$1,0)),"")</f>
        <v/>
      </c>
      <c r="C857" s="23" t="str">
        <f>IFERROR(INDEX(vdata_regressors!$A$1:$L$2000,MATCH($A857,vdata_regressors!$A$2:$A$2000,0)+1,MATCH(C$2,vdata_regressors!$A$1:$R$1,0)),"")</f>
        <v/>
      </c>
      <c r="D857" s="23" t="str">
        <f>IFERROR(INDEX(vdata_regressors!$A$1:$L$2000,MATCH($A857,vdata_regressors!$A$2:$A$2000,0)+1,MATCH(D$2,vdata_regressors!$A$1:$R$1,0)),"")</f>
        <v/>
      </c>
      <c r="E857" s="23" t="str">
        <f>IFERROR(INDEX(vdata_regressors!$A$1:$L$2000,MATCH($A857,vdata_regressors!$A$2:$A$2000,0)+1,MATCH(E$2,vdata_regressors!$A$1:$R$1,0)),"")</f>
        <v/>
      </c>
      <c r="F857" s="23" t="str">
        <f>IFERROR(INDEX(vdata_regressors!$A$1:$L$2000,MATCH($A857,vdata_regressors!$A$2:$A$2000,0)+1,MATCH(F$2,vdata_regressors!$A$1:$R$1,0)),"")</f>
        <v/>
      </c>
      <c r="G857" s="23" t="str">
        <f>IFERROR(INDEX(vdata_regressors!$A$1:$L$2000,MATCH($A857,vdata_regressors!$A$2:$A$2000,0)+1,MATCH(G$2,vdata_regressors!$A$1:$R$1,0)),"")</f>
        <v/>
      </c>
      <c r="H857" s="23" t="str">
        <f>IFERROR(INDEX(vdata_regressors!$A$1:$L$2000,MATCH($A857,vdata_regressors!$A$2:$A$2000,0)+1,MATCH(H$2,vdata_regressors!$A$1:$R$1,0)),"")</f>
        <v/>
      </c>
      <c r="I857" s="23" t="str">
        <f>IFERROR(INDEX(vdata_regressors!$A$1:$L$2000,MATCH($A857,vdata_regressors!$A$2:$A$2000,0)+1,MATCH(I$2,vdata_regressors!$A$1:$R$1,0)),"")</f>
        <v/>
      </c>
      <c r="J857" s="23" t="str">
        <f>IFERROR(INDEX(vdata_regressors!$A$1:$L$2000,MATCH($A857,vdata_regressors!$A$2:$A$2000,0)+1,MATCH(J$2,vdata_regressors!$A$1:$R$1,0)),"")</f>
        <v/>
      </c>
      <c r="K857" s="23" t="str">
        <f>IFERROR(INDEX(vdata_regressors!$A$1:$L$2000,MATCH($A857,vdata_regressors!$A$2:$A$2000,0)+1,MATCH(K$2,vdata_regressors!$A$1:$R$1,0)),"")</f>
        <v/>
      </c>
      <c r="L857" s="23" t="str">
        <f>IFERROR(INDEX(vdata_regressors!$A$1:$L$2000,MATCH($A857,vdata_regressors!$A$2:$A$2000,0)+1,MATCH(L$2,vdata_regressors!$A$1:$R$1,0)),"")</f>
        <v/>
      </c>
      <c r="M857" s="23" t="str">
        <f>IFERROR(VLOOKUP(A857,vdata_hours!$A$2:$B$1000,2,FALSE),"")</f>
        <v/>
      </c>
    </row>
    <row r="858" spans="1:13" x14ac:dyDescent="0.25">
      <c r="A858" s="23" t="str">
        <f>IF(vdata_hours!A857=0,"",vdata_hours!A857)</f>
        <v/>
      </c>
      <c r="B858" s="23" t="str">
        <f>IFERROR(INDEX(vdata_regressors!$A$1:$L$2000,MATCH($A858,vdata_regressors!$A$2:$A$2000,0)+1,MATCH(B$2,vdata_regressors!$A$1:$R$1,0)),"")</f>
        <v/>
      </c>
      <c r="C858" s="23" t="str">
        <f>IFERROR(INDEX(vdata_regressors!$A$1:$L$2000,MATCH($A858,vdata_regressors!$A$2:$A$2000,0)+1,MATCH(C$2,vdata_regressors!$A$1:$R$1,0)),"")</f>
        <v/>
      </c>
      <c r="D858" s="23" t="str">
        <f>IFERROR(INDEX(vdata_regressors!$A$1:$L$2000,MATCH($A858,vdata_regressors!$A$2:$A$2000,0)+1,MATCH(D$2,vdata_regressors!$A$1:$R$1,0)),"")</f>
        <v/>
      </c>
      <c r="E858" s="23" t="str">
        <f>IFERROR(INDEX(vdata_regressors!$A$1:$L$2000,MATCH($A858,vdata_regressors!$A$2:$A$2000,0)+1,MATCH(E$2,vdata_regressors!$A$1:$R$1,0)),"")</f>
        <v/>
      </c>
      <c r="F858" s="23" t="str">
        <f>IFERROR(INDEX(vdata_regressors!$A$1:$L$2000,MATCH($A858,vdata_regressors!$A$2:$A$2000,0)+1,MATCH(F$2,vdata_regressors!$A$1:$R$1,0)),"")</f>
        <v/>
      </c>
      <c r="G858" s="23" t="str">
        <f>IFERROR(INDEX(vdata_regressors!$A$1:$L$2000,MATCH($A858,vdata_regressors!$A$2:$A$2000,0)+1,MATCH(G$2,vdata_regressors!$A$1:$R$1,0)),"")</f>
        <v/>
      </c>
      <c r="H858" s="23" t="str">
        <f>IFERROR(INDEX(vdata_regressors!$A$1:$L$2000,MATCH($A858,vdata_regressors!$A$2:$A$2000,0)+1,MATCH(H$2,vdata_regressors!$A$1:$R$1,0)),"")</f>
        <v/>
      </c>
      <c r="I858" s="23" t="str">
        <f>IFERROR(INDEX(vdata_regressors!$A$1:$L$2000,MATCH($A858,vdata_regressors!$A$2:$A$2000,0)+1,MATCH(I$2,vdata_regressors!$A$1:$R$1,0)),"")</f>
        <v/>
      </c>
      <c r="J858" s="23" t="str">
        <f>IFERROR(INDEX(vdata_regressors!$A$1:$L$2000,MATCH($A858,vdata_regressors!$A$2:$A$2000,0)+1,MATCH(J$2,vdata_regressors!$A$1:$R$1,0)),"")</f>
        <v/>
      </c>
      <c r="K858" s="23" t="str">
        <f>IFERROR(INDEX(vdata_regressors!$A$1:$L$2000,MATCH($A858,vdata_regressors!$A$2:$A$2000,0)+1,MATCH(K$2,vdata_regressors!$A$1:$R$1,0)),"")</f>
        <v/>
      </c>
      <c r="L858" s="23" t="str">
        <f>IFERROR(INDEX(vdata_regressors!$A$1:$L$2000,MATCH($A858,vdata_regressors!$A$2:$A$2000,0)+1,MATCH(L$2,vdata_regressors!$A$1:$R$1,0)),"")</f>
        <v/>
      </c>
      <c r="M858" s="23" t="str">
        <f>IFERROR(VLOOKUP(A858,vdata_hours!$A$2:$B$1000,2,FALSE),"")</f>
        <v/>
      </c>
    </row>
    <row r="859" spans="1:13" x14ac:dyDescent="0.25">
      <c r="A859" s="23" t="str">
        <f>IF(vdata_hours!A858=0,"",vdata_hours!A858)</f>
        <v/>
      </c>
      <c r="B859" s="23" t="str">
        <f>IFERROR(INDEX(vdata_regressors!$A$1:$L$2000,MATCH($A859,vdata_regressors!$A$2:$A$2000,0)+1,MATCH(B$2,vdata_regressors!$A$1:$R$1,0)),"")</f>
        <v/>
      </c>
      <c r="C859" s="23" t="str">
        <f>IFERROR(INDEX(vdata_regressors!$A$1:$L$2000,MATCH($A859,vdata_regressors!$A$2:$A$2000,0)+1,MATCH(C$2,vdata_regressors!$A$1:$R$1,0)),"")</f>
        <v/>
      </c>
      <c r="D859" s="23" t="str">
        <f>IFERROR(INDEX(vdata_regressors!$A$1:$L$2000,MATCH($A859,vdata_regressors!$A$2:$A$2000,0)+1,MATCH(D$2,vdata_regressors!$A$1:$R$1,0)),"")</f>
        <v/>
      </c>
      <c r="E859" s="23" t="str">
        <f>IFERROR(INDEX(vdata_regressors!$A$1:$L$2000,MATCH($A859,vdata_regressors!$A$2:$A$2000,0)+1,MATCH(E$2,vdata_regressors!$A$1:$R$1,0)),"")</f>
        <v/>
      </c>
      <c r="F859" s="23" t="str">
        <f>IFERROR(INDEX(vdata_regressors!$A$1:$L$2000,MATCH($A859,vdata_regressors!$A$2:$A$2000,0)+1,MATCH(F$2,vdata_regressors!$A$1:$R$1,0)),"")</f>
        <v/>
      </c>
      <c r="G859" s="23" t="str">
        <f>IFERROR(INDEX(vdata_regressors!$A$1:$L$2000,MATCH($A859,vdata_regressors!$A$2:$A$2000,0)+1,MATCH(G$2,vdata_regressors!$A$1:$R$1,0)),"")</f>
        <v/>
      </c>
      <c r="H859" s="23" t="str">
        <f>IFERROR(INDEX(vdata_regressors!$A$1:$L$2000,MATCH($A859,vdata_regressors!$A$2:$A$2000,0)+1,MATCH(H$2,vdata_regressors!$A$1:$R$1,0)),"")</f>
        <v/>
      </c>
      <c r="I859" s="23" t="str">
        <f>IFERROR(INDEX(vdata_regressors!$A$1:$L$2000,MATCH($A859,vdata_regressors!$A$2:$A$2000,0)+1,MATCH(I$2,vdata_regressors!$A$1:$R$1,0)),"")</f>
        <v/>
      </c>
      <c r="J859" s="23" t="str">
        <f>IFERROR(INDEX(vdata_regressors!$A$1:$L$2000,MATCH($A859,vdata_regressors!$A$2:$A$2000,0)+1,MATCH(J$2,vdata_regressors!$A$1:$R$1,0)),"")</f>
        <v/>
      </c>
      <c r="K859" s="23" t="str">
        <f>IFERROR(INDEX(vdata_regressors!$A$1:$L$2000,MATCH($A859,vdata_regressors!$A$2:$A$2000,0)+1,MATCH(K$2,vdata_regressors!$A$1:$R$1,0)),"")</f>
        <v/>
      </c>
      <c r="L859" s="23" t="str">
        <f>IFERROR(INDEX(vdata_regressors!$A$1:$L$2000,MATCH($A859,vdata_regressors!$A$2:$A$2000,0)+1,MATCH(L$2,vdata_regressors!$A$1:$R$1,0)),"")</f>
        <v/>
      </c>
      <c r="M859" s="23" t="str">
        <f>IFERROR(VLOOKUP(A859,vdata_hours!$A$2:$B$1000,2,FALSE),"")</f>
        <v/>
      </c>
    </row>
    <row r="860" spans="1:13" x14ac:dyDescent="0.25">
      <c r="A860" s="23" t="str">
        <f>IF(vdata_hours!A859=0,"",vdata_hours!A859)</f>
        <v/>
      </c>
      <c r="B860" s="23" t="str">
        <f>IFERROR(INDEX(vdata_regressors!$A$1:$L$2000,MATCH($A860,vdata_regressors!$A$2:$A$2000,0)+1,MATCH(B$2,vdata_regressors!$A$1:$R$1,0)),"")</f>
        <v/>
      </c>
      <c r="C860" s="23" t="str">
        <f>IFERROR(INDEX(vdata_regressors!$A$1:$L$2000,MATCH($A860,vdata_regressors!$A$2:$A$2000,0)+1,MATCH(C$2,vdata_regressors!$A$1:$R$1,0)),"")</f>
        <v/>
      </c>
      <c r="D860" s="23" t="str">
        <f>IFERROR(INDEX(vdata_regressors!$A$1:$L$2000,MATCH($A860,vdata_regressors!$A$2:$A$2000,0)+1,MATCH(D$2,vdata_regressors!$A$1:$R$1,0)),"")</f>
        <v/>
      </c>
      <c r="E860" s="23" t="str">
        <f>IFERROR(INDEX(vdata_regressors!$A$1:$L$2000,MATCH($A860,vdata_regressors!$A$2:$A$2000,0)+1,MATCH(E$2,vdata_regressors!$A$1:$R$1,0)),"")</f>
        <v/>
      </c>
      <c r="F860" s="23" t="str">
        <f>IFERROR(INDEX(vdata_regressors!$A$1:$L$2000,MATCH($A860,vdata_regressors!$A$2:$A$2000,0)+1,MATCH(F$2,vdata_regressors!$A$1:$R$1,0)),"")</f>
        <v/>
      </c>
      <c r="G860" s="23" t="str">
        <f>IFERROR(INDEX(vdata_regressors!$A$1:$L$2000,MATCH($A860,vdata_regressors!$A$2:$A$2000,0)+1,MATCH(G$2,vdata_regressors!$A$1:$R$1,0)),"")</f>
        <v/>
      </c>
      <c r="H860" s="23" t="str">
        <f>IFERROR(INDEX(vdata_regressors!$A$1:$L$2000,MATCH($A860,vdata_regressors!$A$2:$A$2000,0)+1,MATCH(H$2,vdata_regressors!$A$1:$R$1,0)),"")</f>
        <v/>
      </c>
      <c r="I860" s="23" t="str">
        <f>IFERROR(INDEX(vdata_regressors!$A$1:$L$2000,MATCH($A860,vdata_regressors!$A$2:$A$2000,0)+1,MATCH(I$2,vdata_regressors!$A$1:$R$1,0)),"")</f>
        <v/>
      </c>
      <c r="J860" s="23" t="str">
        <f>IFERROR(INDEX(vdata_regressors!$A$1:$L$2000,MATCH($A860,vdata_regressors!$A$2:$A$2000,0)+1,MATCH(J$2,vdata_regressors!$A$1:$R$1,0)),"")</f>
        <v/>
      </c>
      <c r="K860" s="23" t="str">
        <f>IFERROR(INDEX(vdata_regressors!$A$1:$L$2000,MATCH($A860,vdata_regressors!$A$2:$A$2000,0)+1,MATCH(K$2,vdata_regressors!$A$1:$R$1,0)),"")</f>
        <v/>
      </c>
      <c r="L860" s="23" t="str">
        <f>IFERROR(INDEX(vdata_regressors!$A$1:$L$2000,MATCH($A860,vdata_regressors!$A$2:$A$2000,0)+1,MATCH(L$2,vdata_regressors!$A$1:$R$1,0)),"")</f>
        <v/>
      </c>
      <c r="M860" s="23" t="str">
        <f>IFERROR(VLOOKUP(A860,vdata_hours!$A$2:$B$1000,2,FALSE),"")</f>
        <v/>
      </c>
    </row>
    <row r="861" spans="1:13" x14ac:dyDescent="0.25">
      <c r="A861" s="23" t="str">
        <f>IF(vdata_hours!A860=0,"",vdata_hours!A860)</f>
        <v/>
      </c>
      <c r="B861" s="23" t="str">
        <f>IFERROR(INDEX(vdata_regressors!$A$1:$L$2000,MATCH($A861,vdata_regressors!$A$2:$A$2000,0)+1,MATCH(B$2,vdata_regressors!$A$1:$R$1,0)),"")</f>
        <v/>
      </c>
      <c r="C861" s="23" t="str">
        <f>IFERROR(INDEX(vdata_regressors!$A$1:$L$2000,MATCH($A861,vdata_regressors!$A$2:$A$2000,0)+1,MATCH(C$2,vdata_regressors!$A$1:$R$1,0)),"")</f>
        <v/>
      </c>
      <c r="D861" s="23" t="str">
        <f>IFERROR(INDEX(vdata_regressors!$A$1:$L$2000,MATCH($A861,vdata_regressors!$A$2:$A$2000,0)+1,MATCH(D$2,vdata_regressors!$A$1:$R$1,0)),"")</f>
        <v/>
      </c>
      <c r="E861" s="23" t="str">
        <f>IFERROR(INDEX(vdata_regressors!$A$1:$L$2000,MATCH($A861,vdata_regressors!$A$2:$A$2000,0)+1,MATCH(E$2,vdata_regressors!$A$1:$R$1,0)),"")</f>
        <v/>
      </c>
      <c r="F861" s="23" t="str">
        <f>IFERROR(INDEX(vdata_regressors!$A$1:$L$2000,MATCH($A861,vdata_regressors!$A$2:$A$2000,0)+1,MATCH(F$2,vdata_regressors!$A$1:$R$1,0)),"")</f>
        <v/>
      </c>
      <c r="G861" s="23" t="str">
        <f>IFERROR(INDEX(vdata_regressors!$A$1:$L$2000,MATCH($A861,vdata_regressors!$A$2:$A$2000,0)+1,MATCH(G$2,vdata_regressors!$A$1:$R$1,0)),"")</f>
        <v/>
      </c>
      <c r="H861" s="23" t="str">
        <f>IFERROR(INDEX(vdata_regressors!$A$1:$L$2000,MATCH($A861,vdata_regressors!$A$2:$A$2000,0)+1,MATCH(H$2,vdata_regressors!$A$1:$R$1,0)),"")</f>
        <v/>
      </c>
      <c r="I861" s="23" t="str">
        <f>IFERROR(INDEX(vdata_regressors!$A$1:$L$2000,MATCH($A861,vdata_regressors!$A$2:$A$2000,0)+1,MATCH(I$2,vdata_regressors!$A$1:$R$1,0)),"")</f>
        <v/>
      </c>
      <c r="J861" s="23" t="str">
        <f>IFERROR(INDEX(vdata_regressors!$A$1:$L$2000,MATCH($A861,vdata_regressors!$A$2:$A$2000,0)+1,MATCH(J$2,vdata_regressors!$A$1:$R$1,0)),"")</f>
        <v/>
      </c>
      <c r="K861" s="23" t="str">
        <f>IFERROR(INDEX(vdata_regressors!$A$1:$L$2000,MATCH($A861,vdata_regressors!$A$2:$A$2000,0)+1,MATCH(K$2,vdata_regressors!$A$1:$R$1,0)),"")</f>
        <v/>
      </c>
      <c r="L861" s="23" t="str">
        <f>IFERROR(INDEX(vdata_regressors!$A$1:$L$2000,MATCH($A861,vdata_regressors!$A$2:$A$2000,0)+1,MATCH(L$2,vdata_regressors!$A$1:$R$1,0)),"")</f>
        <v/>
      </c>
      <c r="M861" s="23" t="str">
        <f>IFERROR(VLOOKUP(A861,vdata_hours!$A$2:$B$1000,2,FALSE),"")</f>
        <v/>
      </c>
    </row>
    <row r="862" spans="1:13" x14ac:dyDescent="0.25">
      <c r="A862" s="23" t="str">
        <f>IF(vdata_hours!A861=0,"",vdata_hours!A861)</f>
        <v/>
      </c>
      <c r="B862" s="23" t="str">
        <f>IFERROR(INDEX(vdata_regressors!$A$1:$L$2000,MATCH($A862,vdata_regressors!$A$2:$A$2000,0)+1,MATCH(B$2,vdata_regressors!$A$1:$R$1,0)),"")</f>
        <v/>
      </c>
      <c r="C862" s="23" t="str">
        <f>IFERROR(INDEX(vdata_regressors!$A$1:$L$2000,MATCH($A862,vdata_regressors!$A$2:$A$2000,0)+1,MATCH(C$2,vdata_regressors!$A$1:$R$1,0)),"")</f>
        <v/>
      </c>
      <c r="D862" s="23" t="str">
        <f>IFERROR(INDEX(vdata_regressors!$A$1:$L$2000,MATCH($A862,vdata_regressors!$A$2:$A$2000,0)+1,MATCH(D$2,vdata_regressors!$A$1:$R$1,0)),"")</f>
        <v/>
      </c>
      <c r="E862" s="23" t="str">
        <f>IFERROR(INDEX(vdata_regressors!$A$1:$L$2000,MATCH($A862,vdata_regressors!$A$2:$A$2000,0)+1,MATCH(E$2,vdata_regressors!$A$1:$R$1,0)),"")</f>
        <v/>
      </c>
      <c r="F862" s="23" t="str">
        <f>IFERROR(INDEX(vdata_regressors!$A$1:$L$2000,MATCH($A862,vdata_regressors!$A$2:$A$2000,0)+1,MATCH(F$2,vdata_regressors!$A$1:$R$1,0)),"")</f>
        <v/>
      </c>
      <c r="G862" s="23" t="str">
        <f>IFERROR(INDEX(vdata_regressors!$A$1:$L$2000,MATCH($A862,vdata_regressors!$A$2:$A$2000,0)+1,MATCH(G$2,vdata_regressors!$A$1:$R$1,0)),"")</f>
        <v/>
      </c>
      <c r="H862" s="23" t="str">
        <f>IFERROR(INDEX(vdata_regressors!$A$1:$L$2000,MATCH($A862,vdata_regressors!$A$2:$A$2000,0)+1,MATCH(H$2,vdata_regressors!$A$1:$R$1,0)),"")</f>
        <v/>
      </c>
      <c r="I862" s="23" t="str">
        <f>IFERROR(INDEX(vdata_regressors!$A$1:$L$2000,MATCH($A862,vdata_regressors!$A$2:$A$2000,0)+1,MATCH(I$2,vdata_regressors!$A$1:$R$1,0)),"")</f>
        <v/>
      </c>
      <c r="J862" s="23" t="str">
        <f>IFERROR(INDEX(vdata_regressors!$A$1:$L$2000,MATCH($A862,vdata_regressors!$A$2:$A$2000,0)+1,MATCH(J$2,vdata_regressors!$A$1:$R$1,0)),"")</f>
        <v/>
      </c>
      <c r="K862" s="23" t="str">
        <f>IFERROR(INDEX(vdata_regressors!$A$1:$L$2000,MATCH($A862,vdata_regressors!$A$2:$A$2000,0)+1,MATCH(K$2,vdata_regressors!$A$1:$R$1,0)),"")</f>
        <v/>
      </c>
      <c r="L862" s="23" t="str">
        <f>IFERROR(INDEX(vdata_regressors!$A$1:$L$2000,MATCH($A862,vdata_regressors!$A$2:$A$2000,0)+1,MATCH(L$2,vdata_regressors!$A$1:$R$1,0)),"")</f>
        <v/>
      </c>
      <c r="M862" s="23" t="str">
        <f>IFERROR(VLOOKUP(A862,vdata_hours!$A$2:$B$1000,2,FALSE),"")</f>
        <v/>
      </c>
    </row>
    <row r="863" spans="1:13" x14ac:dyDescent="0.25">
      <c r="A863" s="23" t="str">
        <f>IF(vdata_hours!A862=0,"",vdata_hours!A862)</f>
        <v/>
      </c>
      <c r="B863" s="23" t="str">
        <f>IFERROR(INDEX(vdata_regressors!$A$1:$L$2000,MATCH($A863,vdata_regressors!$A$2:$A$2000,0)+1,MATCH(B$2,vdata_regressors!$A$1:$R$1,0)),"")</f>
        <v/>
      </c>
      <c r="C863" s="23" t="str">
        <f>IFERROR(INDEX(vdata_regressors!$A$1:$L$2000,MATCH($A863,vdata_regressors!$A$2:$A$2000,0)+1,MATCH(C$2,vdata_regressors!$A$1:$R$1,0)),"")</f>
        <v/>
      </c>
      <c r="D863" s="23" t="str">
        <f>IFERROR(INDEX(vdata_regressors!$A$1:$L$2000,MATCH($A863,vdata_regressors!$A$2:$A$2000,0)+1,MATCH(D$2,vdata_regressors!$A$1:$R$1,0)),"")</f>
        <v/>
      </c>
      <c r="E863" s="23" t="str">
        <f>IFERROR(INDEX(vdata_regressors!$A$1:$L$2000,MATCH($A863,vdata_regressors!$A$2:$A$2000,0)+1,MATCH(E$2,vdata_regressors!$A$1:$R$1,0)),"")</f>
        <v/>
      </c>
      <c r="F863" s="23" t="str">
        <f>IFERROR(INDEX(vdata_regressors!$A$1:$L$2000,MATCH($A863,vdata_regressors!$A$2:$A$2000,0)+1,MATCH(F$2,vdata_regressors!$A$1:$R$1,0)),"")</f>
        <v/>
      </c>
      <c r="G863" s="23" t="str">
        <f>IFERROR(INDEX(vdata_regressors!$A$1:$L$2000,MATCH($A863,vdata_regressors!$A$2:$A$2000,0)+1,MATCH(G$2,vdata_regressors!$A$1:$R$1,0)),"")</f>
        <v/>
      </c>
      <c r="H863" s="23" t="str">
        <f>IFERROR(INDEX(vdata_regressors!$A$1:$L$2000,MATCH($A863,vdata_regressors!$A$2:$A$2000,0)+1,MATCH(H$2,vdata_regressors!$A$1:$R$1,0)),"")</f>
        <v/>
      </c>
      <c r="I863" s="23" t="str">
        <f>IFERROR(INDEX(vdata_regressors!$A$1:$L$2000,MATCH($A863,vdata_regressors!$A$2:$A$2000,0)+1,MATCH(I$2,vdata_regressors!$A$1:$R$1,0)),"")</f>
        <v/>
      </c>
      <c r="J863" s="23" t="str">
        <f>IFERROR(INDEX(vdata_regressors!$A$1:$L$2000,MATCH($A863,vdata_regressors!$A$2:$A$2000,0)+1,MATCH(J$2,vdata_regressors!$A$1:$R$1,0)),"")</f>
        <v/>
      </c>
      <c r="K863" s="23" t="str">
        <f>IFERROR(INDEX(vdata_regressors!$A$1:$L$2000,MATCH($A863,vdata_regressors!$A$2:$A$2000,0)+1,MATCH(K$2,vdata_regressors!$A$1:$R$1,0)),"")</f>
        <v/>
      </c>
      <c r="L863" s="23" t="str">
        <f>IFERROR(INDEX(vdata_regressors!$A$1:$L$2000,MATCH($A863,vdata_regressors!$A$2:$A$2000,0)+1,MATCH(L$2,vdata_regressors!$A$1:$R$1,0)),"")</f>
        <v/>
      </c>
      <c r="M863" s="23" t="str">
        <f>IFERROR(VLOOKUP(A863,vdata_hours!$A$2:$B$1000,2,FALSE),"")</f>
        <v/>
      </c>
    </row>
    <row r="864" spans="1:13" x14ac:dyDescent="0.25">
      <c r="A864" s="23" t="str">
        <f>IF(vdata_hours!A863=0,"",vdata_hours!A863)</f>
        <v/>
      </c>
      <c r="B864" s="23" t="str">
        <f>IFERROR(INDEX(vdata_regressors!$A$1:$L$2000,MATCH($A864,vdata_regressors!$A$2:$A$2000,0)+1,MATCH(B$2,vdata_regressors!$A$1:$R$1,0)),"")</f>
        <v/>
      </c>
      <c r="C864" s="23" t="str">
        <f>IFERROR(INDEX(vdata_regressors!$A$1:$L$2000,MATCH($A864,vdata_regressors!$A$2:$A$2000,0)+1,MATCH(C$2,vdata_regressors!$A$1:$R$1,0)),"")</f>
        <v/>
      </c>
      <c r="D864" s="23" t="str">
        <f>IFERROR(INDEX(vdata_regressors!$A$1:$L$2000,MATCH($A864,vdata_regressors!$A$2:$A$2000,0)+1,MATCH(D$2,vdata_regressors!$A$1:$R$1,0)),"")</f>
        <v/>
      </c>
      <c r="E864" s="23" t="str">
        <f>IFERROR(INDEX(vdata_regressors!$A$1:$L$2000,MATCH($A864,vdata_regressors!$A$2:$A$2000,0)+1,MATCH(E$2,vdata_regressors!$A$1:$R$1,0)),"")</f>
        <v/>
      </c>
      <c r="F864" s="23" t="str">
        <f>IFERROR(INDEX(vdata_regressors!$A$1:$L$2000,MATCH($A864,vdata_regressors!$A$2:$A$2000,0)+1,MATCH(F$2,vdata_regressors!$A$1:$R$1,0)),"")</f>
        <v/>
      </c>
      <c r="G864" s="23" t="str">
        <f>IFERROR(INDEX(vdata_regressors!$A$1:$L$2000,MATCH($A864,vdata_regressors!$A$2:$A$2000,0)+1,MATCH(G$2,vdata_regressors!$A$1:$R$1,0)),"")</f>
        <v/>
      </c>
      <c r="H864" s="23" t="str">
        <f>IFERROR(INDEX(vdata_regressors!$A$1:$L$2000,MATCH($A864,vdata_regressors!$A$2:$A$2000,0)+1,MATCH(H$2,vdata_regressors!$A$1:$R$1,0)),"")</f>
        <v/>
      </c>
      <c r="I864" s="23" t="str">
        <f>IFERROR(INDEX(vdata_regressors!$A$1:$L$2000,MATCH($A864,vdata_regressors!$A$2:$A$2000,0)+1,MATCH(I$2,vdata_regressors!$A$1:$R$1,0)),"")</f>
        <v/>
      </c>
      <c r="J864" s="23" t="str">
        <f>IFERROR(INDEX(vdata_regressors!$A$1:$L$2000,MATCH($A864,vdata_regressors!$A$2:$A$2000,0)+1,MATCH(J$2,vdata_regressors!$A$1:$R$1,0)),"")</f>
        <v/>
      </c>
      <c r="K864" s="23" t="str">
        <f>IFERROR(INDEX(vdata_regressors!$A$1:$L$2000,MATCH($A864,vdata_regressors!$A$2:$A$2000,0)+1,MATCH(K$2,vdata_regressors!$A$1:$R$1,0)),"")</f>
        <v/>
      </c>
      <c r="L864" s="23" t="str">
        <f>IFERROR(INDEX(vdata_regressors!$A$1:$L$2000,MATCH($A864,vdata_regressors!$A$2:$A$2000,0)+1,MATCH(L$2,vdata_regressors!$A$1:$R$1,0)),"")</f>
        <v/>
      </c>
      <c r="M864" s="23" t="str">
        <f>IFERROR(VLOOKUP(A864,vdata_hours!$A$2:$B$1000,2,FALSE),"")</f>
        <v/>
      </c>
    </row>
    <row r="865" spans="1:13" x14ac:dyDescent="0.25">
      <c r="A865" s="23" t="str">
        <f>IF(vdata_hours!A864=0,"",vdata_hours!A864)</f>
        <v/>
      </c>
      <c r="B865" s="23" t="str">
        <f>IFERROR(INDEX(vdata_regressors!$A$1:$L$2000,MATCH($A865,vdata_regressors!$A$2:$A$2000,0)+1,MATCH(B$2,vdata_regressors!$A$1:$R$1,0)),"")</f>
        <v/>
      </c>
      <c r="C865" s="23" t="str">
        <f>IFERROR(INDEX(vdata_regressors!$A$1:$L$2000,MATCH($A865,vdata_regressors!$A$2:$A$2000,0)+1,MATCH(C$2,vdata_regressors!$A$1:$R$1,0)),"")</f>
        <v/>
      </c>
      <c r="D865" s="23" t="str">
        <f>IFERROR(INDEX(vdata_regressors!$A$1:$L$2000,MATCH($A865,vdata_regressors!$A$2:$A$2000,0)+1,MATCH(D$2,vdata_regressors!$A$1:$R$1,0)),"")</f>
        <v/>
      </c>
      <c r="E865" s="23" t="str">
        <f>IFERROR(INDEX(vdata_regressors!$A$1:$L$2000,MATCH($A865,vdata_regressors!$A$2:$A$2000,0)+1,MATCH(E$2,vdata_regressors!$A$1:$R$1,0)),"")</f>
        <v/>
      </c>
      <c r="F865" s="23" t="str">
        <f>IFERROR(INDEX(vdata_regressors!$A$1:$L$2000,MATCH($A865,vdata_regressors!$A$2:$A$2000,0)+1,MATCH(F$2,vdata_regressors!$A$1:$R$1,0)),"")</f>
        <v/>
      </c>
      <c r="G865" s="23" t="str">
        <f>IFERROR(INDEX(vdata_regressors!$A$1:$L$2000,MATCH($A865,vdata_regressors!$A$2:$A$2000,0)+1,MATCH(G$2,vdata_regressors!$A$1:$R$1,0)),"")</f>
        <v/>
      </c>
      <c r="H865" s="23" t="str">
        <f>IFERROR(INDEX(vdata_regressors!$A$1:$L$2000,MATCH($A865,vdata_regressors!$A$2:$A$2000,0)+1,MATCH(H$2,vdata_regressors!$A$1:$R$1,0)),"")</f>
        <v/>
      </c>
      <c r="I865" s="23" t="str">
        <f>IFERROR(INDEX(vdata_regressors!$A$1:$L$2000,MATCH($A865,vdata_regressors!$A$2:$A$2000,0)+1,MATCH(I$2,vdata_regressors!$A$1:$R$1,0)),"")</f>
        <v/>
      </c>
      <c r="J865" s="23" t="str">
        <f>IFERROR(INDEX(vdata_regressors!$A$1:$L$2000,MATCH($A865,vdata_regressors!$A$2:$A$2000,0)+1,MATCH(J$2,vdata_regressors!$A$1:$R$1,0)),"")</f>
        <v/>
      </c>
      <c r="K865" s="23" t="str">
        <f>IFERROR(INDEX(vdata_regressors!$A$1:$L$2000,MATCH($A865,vdata_regressors!$A$2:$A$2000,0)+1,MATCH(K$2,vdata_regressors!$A$1:$R$1,0)),"")</f>
        <v/>
      </c>
      <c r="L865" s="23" t="str">
        <f>IFERROR(INDEX(vdata_regressors!$A$1:$L$2000,MATCH($A865,vdata_regressors!$A$2:$A$2000,0)+1,MATCH(L$2,vdata_regressors!$A$1:$R$1,0)),"")</f>
        <v/>
      </c>
      <c r="M865" s="23" t="str">
        <f>IFERROR(VLOOKUP(A865,vdata_hours!$A$2:$B$1000,2,FALSE),"")</f>
        <v/>
      </c>
    </row>
    <row r="866" spans="1:13" x14ac:dyDescent="0.25">
      <c r="A866" s="23" t="str">
        <f>IF(vdata_hours!A865=0,"",vdata_hours!A865)</f>
        <v/>
      </c>
      <c r="B866" s="23" t="str">
        <f>IFERROR(INDEX(vdata_regressors!$A$1:$L$2000,MATCH($A866,vdata_regressors!$A$2:$A$2000,0)+1,MATCH(B$2,vdata_regressors!$A$1:$R$1,0)),"")</f>
        <v/>
      </c>
      <c r="C866" s="23" t="str">
        <f>IFERROR(INDEX(vdata_regressors!$A$1:$L$2000,MATCH($A866,vdata_regressors!$A$2:$A$2000,0)+1,MATCH(C$2,vdata_regressors!$A$1:$R$1,0)),"")</f>
        <v/>
      </c>
      <c r="D866" s="23" t="str">
        <f>IFERROR(INDEX(vdata_regressors!$A$1:$L$2000,MATCH($A866,vdata_regressors!$A$2:$A$2000,0)+1,MATCH(D$2,vdata_regressors!$A$1:$R$1,0)),"")</f>
        <v/>
      </c>
      <c r="E866" s="23" t="str">
        <f>IFERROR(INDEX(vdata_regressors!$A$1:$L$2000,MATCH($A866,vdata_regressors!$A$2:$A$2000,0)+1,MATCH(E$2,vdata_regressors!$A$1:$R$1,0)),"")</f>
        <v/>
      </c>
      <c r="F866" s="23" t="str">
        <f>IFERROR(INDEX(vdata_regressors!$A$1:$L$2000,MATCH($A866,vdata_regressors!$A$2:$A$2000,0)+1,MATCH(F$2,vdata_regressors!$A$1:$R$1,0)),"")</f>
        <v/>
      </c>
      <c r="G866" s="23" t="str">
        <f>IFERROR(INDEX(vdata_regressors!$A$1:$L$2000,MATCH($A866,vdata_regressors!$A$2:$A$2000,0)+1,MATCH(G$2,vdata_regressors!$A$1:$R$1,0)),"")</f>
        <v/>
      </c>
      <c r="H866" s="23" t="str">
        <f>IFERROR(INDEX(vdata_regressors!$A$1:$L$2000,MATCH($A866,vdata_regressors!$A$2:$A$2000,0)+1,MATCH(H$2,vdata_regressors!$A$1:$R$1,0)),"")</f>
        <v/>
      </c>
      <c r="I866" s="23" t="str">
        <f>IFERROR(INDEX(vdata_regressors!$A$1:$L$2000,MATCH($A866,vdata_regressors!$A$2:$A$2000,0)+1,MATCH(I$2,vdata_regressors!$A$1:$R$1,0)),"")</f>
        <v/>
      </c>
      <c r="J866" s="23" t="str">
        <f>IFERROR(INDEX(vdata_regressors!$A$1:$L$2000,MATCH($A866,vdata_regressors!$A$2:$A$2000,0)+1,MATCH(J$2,vdata_regressors!$A$1:$R$1,0)),"")</f>
        <v/>
      </c>
      <c r="K866" s="23" t="str">
        <f>IFERROR(INDEX(vdata_regressors!$A$1:$L$2000,MATCH($A866,vdata_regressors!$A$2:$A$2000,0)+1,MATCH(K$2,vdata_regressors!$A$1:$R$1,0)),"")</f>
        <v/>
      </c>
      <c r="L866" s="23" t="str">
        <f>IFERROR(INDEX(vdata_regressors!$A$1:$L$2000,MATCH($A866,vdata_regressors!$A$2:$A$2000,0)+1,MATCH(L$2,vdata_regressors!$A$1:$R$1,0)),"")</f>
        <v/>
      </c>
      <c r="M866" s="23" t="str">
        <f>IFERROR(VLOOKUP(A866,vdata_hours!$A$2:$B$1000,2,FALSE),"")</f>
        <v/>
      </c>
    </row>
    <row r="867" spans="1:13" x14ac:dyDescent="0.25">
      <c r="A867" s="23" t="str">
        <f>IF(vdata_hours!A866=0,"",vdata_hours!A866)</f>
        <v/>
      </c>
      <c r="B867" s="23" t="str">
        <f>IFERROR(INDEX(vdata_regressors!$A$1:$L$2000,MATCH($A867,vdata_regressors!$A$2:$A$2000,0)+1,MATCH(B$2,vdata_regressors!$A$1:$R$1,0)),"")</f>
        <v/>
      </c>
      <c r="C867" s="23" t="str">
        <f>IFERROR(INDEX(vdata_regressors!$A$1:$L$2000,MATCH($A867,vdata_regressors!$A$2:$A$2000,0)+1,MATCH(C$2,vdata_regressors!$A$1:$R$1,0)),"")</f>
        <v/>
      </c>
      <c r="D867" s="23" t="str">
        <f>IFERROR(INDEX(vdata_regressors!$A$1:$L$2000,MATCH($A867,vdata_regressors!$A$2:$A$2000,0)+1,MATCH(D$2,vdata_regressors!$A$1:$R$1,0)),"")</f>
        <v/>
      </c>
      <c r="E867" s="23" t="str">
        <f>IFERROR(INDEX(vdata_regressors!$A$1:$L$2000,MATCH($A867,vdata_regressors!$A$2:$A$2000,0)+1,MATCH(E$2,vdata_regressors!$A$1:$R$1,0)),"")</f>
        <v/>
      </c>
      <c r="F867" s="23" t="str">
        <f>IFERROR(INDEX(vdata_regressors!$A$1:$L$2000,MATCH($A867,vdata_regressors!$A$2:$A$2000,0)+1,MATCH(F$2,vdata_regressors!$A$1:$R$1,0)),"")</f>
        <v/>
      </c>
      <c r="G867" s="23" t="str">
        <f>IFERROR(INDEX(vdata_regressors!$A$1:$L$2000,MATCH($A867,vdata_regressors!$A$2:$A$2000,0)+1,MATCH(G$2,vdata_regressors!$A$1:$R$1,0)),"")</f>
        <v/>
      </c>
      <c r="H867" s="23" t="str">
        <f>IFERROR(INDEX(vdata_regressors!$A$1:$L$2000,MATCH($A867,vdata_regressors!$A$2:$A$2000,0)+1,MATCH(H$2,vdata_regressors!$A$1:$R$1,0)),"")</f>
        <v/>
      </c>
      <c r="I867" s="23" t="str">
        <f>IFERROR(INDEX(vdata_regressors!$A$1:$L$2000,MATCH($A867,vdata_regressors!$A$2:$A$2000,0)+1,MATCH(I$2,vdata_regressors!$A$1:$R$1,0)),"")</f>
        <v/>
      </c>
      <c r="J867" s="23" t="str">
        <f>IFERROR(INDEX(vdata_regressors!$A$1:$L$2000,MATCH($A867,vdata_regressors!$A$2:$A$2000,0)+1,MATCH(J$2,vdata_regressors!$A$1:$R$1,0)),"")</f>
        <v/>
      </c>
      <c r="K867" s="23" t="str">
        <f>IFERROR(INDEX(vdata_regressors!$A$1:$L$2000,MATCH($A867,vdata_regressors!$A$2:$A$2000,0)+1,MATCH(K$2,vdata_regressors!$A$1:$R$1,0)),"")</f>
        <v/>
      </c>
      <c r="L867" s="23" t="str">
        <f>IFERROR(INDEX(vdata_regressors!$A$1:$L$2000,MATCH($A867,vdata_regressors!$A$2:$A$2000,0)+1,MATCH(L$2,vdata_regressors!$A$1:$R$1,0)),"")</f>
        <v/>
      </c>
      <c r="M867" s="23" t="str">
        <f>IFERROR(VLOOKUP(A867,vdata_hours!$A$2:$B$1000,2,FALSE),"")</f>
        <v/>
      </c>
    </row>
    <row r="868" spans="1:13" x14ac:dyDescent="0.25">
      <c r="A868" s="23" t="str">
        <f>IF(vdata_hours!A867=0,"",vdata_hours!A867)</f>
        <v/>
      </c>
      <c r="B868" s="23" t="str">
        <f>IFERROR(INDEX(vdata_regressors!$A$1:$L$2000,MATCH($A868,vdata_regressors!$A$2:$A$2000,0)+1,MATCH(B$2,vdata_regressors!$A$1:$R$1,0)),"")</f>
        <v/>
      </c>
      <c r="C868" s="23" t="str">
        <f>IFERROR(INDEX(vdata_regressors!$A$1:$L$2000,MATCH($A868,vdata_regressors!$A$2:$A$2000,0)+1,MATCH(C$2,vdata_regressors!$A$1:$R$1,0)),"")</f>
        <v/>
      </c>
      <c r="D868" s="23" t="str">
        <f>IFERROR(INDEX(vdata_regressors!$A$1:$L$2000,MATCH($A868,vdata_regressors!$A$2:$A$2000,0)+1,MATCH(D$2,vdata_regressors!$A$1:$R$1,0)),"")</f>
        <v/>
      </c>
      <c r="E868" s="23" t="str">
        <f>IFERROR(INDEX(vdata_regressors!$A$1:$L$2000,MATCH($A868,vdata_regressors!$A$2:$A$2000,0)+1,MATCH(E$2,vdata_regressors!$A$1:$R$1,0)),"")</f>
        <v/>
      </c>
      <c r="F868" s="23" t="str">
        <f>IFERROR(INDEX(vdata_regressors!$A$1:$L$2000,MATCH($A868,vdata_regressors!$A$2:$A$2000,0)+1,MATCH(F$2,vdata_regressors!$A$1:$R$1,0)),"")</f>
        <v/>
      </c>
      <c r="G868" s="23" t="str">
        <f>IFERROR(INDEX(vdata_regressors!$A$1:$L$2000,MATCH($A868,vdata_regressors!$A$2:$A$2000,0)+1,MATCH(G$2,vdata_regressors!$A$1:$R$1,0)),"")</f>
        <v/>
      </c>
      <c r="H868" s="23" t="str">
        <f>IFERROR(INDEX(vdata_regressors!$A$1:$L$2000,MATCH($A868,vdata_regressors!$A$2:$A$2000,0)+1,MATCH(H$2,vdata_regressors!$A$1:$R$1,0)),"")</f>
        <v/>
      </c>
      <c r="I868" s="23" t="str">
        <f>IFERROR(INDEX(vdata_regressors!$A$1:$L$2000,MATCH($A868,vdata_regressors!$A$2:$A$2000,0)+1,MATCH(I$2,vdata_regressors!$A$1:$R$1,0)),"")</f>
        <v/>
      </c>
      <c r="J868" s="23" t="str">
        <f>IFERROR(INDEX(vdata_regressors!$A$1:$L$2000,MATCH($A868,vdata_regressors!$A$2:$A$2000,0)+1,MATCH(J$2,vdata_regressors!$A$1:$R$1,0)),"")</f>
        <v/>
      </c>
      <c r="K868" s="23" t="str">
        <f>IFERROR(INDEX(vdata_regressors!$A$1:$L$2000,MATCH($A868,vdata_regressors!$A$2:$A$2000,0)+1,MATCH(K$2,vdata_regressors!$A$1:$R$1,0)),"")</f>
        <v/>
      </c>
      <c r="L868" s="23" t="str">
        <f>IFERROR(INDEX(vdata_regressors!$A$1:$L$2000,MATCH($A868,vdata_regressors!$A$2:$A$2000,0)+1,MATCH(L$2,vdata_regressors!$A$1:$R$1,0)),"")</f>
        <v/>
      </c>
      <c r="M868" s="23" t="str">
        <f>IFERROR(VLOOKUP(A868,vdata_hours!$A$2:$B$1000,2,FALSE),"")</f>
        <v/>
      </c>
    </row>
    <row r="869" spans="1:13" x14ac:dyDescent="0.25">
      <c r="A869" s="23" t="str">
        <f>IF(vdata_hours!A868=0,"",vdata_hours!A868)</f>
        <v/>
      </c>
      <c r="B869" s="23" t="str">
        <f>IFERROR(INDEX(vdata_regressors!$A$1:$L$2000,MATCH($A869,vdata_regressors!$A$2:$A$2000,0)+1,MATCH(B$2,vdata_regressors!$A$1:$R$1,0)),"")</f>
        <v/>
      </c>
      <c r="C869" s="23" t="str">
        <f>IFERROR(INDEX(vdata_regressors!$A$1:$L$2000,MATCH($A869,vdata_regressors!$A$2:$A$2000,0)+1,MATCH(C$2,vdata_regressors!$A$1:$R$1,0)),"")</f>
        <v/>
      </c>
      <c r="D869" s="23" t="str">
        <f>IFERROR(INDEX(vdata_regressors!$A$1:$L$2000,MATCH($A869,vdata_regressors!$A$2:$A$2000,0)+1,MATCH(D$2,vdata_regressors!$A$1:$R$1,0)),"")</f>
        <v/>
      </c>
      <c r="E869" s="23" t="str">
        <f>IFERROR(INDEX(vdata_regressors!$A$1:$L$2000,MATCH($A869,vdata_regressors!$A$2:$A$2000,0)+1,MATCH(E$2,vdata_regressors!$A$1:$R$1,0)),"")</f>
        <v/>
      </c>
      <c r="F869" s="23" t="str">
        <f>IFERROR(INDEX(vdata_regressors!$A$1:$L$2000,MATCH($A869,vdata_regressors!$A$2:$A$2000,0)+1,MATCH(F$2,vdata_regressors!$A$1:$R$1,0)),"")</f>
        <v/>
      </c>
      <c r="G869" s="23" t="str">
        <f>IFERROR(INDEX(vdata_regressors!$A$1:$L$2000,MATCH($A869,vdata_regressors!$A$2:$A$2000,0)+1,MATCH(G$2,vdata_regressors!$A$1:$R$1,0)),"")</f>
        <v/>
      </c>
      <c r="H869" s="23" t="str">
        <f>IFERROR(INDEX(vdata_regressors!$A$1:$L$2000,MATCH($A869,vdata_regressors!$A$2:$A$2000,0)+1,MATCH(H$2,vdata_regressors!$A$1:$R$1,0)),"")</f>
        <v/>
      </c>
      <c r="I869" s="23" t="str">
        <f>IFERROR(INDEX(vdata_regressors!$A$1:$L$2000,MATCH($A869,vdata_regressors!$A$2:$A$2000,0)+1,MATCH(I$2,vdata_regressors!$A$1:$R$1,0)),"")</f>
        <v/>
      </c>
      <c r="J869" s="23" t="str">
        <f>IFERROR(INDEX(vdata_regressors!$A$1:$L$2000,MATCH($A869,vdata_regressors!$A$2:$A$2000,0)+1,MATCH(J$2,vdata_regressors!$A$1:$R$1,0)),"")</f>
        <v/>
      </c>
      <c r="K869" s="23" t="str">
        <f>IFERROR(INDEX(vdata_regressors!$A$1:$L$2000,MATCH($A869,vdata_regressors!$A$2:$A$2000,0)+1,MATCH(K$2,vdata_regressors!$A$1:$R$1,0)),"")</f>
        <v/>
      </c>
      <c r="L869" s="23" t="str">
        <f>IFERROR(INDEX(vdata_regressors!$A$1:$L$2000,MATCH($A869,vdata_regressors!$A$2:$A$2000,0)+1,MATCH(L$2,vdata_regressors!$A$1:$R$1,0)),"")</f>
        <v/>
      </c>
      <c r="M869" s="23" t="str">
        <f>IFERROR(VLOOKUP(A869,vdata_hours!$A$2:$B$1000,2,FALSE),"")</f>
        <v/>
      </c>
    </row>
    <row r="870" spans="1:13" x14ac:dyDescent="0.25">
      <c r="A870" s="23" t="str">
        <f>IF(vdata_hours!A869=0,"",vdata_hours!A869)</f>
        <v/>
      </c>
      <c r="B870" s="23" t="str">
        <f>IFERROR(INDEX(vdata_regressors!$A$1:$L$2000,MATCH($A870,vdata_regressors!$A$2:$A$2000,0)+1,MATCH(B$2,vdata_regressors!$A$1:$R$1,0)),"")</f>
        <v/>
      </c>
      <c r="C870" s="23" t="str">
        <f>IFERROR(INDEX(vdata_regressors!$A$1:$L$2000,MATCH($A870,vdata_regressors!$A$2:$A$2000,0)+1,MATCH(C$2,vdata_regressors!$A$1:$R$1,0)),"")</f>
        <v/>
      </c>
      <c r="D870" s="23" t="str">
        <f>IFERROR(INDEX(vdata_regressors!$A$1:$L$2000,MATCH($A870,vdata_regressors!$A$2:$A$2000,0)+1,MATCH(D$2,vdata_regressors!$A$1:$R$1,0)),"")</f>
        <v/>
      </c>
      <c r="E870" s="23" t="str">
        <f>IFERROR(INDEX(vdata_regressors!$A$1:$L$2000,MATCH($A870,vdata_regressors!$A$2:$A$2000,0)+1,MATCH(E$2,vdata_regressors!$A$1:$R$1,0)),"")</f>
        <v/>
      </c>
      <c r="F870" s="23" t="str">
        <f>IFERROR(INDEX(vdata_regressors!$A$1:$L$2000,MATCH($A870,vdata_regressors!$A$2:$A$2000,0)+1,MATCH(F$2,vdata_regressors!$A$1:$R$1,0)),"")</f>
        <v/>
      </c>
      <c r="G870" s="23" t="str">
        <f>IFERROR(INDEX(vdata_regressors!$A$1:$L$2000,MATCH($A870,vdata_regressors!$A$2:$A$2000,0)+1,MATCH(G$2,vdata_regressors!$A$1:$R$1,0)),"")</f>
        <v/>
      </c>
      <c r="H870" s="23" t="str">
        <f>IFERROR(INDEX(vdata_regressors!$A$1:$L$2000,MATCH($A870,vdata_regressors!$A$2:$A$2000,0)+1,MATCH(H$2,vdata_regressors!$A$1:$R$1,0)),"")</f>
        <v/>
      </c>
      <c r="I870" s="23" t="str">
        <f>IFERROR(INDEX(vdata_regressors!$A$1:$L$2000,MATCH($A870,vdata_regressors!$A$2:$A$2000,0)+1,MATCH(I$2,vdata_regressors!$A$1:$R$1,0)),"")</f>
        <v/>
      </c>
      <c r="J870" s="23" t="str">
        <f>IFERROR(INDEX(vdata_regressors!$A$1:$L$2000,MATCH($A870,vdata_regressors!$A$2:$A$2000,0)+1,MATCH(J$2,vdata_regressors!$A$1:$R$1,0)),"")</f>
        <v/>
      </c>
      <c r="K870" s="23" t="str">
        <f>IFERROR(INDEX(vdata_regressors!$A$1:$L$2000,MATCH($A870,vdata_regressors!$A$2:$A$2000,0)+1,MATCH(K$2,vdata_regressors!$A$1:$R$1,0)),"")</f>
        <v/>
      </c>
      <c r="L870" s="23" t="str">
        <f>IFERROR(INDEX(vdata_regressors!$A$1:$L$2000,MATCH($A870,vdata_regressors!$A$2:$A$2000,0)+1,MATCH(L$2,vdata_regressors!$A$1:$R$1,0)),"")</f>
        <v/>
      </c>
      <c r="M870" s="23" t="str">
        <f>IFERROR(VLOOKUP(A870,vdata_hours!$A$2:$B$1000,2,FALSE),"")</f>
        <v/>
      </c>
    </row>
    <row r="871" spans="1:13" x14ac:dyDescent="0.25">
      <c r="A871" s="23" t="str">
        <f>IF(vdata_hours!A870=0,"",vdata_hours!A870)</f>
        <v/>
      </c>
      <c r="B871" s="23" t="str">
        <f>IFERROR(INDEX(vdata_regressors!$A$1:$L$2000,MATCH($A871,vdata_regressors!$A$2:$A$2000,0)+1,MATCH(B$2,vdata_regressors!$A$1:$R$1,0)),"")</f>
        <v/>
      </c>
      <c r="C871" s="23" t="str">
        <f>IFERROR(INDEX(vdata_regressors!$A$1:$L$2000,MATCH($A871,vdata_regressors!$A$2:$A$2000,0)+1,MATCH(C$2,vdata_regressors!$A$1:$R$1,0)),"")</f>
        <v/>
      </c>
      <c r="D871" s="23" t="str">
        <f>IFERROR(INDEX(vdata_regressors!$A$1:$L$2000,MATCH($A871,vdata_regressors!$A$2:$A$2000,0)+1,MATCH(D$2,vdata_regressors!$A$1:$R$1,0)),"")</f>
        <v/>
      </c>
      <c r="E871" s="23" t="str">
        <f>IFERROR(INDEX(vdata_regressors!$A$1:$L$2000,MATCH($A871,vdata_regressors!$A$2:$A$2000,0)+1,MATCH(E$2,vdata_regressors!$A$1:$R$1,0)),"")</f>
        <v/>
      </c>
      <c r="F871" s="23" t="str">
        <f>IFERROR(INDEX(vdata_regressors!$A$1:$L$2000,MATCH($A871,vdata_regressors!$A$2:$A$2000,0)+1,MATCH(F$2,vdata_regressors!$A$1:$R$1,0)),"")</f>
        <v/>
      </c>
      <c r="G871" s="23" t="str">
        <f>IFERROR(INDEX(vdata_regressors!$A$1:$L$2000,MATCH($A871,vdata_regressors!$A$2:$A$2000,0)+1,MATCH(G$2,vdata_regressors!$A$1:$R$1,0)),"")</f>
        <v/>
      </c>
      <c r="H871" s="23" t="str">
        <f>IFERROR(INDEX(vdata_regressors!$A$1:$L$2000,MATCH($A871,vdata_regressors!$A$2:$A$2000,0)+1,MATCH(H$2,vdata_regressors!$A$1:$R$1,0)),"")</f>
        <v/>
      </c>
      <c r="I871" s="23" t="str">
        <f>IFERROR(INDEX(vdata_regressors!$A$1:$L$2000,MATCH($A871,vdata_regressors!$A$2:$A$2000,0)+1,MATCH(I$2,vdata_regressors!$A$1:$R$1,0)),"")</f>
        <v/>
      </c>
      <c r="J871" s="23" t="str">
        <f>IFERROR(INDEX(vdata_regressors!$A$1:$L$2000,MATCH($A871,vdata_regressors!$A$2:$A$2000,0)+1,MATCH(J$2,vdata_regressors!$A$1:$R$1,0)),"")</f>
        <v/>
      </c>
      <c r="K871" s="23" t="str">
        <f>IFERROR(INDEX(vdata_regressors!$A$1:$L$2000,MATCH($A871,vdata_regressors!$A$2:$A$2000,0)+1,MATCH(K$2,vdata_regressors!$A$1:$R$1,0)),"")</f>
        <v/>
      </c>
      <c r="L871" s="23" t="str">
        <f>IFERROR(INDEX(vdata_regressors!$A$1:$L$2000,MATCH($A871,vdata_regressors!$A$2:$A$2000,0)+1,MATCH(L$2,vdata_regressors!$A$1:$R$1,0)),"")</f>
        <v/>
      </c>
      <c r="M871" s="23" t="str">
        <f>IFERROR(VLOOKUP(A871,vdata_hours!$A$2:$B$1000,2,FALSE),"")</f>
        <v/>
      </c>
    </row>
    <row r="872" spans="1:13" x14ac:dyDescent="0.25">
      <c r="A872" s="23" t="str">
        <f>IF(vdata_hours!A871=0,"",vdata_hours!A871)</f>
        <v/>
      </c>
      <c r="B872" s="23" t="str">
        <f>IFERROR(INDEX(vdata_regressors!$A$1:$L$2000,MATCH($A872,vdata_regressors!$A$2:$A$2000,0)+1,MATCH(B$2,vdata_regressors!$A$1:$R$1,0)),"")</f>
        <v/>
      </c>
      <c r="C872" s="23" t="str">
        <f>IFERROR(INDEX(vdata_regressors!$A$1:$L$2000,MATCH($A872,vdata_regressors!$A$2:$A$2000,0)+1,MATCH(C$2,vdata_regressors!$A$1:$R$1,0)),"")</f>
        <v/>
      </c>
      <c r="D872" s="23" t="str">
        <f>IFERROR(INDEX(vdata_regressors!$A$1:$L$2000,MATCH($A872,vdata_regressors!$A$2:$A$2000,0)+1,MATCH(D$2,vdata_regressors!$A$1:$R$1,0)),"")</f>
        <v/>
      </c>
      <c r="E872" s="23" t="str">
        <f>IFERROR(INDEX(vdata_regressors!$A$1:$L$2000,MATCH($A872,vdata_regressors!$A$2:$A$2000,0)+1,MATCH(E$2,vdata_regressors!$A$1:$R$1,0)),"")</f>
        <v/>
      </c>
      <c r="F872" s="23" t="str">
        <f>IFERROR(INDEX(vdata_regressors!$A$1:$L$2000,MATCH($A872,vdata_regressors!$A$2:$A$2000,0)+1,MATCH(F$2,vdata_regressors!$A$1:$R$1,0)),"")</f>
        <v/>
      </c>
      <c r="G872" s="23" t="str">
        <f>IFERROR(INDEX(vdata_regressors!$A$1:$L$2000,MATCH($A872,vdata_regressors!$A$2:$A$2000,0)+1,MATCH(G$2,vdata_regressors!$A$1:$R$1,0)),"")</f>
        <v/>
      </c>
      <c r="H872" s="23" t="str">
        <f>IFERROR(INDEX(vdata_regressors!$A$1:$L$2000,MATCH($A872,vdata_regressors!$A$2:$A$2000,0)+1,MATCH(H$2,vdata_regressors!$A$1:$R$1,0)),"")</f>
        <v/>
      </c>
      <c r="I872" s="23" t="str">
        <f>IFERROR(INDEX(vdata_regressors!$A$1:$L$2000,MATCH($A872,vdata_regressors!$A$2:$A$2000,0)+1,MATCH(I$2,vdata_regressors!$A$1:$R$1,0)),"")</f>
        <v/>
      </c>
      <c r="J872" s="23" t="str">
        <f>IFERROR(INDEX(vdata_regressors!$A$1:$L$2000,MATCH($A872,vdata_regressors!$A$2:$A$2000,0)+1,MATCH(J$2,vdata_regressors!$A$1:$R$1,0)),"")</f>
        <v/>
      </c>
      <c r="K872" s="23" t="str">
        <f>IFERROR(INDEX(vdata_regressors!$A$1:$L$2000,MATCH($A872,vdata_regressors!$A$2:$A$2000,0)+1,MATCH(K$2,vdata_regressors!$A$1:$R$1,0)),"")</f>
        <v/>
      </c>
      <c r="L872" s="23" t="str">
        <f>IFERROR(INDEX(vdata_regressors!$A$1:$L$2000,MATCH($A872,vdata_regressors!$A$2:$A$2000,0)+1,MATCH(L$2,vdata_regressors!$A$1:$R$1,0)),"")</f>
        <v/>
      </c>
      <c r="M872" s="23" t="str">
        <f>IFERROR(VLOOKUP(A872,vdata_hours!$A$2:$B$1000,2,FALSE),"")</f>
        <v/>
      </c>
    </row>
    <row r="873" spans="1:13" x14ac:dyDescent="0.25">
      <c r="A873" s="23" t="str">
        <f>IF(vdata_hours!A872=0,"",vdata_hours!A872)</f>
        <v/>
      </c>
      <c r="B873" s="23" t="str">
        <f>IFERROR(INDEX(vdata_regressors!$A$1:$L$2000,MATCH($A873,vdata_regressors!$A$2:$A$2000,0)+1,MATCH(B$2,vdata_regressors!$A$1:$R$1,0)),"")</f>
        <v/>
      </c>
      <c r="C873" s="23" t="str">
        <f>IFERROR(INDEX(vdata_regressors!$A$1:$L$2000,MATCH($A873,vdata_regressors!$A$2:$A$2000,0)+1,MATCH(C$2,vdata_regressors!$A$1:$R$1,0)),"")</f>
        <v/>
      </c>
      <c r="D873" s="23" t="str">
        <f>IFERROR(INDEX(vdata_regressors!$A$1:$L$2000,MATCH($A873,vdata_regressors!$A$2:$A$2000,0)+1,MATCH(D$2,vdata_regressors!$A$1:$R$1,0)),"")</f>
        <v/>
      </c>
      <c r="E873" s="23" t="str">
        <f>IFERROR(INDEX(vdata_regressors!$A$1:$L$2000,MATCH($A873,vdata_regressors!$A$2:$A$2000,0)+1,MATCH(E$2,vdata_regressors!$A$1:$R$1,0)),"")</f>
        <v/>
      </c>
      <c r="F873" s="23" t="str">
        <f>IFERROR(INDEX(vdata_regressors!$A$1:$L$2000,MATCH($A873,vdata_regressors!$A$2:$A$2000,0)+1,MATCH(F$2,vdata_regressors!$A$1:$R$1,0)),"")</f>
        <v/>
      </c>
      <c r="G873" s="23" t="str">
        <f>IFERROR(INDEX(vdata_regressors!$A$1:$L$2000,MATCH($A873,vdata_regressors!$A$2:$A$2000,0)+1,MATCH(G$2,vdata_regressors!$A$1:$R$1,0)),"")</f>
        <v/>
      </c>
      <c r="H873" s="23" t="str">
        <f>IFERROR(INDEX(vdata_regressors!$A$1:$L$2000,MATCH($A873,vdata_regressors!$A$2:$A$2000,0)+1,MATCH(H$2,vdata_regressors!$A$1:$R$1,0)),"")</f>
        <v/>
      </c>
      <c r="I873" s="23" t="str">
        <f>IFERROR(INDEX(vdata_regressors!$A$1:$L$2000,MATCH($A873,vdata_regressors!$A$2:$A$2000,0)+1,MATCH(I$2,vdata_regressors!$A$1:$R$1,0)),"")</f>
        <v/>
      </c>
      <c r="J873" s="23" t="str">
        <f>IFERROR(INDEX(vdata_regressors!$A$1:$L$2000,MATCH($A873,vdata_regressors!$A$2:$A$2000,0)+1,MATCH(J$2,vdata_regressors!$A$1:$R$1,0)),"")</f>
        <v/>
      </c>
      <c r="K873" s="23" t="str">
        <f>IFERROR(INDEX(vdata_regressors!$A$1:$L$2000,MATCH($A873,vdata_regressors!$A$2:$A$2000,0)+1,MATCH(K$2,vdata_regressors!$A$1:$R$1,0)),"")</f>
        <v/>
      </c>
      <c r="L873" s="23" t="str">
        <f>IFERROR(INDEX(vdata_regressors!$A$1:$L$2000,MATCH($A873,vdata_regressors!$A$2:$A$2000,0)+1,MATCH(L$2,vdata_regressors!$A$1:$R$1,0)),"")</f>
        <v/>
      </c>
      <c r="M873" s="23" t="str">
        <f>IFERROR(VLOOKUP(A873,vdata_hours!$A$2:$B$1000,2,FALSE),"")</f>
        <v/>
      </c>
    </row>
    <row r="874" spans="1:13" x14ac:dyDescent="0.25">
      <c r="A874" s="23" t="str">
        <f>IF(vdata_hours!A873=0,"",vdata_hours!A873)</f>
        <v/>
      </c>
      <c r="B874" s="23" t="str">
        <f>IFERROR(INDEX(vdata_regressors!$A$1:$L$2000,MATCH($A874,vdata_regressors!$A$2:$A$2000,0)+1,MATCH(B$2,vdata_regressors!$A$1:$R$1,0)),"")</f>
        <v/>
      </c>
      <c r="C874" s="23" t="str">
        <f>IFERROR(INDEX(vdata_regressors!$A$1:$L$2000,MATCH($A874,vdata_regressors!$A$2:$A$2000,0)+1,MATCH(C$2,vdata_regressors!$A$1:$R$1,0)),"")</f>
        <v/>
      </c>
      <c r="D874" s="23" t="str">
        <f>IFERROR(INDEX(vdata_regressors!$A$1:$L$2000,MATCH($A874,vdata_regressors!$A$2:$A$2000,0)+1,MATCH(D$2,vdata_regressors!$A$1:$R$1,0)),"")</f>
        <v/>
      </c>
      <c r="E874" s="23" t="str">
        <f>IFERROR(INDEX(vdata_regressors!$A$1:$L$2000,MATCH($A874,vdata_regressors!$A$2:$A$2000,0)+1,MATCH(E$2,vdata_regressors!$A$1:$R$1,0)),"")</f>
        <v/>
      </c>
      <c r="F874" s="23" t="str">
        <f>IFERROR(INDEX(vdata_regressors!$A$1:$L$2000,MATCH($A874,vdata_regressors!$A$2:$A$2000,0)+1,MATCH(F$2,vdata_regressors!$A$1:$R$1,0)),"")</f>
        <v/>
      </c>
      <c r="G874" s="23" t="str">
        <f>IFERROR(INDEX(vdata_regressors!$A$1:$L$2000,MATCH($A874,vdata_regressors!$A$2:$A$2000,0)+1,MATCH(G$2,vdata_regressors!$A$1:$R$1,0)),"")</f>
        <v/>
      </c>
      <c r="H874" s="23" t="str">
        <f>IFERROR(INDEX(vdata_regressors!$A$1:$L$2000,MATCH($A874,vdata_regressors!$A$2:$A$2000,0)+1,MATCH(H$2,vdata_regressors!$A$1:$R$1,0)),"")</f>
        <v/>
      </c>
      <c r="I874" s="23" t="str">
        <f>IFERROR(INDEX(vdata_regressors!$A$1:$L$2000,MATCH($A874,vdata_regressors!$A$2:$A$2000,0)+1,MATCH(I$2,vdata_regressors!$A$1:$R$1,0)),"")</f>
        <v/>
      </c>
      <c r="J874" s="23" t="str">
        <f>IFERROR(INDEX(vdata_regressors!$A$1:$L$2000,MATCH($A874,vdata_regressors!$A$2:$A$2000,0)+1,MATCH(J$2,vdata_regressors!$A$1:$R$1,0)),"")</f>
        <v/>
      </c>
      <c r="K874" s="23" t="str">
        <f>IFERROR(INDEX(vdata_regressors!$A$1:$L$2000,MATCH($A874,vdata_regressors!$A$2:$A$2000,0)+1,MATCH(K$2,vdata_regressors!$A$1:$R$1,0)),"")</f>
        <v/>
      </c>
      <c r="L874" s="23" t="str">
        <f>IFERROR(INDEX(vdata_regressors!$A$1:$L$2000,MATCH($A874,vdata_regressors!$A$2:$A$2000,0)+1,MATCH(L$2,vdata_regressors!$A$1:$R$1,0)),"")</f>
        <v/>
      </c>
      <c r="M874" s="23" t="str">
        <f>IFERROR(VLOOKUP(A874,vdata_hours!$A$2:$B$1000,2,FALSE),"")</f>
        <v/>
      </c>
    </row>
    <row r="875" spans="1:13" x14ac:dyDescent="0.25">
      <c r="A875" s="23" t="str">
        <f>IF(vdata_hours!A874=0,"",vdata_hours!A874)</f>
        <v/>
      </c>
      <c r="B875" s="23" t="str">
        <f>IFERROR(INDEX(vdata_regressors!$A$1:$L$2000,MATCH($A875,vdata_regressors!$A$2:$A$2000,0)+1,MATCH(B$2,vdata_regressors!$A$1:$R$1,0)),"")</f>
        <v/>
      </c>
      <c r="C875" s="23" t="str">
        <f>IFERROR(INDEX(vdata_regressors!$A$1:$L$2000,MATCH($A875,vdata_regressors!$A$2:$A$2000,0)+1,MATCH(C$2,vdata_regressors!$A$1:$R$1,0)),"")</f>
        <v/>
      </c>
      <c r="D875" s="23" t="str">
        <f>IFERROR(INDEX(vdata_regressors!$A$1:$L$2000,MATCH($A875,vdata_regressors!$A$2:$A$2000,0)+1,MATCH(D$2,vdata_regressors!$A$1:$R$1,0)),"")</f>
        <v/>
      </c>
      <c r="E875" s="23" t="str">
        <f>IFERROR(INDEX(vdata_regressors!$A$1:$L$2000,MATCH($A875,vdata_regressors!$A$2:$A$2000,0)+1,MATCH(E$2,vdata_regressors!$A$1:$R$1,0)),"")</f>
        <v/>
      </c>
      <c r="F875" s="23" t="str">
        <f>IFERROR(INDEX(vdata_regressors!$A$1:$L$2000,MATCH($A875,vdata_regressors!$A$2:$A$2000,0)+1,MATCH(F$2,vdata_regressors!$A$1:$R$1,0)),"")</f>
        <v/>
      </c>
      <c r="G875" s="23" t="str">
        <f>IFERROR(INDEX(vdata_regressors!$A$1:$L$2000,MATCH($A875,vdata_regressors!$A$2:$A$2000,0)+1,MATCH(G$2,vdata_regressors!$A$1:$R$1,0)),"")</f>
        <v/>
      </c>
      <c r="H875" s="23" t="str">
        <f>IFERROR(INDEX(vdata_regressors!$A$1:$L$2000,MATCH($A875,vdata_regressors!$A$2:$A$2000,0)+1,MATCH(H$2,vdata_regressors!$A$1:$R$1,0)),"")</f>
        <v/>
      </c>
      <c r="I875" s="23" t="str">
        <f>IFERROR(INDEX(vdata_regressors!$A$1:$L$2000,MATCH($A875,vdata_regressors!$A$2:$A$2000,0)+1,MATCH(I$2,vdata_regressors!$A$1:$R$1,0)),"")</f>
        <v/>
      </c>
      <c r="J875" s="23" t="str">
        <f>IFERROR(INDEX(vdata_regressors!$A$1:$L$2000,MATCH($A875,vdata_regressors!$A$2:$A$2000,0)+1,MATCH(J$2,vdata_regressors!$A$1:$R$1,0)),"")</f>
        <v/>
      </c>
      <c r="K875" s="23" t="str">
        <f>IFERROR(INDEX(vdata_regressors!$A$1:$L$2000,MATCH($A875,vdata_regressors!$A$2:$A$2000,0)+1,MATCH(K$2,vdata_regressors!$A$1:$R$1,0)),"")</f>
        <v/>
      </c>
      <c r="L875" s="23" t="str">
        <f>IFERROR(INDEX(vdata_regressors!$A$1:$L$2000,MATCH($A875,vdata_regressors!$A$2:$A$2000,0)+1,MATCH(L$2,vdata_regressors!$A$1:$R$1,0)),"")</f>
        <v/>
      </c>
      <c r="M875" s="23" t="str">
        <f>IFERROR(VLOOKUP(A875,vdata_hours!$A$2:$B$1000,2,FALSE),"")</f>
        <v/>
      </c>
    </row>
    <row r="876" spans="1:13" x14ac:dyDescent="0.25">
      <c r="A876" s="23" t="str">
        <f>IF(vdata_hours!A875=0,"",vdata_hours!A875)</f>
        <v/>
      </c>
      <c r="B876" s="23" t="str">
        <f>IFERROR(INDEX(vdata_regressors!$A$1:$L$2000,MATCH($A876,vdata_regressors!$A$2:$A$2000,0)+1,MATCH(B$2,vdata_regressors!$A$1:$R$1,0)),"")</f>
        <v/>
      </c>
      <c r="C876" s="23" t="str">
        <f>IFERROR(INDEX(vdata_regressors!$A$1:$L$2000,MATCH($A876,vdata_regressors!$A$2:$A$2000,0)+1,MATCH(C$2,vdata_regressors!$A$1:$R$1,0)),"")</f>
        <v/>
      </c>
      <c r="D876" s="23" t="str">
        <f>IFERROR(INDEX(vdata_regressors!$A$1:$L$2000,MATCH($A876,vdata_regressors!$A$2:$A$2000,0)+1,MATCH(D$2,vdata_regressors!$A$1:$R$1,0)),"")</f>
        <v/>
      </c>
      <c r="E876" s="23" t="str">
        <f>IFERROR(INDEX(vdata_regressors!$A$1:$L$2000,MATCH($A876,vdata_regressors!$A$2:$A$2000,0)+1,MATCH(E$2,vdata_regressors!$A$1:$R$1,0)),"")</f>
        <v/>
      </c>
      <c r="F876" s="23" t="str">
        <f>IFERROR(INDEX(vdata_regressors!$A$1:$L$2000,MATCH($A876,vdata_regressors!$A$2:$A$2000,0)+1,MATCH(F$2,vdata_regressors!$A$1:$R$1,0)),"")</f>
        <v/>
      </c>
      <c r="G876" s="23" t="str">
        <f>IFERROR(INDEX(vdata_regressors!$A$1:$L$2000,MATCH($A876,vdata_regressors!$A$2:$A$2000,0)+1,MATCH(G$2,vdata_regressors!$A$1:$R$1,0)),"")</f>
        <v/>
      </c>
      <c r="H876" s="23" t="str">
        <f>IFERROR(INDEX(vdata_regressors!$A$1:$L$2000,MATCH($A876,vdata_regressors!$A$2:$A$2000,0)+1,MATCH(H$2,vdata_regressors!$A$1:$R$1,0)),"")</f>
        <v/>
      </c>
      <c r="I876" s="23" t="str">
        <f>IFERROR(INDEX(vdata_regressors!$A$1:$L$2000,MATCH($A876,vdata_regressors!$A$2:$A$2000,0)+1,MATCH(I$2,vdata_regressors!$A$1:$R$1,0)),"")</f>
        <v/>
      </c>
      <c r="J876" s="23" t="str">
        <f>IFERROR(INDEX(vdata_regressors!$A$1:$L$2000,MATCH($A876,vdata_regressors!$A$2:$A$2000,0)+1,MATCH(J$2,vdata_regressors!$A$1:$R$1,0)),"")</f>
        <v/>
      </c>
      <c r="K876" s="23" t="str">
        <f>IFERROR(INDEX(vdata_regressors!$A$1:$L$2000,MATCH($A876,vdata_regressors!$A$2:$A$2000,0)+1,MATCH(K$2,vdata_regressors!$A$1:$R$1,0)),"")</f>
        <v/>
      </c>
      <c r="L876" s="23" t="str">
        <f>IFERROR(INDEX(vdata_regressors!$A$1:$L$2000,MATCH($A876,vdata_regressors!$A$2:$A$2000,0)+1,MATCH(L$2,vdata_regressors!$A$1:$R$1,0)),"")</f>
        <v/>
      </c>
      <c r="M876" s="23" t="str">
        <f>IFERROR(VLOOKUP(A876,vdata_hours!$A$2:$B$1000,2,FALSE),"")</f>
        <v/>
      </c>
    </row>
    <row r="877" spans="1:13" x14ac:dyDescent="0.25">
      <c r="A877" s="23" t="str">
        <f>IF(vdata_hours!A876=0,"",vdata_hours!A876)</f>
        <v/>
      </c>
      <c r="B877" s="23" t="str">
        <f>IFERROR(INDEX(vdata_regressors!$A$1:$L$2000,MATCH($A877,vdata_regressors!$A$2:$A$2000,0)+1,MATCH(B$2,vdata_regressors!$A$1:$R$1,0)),"")</f>
        <v/>
      </c>
      <c r="C877" s="23" t="str">
        <f>IFERROR(INDEX(vdata_regressors!$A$1:$L$2000,MATCH($A877,vdata_regressors!$A$2:$A$2000,0)+1,MATCH(C$2,vdata_regressors!$A$1:$R$1,0)),"")</f>
        <v/>
      </c>
      <c r="D877" s="23" t="str">
        <f>IFERROR(INDEX(vdata_regressors!$A$1:$L$2000,MATCH($A877,vdata_regressors!$A$2:$A$2000,0)+1,MATCH(D$2,vdata_regressors!$A$1:$R$1,0)),"")</f>
        <v/>
      </c>
      <c r="E877" s="23" t="str">
        <f>IFERROR(INDEX(vdata_regressors!$A$1:$L$2000,MATCH($A877,vdata_regressors!$A$2:$A$2000,0)+1,MATCH(E$2,vdata_regressors!$A$1:$R$1,0)),"")</f>
        <v/>
      </c>
      <c r="F877" s="23" t="str">
        <f>IFERROR(INDEX(vdata_regressors!$A$1:$L$2000,MATCH($A877,vdata_regressors!$A$2:$A$2000,0)+1,MATCH(F$2,vdata_regressors!$A$1:$R$1,0)),"")</f>
        <v/>
      </c>
      <c r="G877" s="23" t="str">
        <f>IFERROR(INDEX(vdata_regressors!$A$1:$L$2000,MATCH($A877,vdata_regressors!$A$2:$A$2000,0)+1,MATCH(G$2,vdata_regressors!$A$1:$R$1,0)),"")</f>
        <v/>
      </c>
      <c r="H877" s="23" t="str">
        <f>IFERROR(INDEX(vdata_regressors!$A$1:$L$2000,MATCH($A877,vdata_regressors!$A$2:$A$2000,0)+1,MATCH(H$2,vdata_regressors!$A$1:$R$1,0)),"")</f>
        <v/>
      </c>
      <c r="I877" s="23" t="str">
        <f>IFERROR(INDEX(vdata_regressors!$A$1:$L$2000,MATCH($A877,vdata_regressors!$A$2:$A$2000,0)+1,MATCH(I$2,vdata_regressors!$A$1:$R$1,0)),"")</f>
        <v/>
      </c>
      <c r="J877" s="23" t="str">
        <f>IFERROR(INDEX(vdata_regressors!$A$1:$L$2000,MATCH($A877,vdata_regressors!$A$2:$A$2000,0)+1,MATCH(J$2,vdata_regressors!$A$1:$R$1,0)),"")</f>
        <v/>
      </c>
      <c r="K877" s="23" t="str">
        <f>IFERROR(INDEX(vdata_regressors!$A$1:$L$2000,MATCH($A877,vdata_regressors!$A$2:$A$2000,0)+1,MATCH(K$2,vdata_regressors!$A$1:$R$1,0)),"")</f>
        <v/>
      </c>
      <c r="L877" s="23" t="str">
        <f>IFERROR(INDEX(vdata_regressors!$A$1:$L$2000,MATCH($A877,vdata_regressors!$A$2:$A$2000,0)+1,MATCH(L$2,vdata_regressors!$A$1:$R$1,0)),"")</f>
        <v/>
      </c>
      <c r="M877" s="23" t="str">
        <f>IFERROR(VLOOKUP(A877,vdata_hours!$A$2:$B$1000,2,FALSE),"")</f>
        <v/>
      </c>
    </row>
    <row r="878" spans="1:13" x14ac:dyDescent="0.25">
      <c r="A878" s="23" t="str">
        <f>IF(vdata_hours!A877=0,"",vdata_hours!A877)</f>
        <v/>
      </c>
      <c r="B878" s="23" t="str">
        <f>IFERROR(INDEX(vdata_regressors!$A$1:$L$2000,MATCH($A878,vdata_regressors!$A$2:$A$2000,0)+1,MATCH(B$2,vdata_regressors!$A$1:$R$1,0)),"")</f>
        <v/>
      </c>
      <c r="C878" s="23" t="str">
        <f>IFERROR(INDEX(vdata_regressors!$A$1:$L$2000,MATCH($A878,vdata_regressors!$A$2:$A$2000,0)+1,MATCH(C$2,vdata_regressors!$A$1:$R$1,0)),"")</f>
        <v/>
      </c>
      <c r="D878" s="23" t="str">
        <f>IFERROR(INDEX(vdata_regressors!$A$1:$L$2000,MATCH($A878,vdata_regressors!$A$2:$A$2000,0)+1,MATCH(D$2,vdata_regressors!$A$1:$R$1,0)),"")</f>
        <v/>
      </c>
      <c r="E878" s="23" t="str">
        <f>IFERROR(INDEX(vdata_regressors!$A$1:$L$2000,MATCH($A878,vdata_regressors!$A$2:$A$2000,0)+1,MATCH(E$2,vdata_regressors!$A$1:$R$1,0)),"")</f>
        <v/>
      </c>
      <c r="F878" s="23" t="str">
        <f>IFERROR(INDEX(vdata_regressors!$A$1:$L$2000,MATCH($A878,vdata_regressors!$A$2:$A$2000,0)+1,MATCH(F$2,vdata_regressors!$A$1:$R$1,0)),"")</f>
        <v/>
      </c>
      <c r="G878" s="23" t="str">
        <f>IFERROR(INDEX(vdata_regressors!$A$1:$L$2000,MATCH($A878,vdata_regressors!$A$2:$A$2000,0)+1,MATCH(G$2,vdata_regressors!$A$1:$R$1,0)),"")</f>
        <v/>
      </c>
      <c r="H878" s="23" t="str">
        <f>IFERROR(INDEX(vdata_regressors!$A$1:$L$2000,MATCH($A878,vdata_regressors!$A$2:$A$2000,0)+1,MATCH(H$2,vdata_regressors!$A$1:$R$1,0)),"")</f>
        <v/>
      </c>
      <c r="I878" s="23" t="str">
        <f>IFERROR(INDEX(vdata_regressors!$A$1:$L$2000,MATCH($A878,vdata_regressors!$A$2:$A$2000,0)+1,MATCH(I$2,vdata_regressors!$A$1:$R$1,0)),"")</f>
        <v/>
      </c>
      <c r="J878" s="23" t="str">
        <f>IFERROR(INDEX(vdata_regressors!$A$1:$L$2000,MATCH($A878,vdata_regressors!$A$2:$A$2000,0)+1,MATCH(J$2,vdata_regressors!$A$1:$R$1,0)),"")</f>
        <v/>
      </c>
      <c r="K878" s="23" t="str">
        <f>IFERROR(INDEX(vdata_regressors!$A$1:$L$2000,MATCH($A878,vdata_regressors!$A$2:$A$2000,0)+1,MATCH(K$2,vdata_regressors!$A$1:$R$1,0)),"")</f>
        <v/>
      </c>
      <c r="L878" s="23" t="str">
        <f>IFERROR(INDEX(vdata_regressors!$A$1:$L$2000,MATCH($A878,vdata_regressors!$A$2:$A$2000,0)+1,MATCH(L$2,vdata_regressors!$A$1:$R$1,0)),"")</f>
        <v/>
      </c>
      <c r="M878" s="23" t="str">
        <f>IFERROR(VLOOKUP(A878,vdata_hours!$A$2:$B$1000,2,FALSE),"")</f>
        <v/>
      </c>
    </row>
    <row r="879" spans="1:13" x14ac:dyDescent="0.25">
      <c r="A879" s="23" t="str">
        <f>IF(vdata_hours!A878=0,"",vdata_hours!A878)</f>
        <v/>
      </c>
      <c r="B879" s="23" t="str">
        <f>IFERROR(INDEX(vdata_regressors!$A$1:$L$2000,MATCH($A879,vdata_regressors!$A$2:$A$2000,0)+1,MATCH(B$2,vdata_regressors!$A$1:$R$1,0)),"")</f>
        <v/>
      </c>
      <c r="C879" s="23" t="str">
        <f>IFERROR(INDEX(vdata_regressors!$A$1:$L$2000,MATCH($A879,vdata_regressors!$A$2:$A$2000,0)+1,MATCH(C$2,vdata_regressors!$A$1:$R$1,0)),"")</f>
        <v/>
      </c>
      <c r="D879" s="23" t="str">
        <f>IFERROR(INDEX(vdata_regressors!$A$1:$L$2000,MATCH($A879,vdata_regressors!$A$2:$A$2000,0)+1,MATCH(D$2,vdata_regressors!$A$1:$R$1,0)),"")</f>
        <v/>
      </c>
      <c r="E879" s="23" t="str">
        <f>IFERROR(INDEX(vdata_regressors!$A$1:$L$2000,MATCH($A879,vdata_regressors!$A$2:$A$2000,0)+1,MATCH(E$2,vdata_regressors!$A$1:$R$1,0)),"")</f>
        <v/>
      </c>
      <c r="F879" s="23" t="str">
        <f>IFERROR(INDEX(vdata_regressors!$A$1:$L$2000,MATCH($A879,vdata_regressors!$A$2:$A$2000,0)+1,MATCH(F$2,vdata_regressors!$A$1:$R$1,0)),"")</f>
        <v/>
      </c>
      <c r="G879" s="23" t="str">
        <f>IFERROR(INDEX(vdata_regressors!$A$1:$L$2000,MATCH($A879,vdata_regressors!$A$2:$A$2000,0)+1,MATCH(G$2,vdata_regressors!$A$1:$R$1,0)),"")</f>
        <v/>
      </c>
      <c r="H879" s="23" t="str">
        <f>IFERROR(INDEX(vdata_regressors!$A$1:$L$2000,MATCH($A879,vdata_regressors!$A$2:$A$2000,0)+1,MATCH(H$2,vdata_regressors!$A$1:$R$1,0)),"")</f>
        <v/>
      </c>
      <c r="I879" s="23" t="str">
        <f>IFERROR(INDEX(vdata_regressors!$A$1:$L$2000,MATCH($A879,vdata_regressors!$A$2:$A$2000,0)+1,MATCH(I$2,vdata_regressors!$A$1:$R$1,0)),"")</f>
        <v/>
      </c>
      <c r="J879" s="23" t="str">
        <f>IFERROR(INDEX(vdata_regressors!$A$1:$L$2000,MATCH($A879,vdata_regressors!$A$2:$A$2000,0)+1,MATCH(J$2,vdata_regressors!$A$1:$R$1,0)),"")</f>
        <v/>
      </c>
      <c r="K879" s="23" t="str">
        <f>IFERROR(INDEX(vdata_regressors!$A$1:$L$2000,MATCH($A879,vdata_regressors!$A$2:$A$2000,0)+1,MATCH(K$2,vdata_regressors!$A$1:$R$1,0)),"")</f>
        <v/>
      </c>
      <c r="L879" s="23" t="str">
        <f>IFERROR(INDEX(vdata_regressors!$A$1:$L$2000,MATCH($A879,vdata_regressors!$A$2:$A$2000,0)+1,MATCH(L$2,vdata_regressors!$A$1:$R$1,0)),"")</f>
        <v/>
      </c>
      <c r="M879" s="23" t="str">
        <f>IFERROR(VLOOKUP(A879,vdata_hours!$A$2:$B$1000,2,FALSE),"")</f>
        <v/>
      </c>
    </row>
    <row r="880" spans="1:13" x14ac:dyDescent="0.25">
      <c r="A880" s="23" t="str">
        <f>IF(vdata_hours!A879=0,"",vdata_hours!A879)</f>
        <v/>
      </c>
      <c r="B880" s="23" t="str">
        <f>IFERROR(INDEX(vdata_regressors!$A$1:$L$2000,MATCH($A880,vdata_regressors!$A$2:$A$2000,0)+1,MATCH(B$2,vdata_regressors!$A$1:$R$1,0)),"")</f>
        <v/>
      </c>
      <c r="C880" s="23" t="str">
        <f>IFERROR(INDEX(vdata_regressors!$A$1:$L$2000,MATCH($A880,vdata_regressors!$A$2:$A$2000,0)+1,MATCH(C$2,vdata_regressors!$A$1:$R$1,0)),"")</f>
        <v/>
      </c>
      <c r="D880" s="23" t="str">
        <f>IFERROR(INDEX(vdata_regressors!$A$1:$L$2000,MATCH($A880,vdata_regressors!$A$2:$A$2000,0)+1,MATCH(D$2,vdata_regressors!$A$1:$R$1,0)),"")</f>
        <v/>
      </c>
      <c r="E880" s="23" t="str">
        <f>IFERROR(INDEX(vdata_regressors!$A$1:$L$2000,MATCH($A880,vdata_regressors!$A$2:$A$2000,0)+1,MATCH(E$2,vdata_regressors!$A$1:$R$1,0)),"")</f>
        <v/>
      </c>
      <c r="F880" s="23" t="str">
        <f>IFERROR(INDEX(vdata_regressors!$A$1:$L$2000,MATCH($A880,vdata_regressors!$A$2:$A$2000,0)+1,MATCH(F$2,vdata_regressors!$A$1:$R$1,0)),"")</f>
        <v/>
      </c>
      <c r="G880" s="23" t="str">
        <f>IFERROR(INDEX(vdata_regressors!$A$1:$L$2000,MATCH($A880,vdata_regressors!$A$2:$A$2000,0)+1,MATCH(G$2,vdata_regressors!$A$1:$R$1,0)),"")</f>
        <v/>
      </c>
      <c r="H880" s="23" t="str">
        <f>IFERROR(INDEX(vdata_regressors!$A$1:$L$2000,MATCH($A880,vdata_regressors!$A$2:$A$2000,0)+1,MATCH(H$2,vdata_regressors!$A$1:$R$1,0)),"")</f>
        <v/>
      </c>
      <c r="I880" s="23" t="str">
        <f>IFERROR(INDEX(vdata_regressors!$A$1:$L$2000,MATCH($A880,vdata_regressors!$A$2:$A$2000,0)+1,MATCH(I$2,vdata_regressors!$A$1:$R$1,0)),"")</f>
        <v/>
      </c>
      <c r="J880" s="23" t="str">
        <f>IFERROR(INDEX(vdata_regressors!$A$1:$L$2000,MATCH($A880,vdata_regressors!$A$2:$A$2000,0)+1,MATCH(J$2,vdata_regressors!$A$1:$R$1,0)),"")</f>
        <v/>
      </c>
      <c r="K880" s="23" t="str">
        <f>IFERROR(INDEX(vdata_regressors!$A$1:$L$2000,MATCH($A880,vdata_regressors!$A$2:$A$2000,0)+1,MATCH(K$2,vdata_regressors!$A$1:$R$1,0)),"")</f>
        <v/>
      </c>
      <c r="L880" s="23" t="str">
        <f>IFERROR(INDEX(vdata_regressors!$A$1:$L$2000,MATCH($A880,vdata_regressors!$A$2:$A$2000,0)+1,MATCH(L$2,vdata_regressors!$A$1:$R$1,0)),"")</f>
        <v/>
      </c>
      <c r="M880" s="23" t="str">
        <f>IFERROR(VLOOKUP(A880,vdata_hours!$A$2:$B$1000,2,FALSE),"")</f>
        <v/>
      </c>
    </row>
    <row r="881" spans="1:13" x14ac:dyDescent="0.25">
      <c r="A881" s="23" t="str">
        <f>IF(vdata_hours!A880=0,"",vdata_hours!A880)</f>
        <v/>
      </c>
      <c r="B881" s="23" t="str">
        <f>IFERROR(INDEX(vdata_regressors!$A$1:$L$2000,MATCH($A881,vdata_regressors!$A$2:$A$2000,0)+1,MATCH(B$2,vdata_regressors!$A$1:$R$1,0)),"")</f>
        <v/>
      </c>
      <c r="C881" s="23" t="str">
        <f>IFERROR(INDEX(vdata_regressors!$A$1:$L$2000,MATCH($A881,vdata_regressors!$A$2:$A$2000,0)+1,MATCH(C$2,vdata_regressors!$A$1:$R$1,0)),"")</f>
        <v/>
      </c>
      <c r="D881" s="23" t="str">
        <f>IFERROR(INDEX(vdata_regressors!$A$1:$L$2000,MATCH($A881,vdata_regressors!$A$2:$A$2000,0)+1,MATCH(D$2,vdata_regressors!$A$1:$R$1,0)),"")</f>
        <v/>
      </c>
      <c r="E881" s="23" t="str">
        <f>IFERROR(INDEX(vdata_regressors!$A$1:$L$2000,MATCH($A881,vdata_regressors!$A$2:$A$2000,0)+1,MATCH(E$2,vdata_regressors!$A$1:$R$1,0)),"")</f>
        <v/>
      </c>
      <c r="F881" s="23" t="str">
        <f>IFERROR(INDEX(vdata_regressors!$A$1:$L$2000,MATCH($A881,vdata_regressors!$A$2:$A$2000,0)+1,MATCH(F$2,vdata_regressors!$A$1:$R$1,0)),"")</f>
        <v/>
      </c>
      <c r="G881" s="23" t="str">
        <f>IFERROR(INDEX(vdata_regressors!$A$1:$L$2000,MATCH($A881,vdata_regressors!$A$2:$A$2000,0)+1,MATCH(G$2,vdata_regressors!$A$1:$R$1,0)),"")</f>
        <v/>
      </c>
      <c r="H881" s="23" t="str">
        <f>IFERROR(INDEX(vdata_regressors!$A$1:$L$2000,MATCH($A881,vdata_regressors!$A$2:$A$2000,0)+1,MATCH(H$2,vdata_regressors!$A$1:$R$1,0)),"")</f>
        <v/>
      </c>
      <c r="I881" s="23" t="str">
        <f>IFERROR(INDEX(vdata_regressors!$A$1:$L$2000,MATCH($A881,vdata_regressors!$A$2:$A$2000,0)+1,MATCH(I$2,vdata_regressors!$A$1:$R$1,0)),"")</f>
        <v/>
      </c>
      <c r="J881" s="23" t="str">
        <f>IFERROR(INDEX(vdata_regressors!$A$1:$L$2000,MATCH($A881,vdata_regressors!$A$2:$A$2000,0)+1,MATCH(J$2,vdata_regressors!$A$1:$R$1,0)),"")</f>
        <v/>
      </c>
      <c r="K881" s="23" t="str">
        <f>IFERROR(INDEX(vdata_regressors!$A$1:$L$2000,MATCH($A881,vdata_regressors!$A$2:$A$2000,0)+1,MATCH(K$2,vdata_regressors!$A$1:$R$1,0)),"")</f>
        <v/>
      </c>
      <c r="L881" s="23" t="str">
        <f>IFERROR(INDEX(vdata_regressors!$A$1:$L$2000,MATCH($A881,vdata_regressors!$A$2:$A$2000,0)+1,MATCH(L$2,vdata_regressors!$A$1:$R$1,0)),"")</f>
        <v/>
      </c>
      <c r="M881" s="23" t="str">
        <f>IFERROR(VLOOKUP(A881,vdata_hours!$A$2:$B$1000,2,FALSE),"")</f>
        <v/>
      </c>
    </row>
    <row r="882" spans="1:13" x14ac:dyDescent="0.25">
      <c r="A882" s="23" t="str">
        <f>IF(vdata_hours!A881=0,"",vdata_hours!A881)</f>
        <v/>
      </c>
      <c r="B882" s="23" t="str">
        <f>IFERROR(INDEX(vdata_regressors!$A$1:$L$2000,MATCH($A882,vdata_regressors!$A$2:$A$2000,0)+1,MATCH(B$2,vdata_regressors!$A$1:$R$1,0)),"")</f>
        <v/>
      </c>
      <c r="C882" s="23" t="str">
        <f>IFERROR(INDEX(vdata_regressors!$A$1:$L$2000,MATCH($A882,vdata_regressors!$A$2:$A$2000,0)+1,MATCH(C$2,vdata_regressors!$A$1:$R$1,0)),"")</f>
        <v/>
      </c>
      <c r="D882" s="23" t="str">
        <f>IFERROR(INDEX(vdata_regressors!$A$1:$L$2000,MATCH($A882,vdata_regressors!$A$2:$A$2000,0)+1,MATCH(D$2,vdata_regressors!$A$1:$R$1,0)),"")</f>
        <v/>
      </c>
      <c r="E882" s="23" t="str">
        <f>IFERROR(INDEX(vdata_regressors!$A$1:$L$2000,MATCH($A882,vdata_regressors!$A$2:$A$2000,0)+1,MATCH(E$2,vdata_regressors!$A$1:$R$1,0)),"")</f>
        <v/>
      </c>
      <c r="F882" s="23" t="str">
        <f>IFERROR(INDEX(vdata_regressors!$A$1:$L$2000,MATCH($A882,vdata_regressors!$A$2:$A$2000,0)+1,MATCH(F$2,vdata_regressors!$A$1:$R$1,0)),"")</f>
        <v/>
      </c>
      <c r="G882" s="23" t="str">
        <f>IFERROR(INDEX(vdata_regressors!$A$1:$L$2000,MATCH($A882,vdata_regressors!$A$2:$A$2000,0)+1,MATCH(G$2,vdata_regressors!$A$1:$R$1,0)),"")</f>
        <v/>
      </c>
      <c r="H882" s="23" t="str">
        <f>IFERROR(INDEX(vdata_regressors!$A$1:$L$2000,MATCH($A882,vdata_regressors!$A$2:$A$2000,0)+1,MATCH(H$2,vdata_regressors!$A$1:$R$1,0)),"")</f>
        <v/>
      </c>
      <c r="I882" s="23" t="str">
        <f>IFERROR(INDEX(vdata_regressors!$A$1:$L$2000,MATCH($A882,vdata_regressors!$A$2:$A$2000,0)+1,MATCH(I$2,vdata_regressors!$A$1:$R$1,0)),"")</f>
        <v/>
      </c>
      <c r="J882" s="23" t="str">
        <f>IFERROR(INDEX(vdata_regressors!$A$1:$L$2000,MATCH($A882,vdata_regressors!$A$2:$A$2000,0)+1,MATCH(J$2,vdata_regressors!$A$1:$R$1,0)),"")</f>
        <v/>
      </c>
      <c r="K882" s="23" t="str">
        <f>IFERROR(INDEX(vdata_regressors!$A$1:$L$2000,MATCH($A882,vdata_regressors!$A$2:$A$2000,0)+1,MATCH(K$2,vdata_regressors!$A$1:$R$1,0)),"")</f>
        <v/>
      </c>
      <c r="L882" s="23" t="str">
        <f>IFERROR(INDEX(vdata_regressors!$A$1:$L$2000,MATCH($A882,vdata_regressors!$A$2:$A$2000,0)+1,MATCH(L$2,vdata_regressors!$A$1:$R$1,0)),"")</f>
        <v/>
      </c>
      <c r="M882" s="23" t="str">
        <f>IFERROR(VLOOKUP(A882,vdata_hours!$A$2:$B$1000,2,FALSE),"")</f>
        <v/>
      </c>
    </row>
    <row r="883" spans="1:13" x14ac:dyDescent="0.25">
      <c r="A883" s="23" t="str">
        <f>IF(vdata_hours!A882=0,"",vdata_hours!A882)</f>
        <v/>
      </c>
      <c r="B883" s="23" t="str">
        <f>IFERROR(INDEX(vdata_regressors!$A$1:$L$2000,MATCH($A883,vdata_regressors!$A$2:$A$2000,0)+1,MATCH(B$2,vdata_regressors!$A$1:$R$1,0)),"")</f>
        <v/>
      </c>
      <c r="C883" s="23" t="str">
        <f>IFERROR(INDEX(vdata_regressors!$A$1:$L$2000,MATCH($A883,vdata_regressors!$A$2:$A$2000,0)+1,MATCH(C$2,vdata_regressors!$A$1:$R$1,0)),"")</f>
        <v/>
      </c>
      <c r="D883" s="23" t="str">
        <f>IFERROR(INDEX(vdata_regressors!$A$1:$L$2000,MATCH($A883,vdata_regressors!$A$2:$A$2000,0)+1,MATCH(D$2,vdata_regressors!$A$1:$R$1,0)),"")</f>
        <v/>
      </c>
      <c r="E883" s="23" t="str">
        <f>IFERROR(INDEX(vdata_regressors!$A$1:$L$2000,MATCH($A883,vdata_regressors!$A$2:$A$2000,0)+1,MATCH(E$2,vdata_regressors!$A$1:$R$1,0)),"")</f>
        <v/>
      </c>
      <c r="F883" s="23" t="str">
        <f>IFERROR(INDEX(vdata_regressors!$A$1:$L$2000,MATCH($A883,vdata_regressors!$A$2:$A$2000,0)+1,MATCH(F$2,vdata_regressors!$A$1:$R$1,0)),"")</f>
        <v/>
      </c>
      <c r="G883" s="23" t="str">
        <f>IFERROR(INDEX(vdata_regressors!$A$1:$L$2000,MATCH($A883,vdata_regressors!$A$2:$A$2000,0)+1,MATCH(G$2,vdata_regressors!$A$1:$R$1,0)),"")</f>
        <v/>
      </c>
      <c r="H883" s="23" t="str">
        <f>IFERROR(INDEX(vdata_regressors!$A$1:$L$2000,MATCH($A883,vdata_regressors!$A$2:$A$2000,0)+1,MATCH(H$2,vdata_regressors!$A$1:$R$1,0)),"")</f>
        <v/>
      </c>
      <c r="I883" s="23" t="str">
        <f>IFERROR(INDEX(vdata_regressors!$A$1:$L$2000,MATCH($A883,vdata_regressors!$A$2:$A$2000,0)+1,MATCH(I$2,vdata_regressors!$A$1:$R$1,0)),"")</f>
        <v/>
      </c>
      <c r="J883" s="23" t="str">
        <f>IFERROR(INDEX(vdata_regressors!$A$1:$L$2000,MATCH($A883,vdata_regressors!$A$2:$A$2000,0)+1,MATCH(J$2,vdata_regressors!$A$1:$R$1,0)),"")</f>
        <v/>
      </c>
      <c r="K883" s="23" t="str">
        <f>IFERROR(INDEX(vdata_regressors!$A$1:$L$2000,MATCH($A883,vdata_regressors!$A$2:$A$2000,0)+1,MATCH(K$2,vdata_regressors!$A$1:$R$1,0)),"")</f>
        <v/>
      </c>
      <c r="L883" s="23" t="str">
        <f>IFERROR(INDEX(vdata_regressors!$A$1:$L$2000,MATCH($A883,vdata_regressors!$A$2:$A$2000,0)+1,MATCH(L$2,vdata_regressors!$A$1:$R$1,0)),"")</f>
        <v/>
      </c>
      <c r="M883" s="23" t="str">
        <f>IFERROR(VLOOKUP(A883,vdata_hours!$A$2:$B$1000,2,FALSE),"")</f>
        <v/>
      </c>
    </row>
    <row r="884" spans="1:13" x14ac:dyDescent="0.25">
      <c r="A884" s="23" t="str">
        <f>IF(vdata_hours!A883=0,"",vdata_hours!A883)</f>
        <v/>
      </c>
      <c r="B884" s="23" t="str">
        <f>IFERROR(INDEX(vdata_regressors!$A$1:$L$2000,MATCH($A884,vdata_regressors!$A$2:$A$2000,0)+1,MATCH(B$2,vdata_regressors!$A$1:$R$1,0)),"")</f>
        <v/>
      </c>
      <c r="C884" s="23" t="str">
        <f>IFERROR(INDEX(vdata_regressors!$A$1:$L$2000,MATCH($A884,vdata_regressors!$A$2:$A$2000,0)+1,MATCH(C$2,vdata_regressors!$A$1:$R$1,0)),"")</f>
        <v/>
      </c>
      <c r="D884" s="23" t="str">
        <f>IFERROR(INDEX(vdata_regressors!$A$1:$L$2000,MATCH($A884,vdata_regressors!$A$2:$A$2000,0)+1,MATCH(D$2,vdata_regressors!$A$1:$R$1,0)),"")</f>
        <v/>
      </c>
      <c r="E884" s="23" t="str">
        <f>IFERROR(INDEX(vdata_regressors!$A$1:$L$2000,MATCH($A884,vdata_regressors!$A$2:$A$2000,0)+1,MATCH(E$2,vdata_regressors!$A$1:$R$1,0)),"")</f>
        <v/>
      </c>
      <c r="F884" s="23" t="str">
        <f>IFERROR(INDEX(vdata_regressors!$A$1:$L$2000,MATCH($A884,vdata_regressors!$A$2:$A$2000,0)+1,MATCH(F$2,vdata_regressors!$A$1:$R$1,0)),"")</f>
        <v/>
      </c>
      <c r="G884" s="23" t="str">
        <f>IFERROR(INDEX(vdata_regressors!$A$1:$L$2000,MATCH($A884,vdata_regressors!$A$2:$A$2000,0)+1,MATCH(G$2,vdata_regressors!$A$1:$R$1,0)),"")</f>
        <v/>
      </c>
      <c r="H884" s="23" t="str">
        <f>IFERROR(INDEX(vdata_regressors!$A$1:$L$2000,MATCH($A884,vdata_regressors!$A$2:$A$2000,0)+1,MATCH(H$2,vdata_regressors!$A$1:$R$1,0)),"")</f>
        <v/>
      </c>
      <c r="I884" s="23" t="str">
        <f>IFERROR(INDEX(vdata_regressors!$A$1:$L$2000,MATCH($A884,vdata_regressors!$A$2:$A$2000,0)+1,MATCH(I$2,vdata_regressors!$A$1:$R$1,0)),"")</f>
        <v/>
      </c>
      <c r="J884" s="23" t="str">
        <f>IFERROR(INDEX(vdata_regressors!$A$1:$L$2000,MATCH($A884,vdata_regressors!$A$2:$A$2000,0)+1,MATCH(J$2,vdata_regressors!$A$1:$R$1,0)),"")</f>
        <v/>
      </c>
      <c r="K884" s="23" t="str">
        <f>IFERROR(INDEX(vdata_regressors!$A$1:$L$2000,MATCH($A884,vdata_regressors!$A$2:$A$2000,0)+1,MATCH(K$2,vdata_regressors!$A$1:$R$1,0)),"")</f>
        <v/>
      </c>
      <c r="L884" s="23" t="str">
        <f>IFERROR(INDEX(vdata_regressors!$A$1:$L$2000,MATCH($A884,vdata_regressors!$A$2:$A$2000,0)+1,MATCH(L$2,vdata_regressors!$A$1:$R$1,0)),"")</f>
        <v/>
      </c>
      <c r="M884" s="23" t="str">
        <f>IFERROR(VLOOKUP(A884,vdata_hours!$A$2:$B$1000,2,FALSE),"")</f>
        <v/>
      </c>
    </row>
    <row r="885" spans="1:13" x14ac:dyDescent="0.25">
      <c r="A885" s="23" t="str">
        <f>IF(vdata_hours!A884=0,"",vdata_hours!A884)</f>
        <v/>
      </c>
      <c r="B885" s="23" t="str">
        <f>IFERROR(INDEX(vdata_regressors!$A$1:$L$2000,MATCH($A885,vdata_regressors!$A$2:$A$2000,0)+1,MATCH(B$2,vdata_regressors!$A$1:$R$1,0)),"")</f>
        <v/>
      </c>
      <c r="C885" s="23" t="str">
        <f>IFERROR(INDEX(vdata_regressors!$A$1:$L$2000,MATCH($A885,vdata_regressors!$A$2:$A$2000,0)+1,MATCH(C$2,vdata_regressors!$A$1:$R$1,0)),"")</f>
        <v/>
      </c>
      <c r="D885" s="23" t="str">
        <f>IFERROR(INDEX(vdata_regressors!$A$1:$L$2000,MATCH($A885,vdata_regressors!$A$2:$A$2000,0)+1,MATCH(D$2,vdata_regressors!$A$1:$R$1,0)),"")</f>
        <v/>
      </c>
      <c r="E885" s="23" t="str">
        <f>IFERROR(INDEX(vdata_regressors!$A$1:$L$2000,MATCH($A885,vdata_regressors!$A$2:$A$2000,0)+1,MATCH(E$2,vdata_regressors!$A$1:$R$1,0)),"")</f>
        <v/>
      </c>
      <c r="F885" s="23" t="str">
        <f>IFERROR(INDEX(vdata_regressors!$A$1:$L$2000,MATCH($A885,vdata_regressors!$A$2:$A$2000,0)+1,MATCH(F$2,vdata_regressors!$A$1:$R$1,0)),"")</f>
        <v/>
      </c>
      <c r="G885" s="23" t="str">
        <f>IFERROR(INDEX(vdata_regressors!$A$1:$L$2000,MATCH($A885,vdata_regressors!$A$2:$A$2000,0)+1,MATCH(G$2,vdata_regressors!$A$1:$R$1,0)),"")</f>
        <v/>
      </c>
      <c r="H885" s="23" t="str">
        <f>IFERROR(INDEX(vdata_regressors!$A$1:$L$2000,MATCH($A885,vdata_regressors!$A$2:$A$2000,0)+1,MATCH(H$2,vdata_regressors!$A$1:$R$1,0)),"")</f>
        <v/>
      </c>
      <c r="I885" s="23" t="str">
        <f>IFERROR(INDEX(vdata_regressors!$A$1:$L$2000,MATCH($A885,vdata_regressors!$A$2:$A$2000,0)+1,MATCH(I$2,vdata_regressors!$A$1:$R$1,0)),"")</f>
        <v/>
      </c>
      <c r="J885" s="23" t="str">
        <f>IFERROR(INDEX(vdata_regressors!$A$1:$L$2000,MATCH($A885,vdata_regressors!$A$2:$A$2000,0)+1,MATCH(J$2,vdata_regressors!$A$1:$R$1,0)),"")</f>
        <v/>
      </c>
      <c r="K885" s="23" t="str">
        <f>IFERROR(INDEX(vdata_regressors!$A$1:$L$2000,MATCH($A885,vdata_regressors!$A$2:$A$2000,0)+1,MATCH(K$2,vdata_regressors!$A$1:$R$1,0)),"")</f>
        <v/>
      </c>
      <c r="L885" s="23" t="str">
        <f>IFERROR(INDEX(vdata_regressors!$A$1:$L$2000,MATCH($A885,vdata_regressors!$A$2:$A$2000,0)+1,MATCH(L$2,vdata_regressors!$A$1:$R$1,0)),"")</f>
        <v/>
      </c>
      <c r="M885" s="23" t="str">
        <f>IFERROR(VLOOKUP(A885,vdata_hours!$A$2:$B$1000,2,FALSE),"")</f>
        <v/>
      </c>
    </row>
    <row r="886" spans="1:13" x14ac:dyDescent="0.25">
      <c r="A886" s="23" t="str">
        <f>IF(vdata_hours!A885=0,"",vdata_hours!A885)</f>
        <v/>
      </c>
      <c r="B886" s="23" t="str">
        <f>IFERROR(INDEX(vdata_regressors!$A$1:$L$2000,MATCH($A886,vdata_regressors!$A$2:$A$2000,0)+1,MATCH(B$2,vdata_regressors!$A$1:$R$1,0)),"")</f>
        <v/>
      </c>
      <c r="C886" s="23" t="str">
        <f>IFERROR(INDEX(vdata_regressors!$A$1:$L$2000,MATCH($A886,vdata_regressors!$A$2:$A$2000,0)+1,MATCH(C$2,vdata_regressors!$A$1:$R$1,0)),"")</f>
        <v/>
      </c>
      <c r="D886" s="23" t="str">
        <f>IFERROR(INDEX(vdata_regressors!$A$1:$L$2000,MATCH($A886,vdata_regressors!$A$2:$A$2000,0)+1,MATCH(D$2,vdata_regressors!$A$1:$R$1,0)),"")</f>
        <v/>
      </c>
      <c r="E886" s="23" t="str">
        <f>IFERROR(INDEX(vdata_regressors!$A$1:$L$2000,MATCH($A886,vdata_regressors!$A$2:$A$2000,0)+1,MATCH(E$2,vdata_regressors!$A$1:$R$1,0)),"")</f>
        <v/>
      </c>
      <c r="F886" s="23" t="str">
        <f>IFERROR(INDEX(vdata_regressors!$A$1:$L$2000,MATCH($A886,vdata_regressors!$A$2:$A$2000,0)+1,MATCH(F$2,vdata_regressors!$A$1:$R$1,0)),"")</f>
        <v/>
      </c>
      <c r="G886" s="23" t="str">
        <f>IFERROR(INDEX(vdata_regressors!$A$1:$L$2000,MATCH($A886,vdata_regressors!$A$2:$A$2000,0)+1,MATCH(G$2,vdata_regressors!$A$1:$R$1,0)),"")</f>
        <v/>
      </c>
      <c r="H886" s="23" t="str">
        <f>IFERROR(INDEX(vdata_regressors!$A$1:$L$2000,MATCH($A886,vdata_regressors!$A$2:$A$2000,0)+1,MATCH(H$2,vdata_regressors!$A$1:$R$1,0)),"")</f>
        <v/>
      </c>
      <c r="I886" s="23" t="str">
        <f>IFERROR(INDEX(vdata_regressors!$A$1:$L$2000,MATCH($A886,vdata_regressors!$A$2:$A$2000,0)+1,MATCH(I$2,vdata_regressors!$A$1:$R$1,0)),"")</f>
        <v/>
      </c>
      <c r="J886" s="23" t="str">
        <f>IFERROR(INDEX(vdata_regressors!$A$1:$L$2000,MATCH($A886,vdata_regressors!$A$2:$A$2000,0)+1,MATCH(J$2,vdata_regressors!$A$1:$R$1,0)),"")</f>
        <v/>
      </c>
      <c r="K886" s="23" t="str">
        <f>IFERROR(INDEX(vdata_regressors!$A$1:$L$2000,MATCH($A886,vdata_regressors!$A$2:$A$2000,0)+1,MATCH(K$2,vdata_regressors!$A$1:$R$1,0)),"")</f>
        <v/>
      </c>
      <c r="L886" s="23" t="str">
        <f>IFERROR(INDEX(vdata_regressors!$A$1:$L$2000,MATCH($A886,vdata_regressors!$A$2:$A$2000,0)+1,MATCH(L$2,vdata_regressors!$A$1:$R$1,0)),"")</f>
        <v/>
      </c>
      <c r="M886" s="23" t="str">
        <f>IFERROR(VLOOKUP(A886,vdata_hours!$A$2:$B$1000,2,FALSE),"")</f>
        <v/>
      </c>
    </row>
    <row r="887" spans="1:13" x14ac:dyDescent="0.25">
      <c r="A887" s="23" t="str">
        <f>IF(vdata_hours!A886=0,"",vdata_hours!A886)</f>
        <v/>
      </c>
      <c r="B887" s="23" t="str">
        <f>IFERROR(INDEX(vdata_regressors!$A$1:$L$2000,MATCH($A887,vdata_regressors!$A$2:$A$2000,0)+1,MATCH(B$2,vdata_regressors!$A$1:$R$1,0)),"")</f>
        <v/>
      </c>
      <c r="C887" s="23" t="str">
        <f>IFERROR(INDEX(vdata_regressors!$A$1:$L$2000,MATCH($A887,vdata_regressors!$A$2:$A$2000,0)+1,MATCH(C$2,vdata_regressors!$A$1:$R$1,0)),"")</f>
        <v/>
      </c>
      <c r="D887" s="23" t="str">
        <f>IFERROR(INDEX(vdata_regressors!$A$1:$L$2000,MATCH($A887,vdata_regressors!$A$2:$A$2000,0)+1,MATCH(D$2,vdata_regressors!$A$1:$R$1,0)),"")</f>
        <v/>
      </c>
      <c r="E887" s="23" t="str">
        <f>IFERROR(INDEX(vdata_regressors!$A$1:$L$2000,MATCH($A887,vdata_regressors!$A$2:$A$2000,0)+1,MATCH(E$2,vdata_regressors!$A$1:$R$1,0)),"")</f>
        <v/>
      </c>
      <c r="F887" s="23" t="str">
        <f>IFERROR(INDEX(vdata_regressors!$A$1:$L$2000,MATCH($A887,vdata_regressors!$A$2:$A$2000,0)+1,MATCH(F$2,vdata_regressors!$A$1:$R$1,0)),"")</f>
        <v/>
      </c>
      <c r="G887" s="23" t="str">
        <f>IFERROR(INDEX(vdata_regressors!$A$1:$L$2000,MATCH($A887,vdata_regressors!$A$2:$A$2000,0)+1,MATCH(G$2,vdata_regressors!$A$1:$R$1,0)),"")</f>
        <v/>
      </c>
      <c r="H887" s="23" t="str">
        <f>IFERROR(INDEX(vdata_regressors!$A$1:$L$2000,MATCH($A887,vdata_regressors!$A$2:$A$2000,0)+1,MATCH(H$2,vdata_regressors!$A$1:$R$1,0)),"")</f>
        <v/>
      </c>
      <c r="I887" s="23" t="str">
        <f>IFERROR(INDEX(vdata_regressors!$A$1:$L$2000,MATCH($A887,vdata_regressors!$A$2:$A$2000,0)+1,MATCH(I$2,vdata_regressors!$A$1:$R$1,0)),"")</f>
        <v/>
      </c>
      <c r="J887" s="23" t="str">
        <f>IFERROR(INDEX(vdata_regressors!$A$1:$L$2000,MATCH($A887,vdata_regressors!$A$2:$A$2000,0)+1,MATCH(J$2,vdata_regressors!$A$1:$R$1,0)),"")</f>
        <v/>
      </c>
      <c r="K887" s="23" t="str">
        <f>IFERROR(INDEX(vdata_regressors!$A$1:$L$2000,MATCH($A887,vdata_regressors!$A$2:$A$2000,0)+1,MATCH(K$2,vdata_regressors!$A$1:$R$1,0)),"")</f>
        <v/>
      </c>
      <c r="L887" s="23" t="str">
        <f>IFERROR(INDEX(vdata_regressors!$A$1:$L$2000,MATCH($A887,vdata_regressors!$A$2:$A$2000,0)+1,MATCH(L$2,vdata_regressors!$A$1:$R$1,0)),"")</f>
        <v/>
      </c>
      <c r="M887" s="23" t="str">
        <f>IFERROR(VLOOKUP(A887,vdata_hours!$A$2:$B$1000,2,FALSE),"")</f>
        <v/>
      </c>
    </row>
    <row r="888" spans="1:13" x14ac:dyDescent="0.25">
      <c r="A888" s="23" t="str">
        <f>IF(vdata_hours!A887=0,"",vdata_hours!A887)</f>
        <v/>
      </c>
      <c r="B888" s="23" t="str">
        <f>IFERROR(INDEX(vdata_regressors!$A$1:$L$2000,MATCH($A888,vdata_regressors!$A$2:$A$2000,0)+1,MATCH(B$2,vdata_regressors!$A$1:$R$1,0)),"")</f>
        <v/>
      </c>
      <c r="C888" s="23" t="str">
        <f>IFERROR(INDEX(vdata_regressors!$A$1:$L$2000,MATCH($A888,vdata_regressors!$A$2:$A$2000,0)+1,MATCH(C$2,vdata_regressors!$A$1:$R$1,0)),"")</f>
        <v/>
      </c>
      <c r="D888" s="23" t="str">
        <f>IFERROR(INDEX(vdata_regressors!$A$1:$L$2000,MATCH($A888,vdata_regressors!$A$2:$A$2000,0)+1,MATCH(D$2,vdata_regressors!$A$1:$R$1,0)),"")</f>
        <v/>
      </c>
      <c r="E888" s="23" t="str">
        <f>IFERROR(INDEX(vdata_regressors!$A$1:$L$2000,MATCH($A888,vdata_regressors!$A$2:$A$2000,0)+1,MATCH(E$2,vdata_regressors!$A$1:$R$1,0)),"")</f>
        <v/>
      </c>
      <c r="F888" s="23" t="str">
        <f>IFERROR(INDEX(vdata_regressors!$A$1:$L$2000,MATCH($A888,vdata_regressors!$A$2:$A$2000,0)+1,MATCH(F$2,vdata_regressors!$A$1:$R$1,0)),"")</f>
        <v/>
      </c>
      <c r="G888" s="23" t="str">
        <f>IFERROR(INDEX(vdata_regressors!$A$1:$L$2000,MATCH($A888,vdata_regressors!$A$2:$A$2000,0)+1,MATCH(G$2,vdata_regressors!$A$1:$R$1,0)),"")</f>
        <v/>
      </c>
      <c r="H888" s="23" t="str">
        <f>IFERROR(INDEX(vdata_regressors!$A$1:$L$2000,MATCH($A888,vdata_regressors!$A$2:$A$2000,0)+1,MATCH(H$2,vdata_regressors!$A$1:$R$1,0)),"")</f>
        <v/>
      </c>
      <c r="I888" s="23" t="str">
        <f>IFERROR(INDEX(vdata_regressors!$A$1:$L$2000,MATCH($A888,vdata_regressors!$A$2:$A$2000,0)+1,MATCH(I$2,vdata_regressors!$A$1:$R$1,0)),"")</f>
        <v/>
      </c>
      <c r="J888" s="23" t="str">
        <f>IFERROR(INDEX(vdata_regressors!$A$1:$L$2000,MATCH($A888,vdata_regressors!$A$2:$A$2000,0)+1,MATCH(J$2,vdata_regressors!$A$1:$R$1,0)),"")</f>
        <v/>
      </c>
      <c r="K888" s="23" t="str">
        <f>IFERROR(INDEX(vdata_regressors!$A$1:$L$2000,MATCH($A888,vdata_regressors!$A$2:$A$2000,0)+1,MATCH(K$2,vdata_regressors!$A$1:$R$1,0)),"")</f>
        <v/>
      </c>
      <c r="L888" s="23" t="str">
        <f>IFERROR(INDEX(vdata_regressors!$A$1:$L$2000,MATCH($A888,vdata_regressors!$A$2:$A$2000,0)+1,MATCH(L$2,vdata_regressors!$A$1:$R$1,0)),"")</f>
        <v/>
      </c>
      <c r="M888" s="23" t="str">
        <f>IFERROR(VLOOKUP(A888,vdata_hours!$A$2:$B$1000,2,FALSE),"")</f>
        <v/>
      </c>
    </row>
    <row r="889" spans="1:13" x14ac:dyDescent="0.25">
      <c r="A889" s="23" t="str">
        <f>IF(vdata_hours!A888=0,"",vdata_hours!A888)</f>
        <v/>
      </c>
      <c r="B889" s="23" t="str">
        <f>IFERROR(INDEX(vdata_regressors!$A$1:$L$2000,MATCH($A889,vdata_regressors!$A$2:$A$2000,0)+1,MATCH(B$2,vdata_regressors!$A$1:$R$1,0)),"")</f>
        <v/>
      </c>
      <c r="C889" s="23" t="str">
        <f>IFERROR(INDEX(vdata_regressors!$A$1:$L$2000,MATCH($A889,vdata_regressors!$A$2:$A$2000,0)+1,MATCH(C$2,vdata_regressors!$A$1:$R$1,0)),"")</f>
        <v/>
      </c>
      <c r="D889" s="23" t="str">
        <f>IFERROR(INDEX(vdata_regressors!$A$1:$L$2000,MATCH($A889,vdata_regressors!$A$2:$A$2000,0)+1,MATCH(D$2,vdata_regressors!$A$1:$R$1,0)),"")</f>
        <v/>
      </c>
      <c r="E889" s="23" t="str">
        <f>IFERROR(INDEX(vdata_regressors!$A$1:$L$2000,MATCH($A889,vdata_regressors!$A$2:$A$2000,0)+1,MATCH(E$2,vdata_regressors!$A$1:$R$1,0)),"")</f>
        <v/>
      </c>
      <c r="F889" s="23" t="str">
        <f>IFERROR(INDEX(vdata_regressors!$A$1:$L$2000,MATCH($A889,vdata_regressors!$A$2:$A$2000,0)+1,MATCH(F$2,vdata_regressors!$A$1:$R$1,0)),"")</f>
        <v/>
      </c>
      <c r="G889" s="23" t="str">
        <f>IFERROR(INDEX(vdata_regressors!$A$1:$L$2000,MATCH($A889,vdata_regressors!$A$2:$A$2000,0)+1,MATCH(G$2,vdata_regressors!$A$1:$R$1,0)),"")</f>
        <v/>
      </c>
      <c r="H889" s="23" t="str">
        <f>IFERROR(INDEX(vdata_regressors!$A$1:$L$2000,MATCH($A889,vdata_regressors!$A$2:$A$2000,0)+1,MATCH(H$2,vdata_regressors!$A$1:$R$1,0)),"")</f>
        <v/>
      </c>
      <c r="I889" s="23" t="str">
        <f>IFERROR(INDEX(vdata_regressors!$A$1:$L$2000,MATCH($A889,vdata_regressors!$A$2:$A$2000,0)+1,MATCH(I$2,vdata_regressors!$A$1:$R$1,0)),"")</f>
        <v/>
      </c>
      <c r="J889" s="23" t="str">
        <f>IFERROR(INDEX(vdata_regressors!$A$1:$L$2000,MATCH($A889,vdata_regressors!$A$2:$A$2000,0)+1,MATCH(J$2,vdata_regressors!$A$1:$R$1,0)),"")</f>
        <v/>
      </c>
      <c r="K889" s="23" t="str">
        <f>IFERROR(INDEX(vdata_regressors!$A$1:$L$2000,MATCH($A889,vdata_regressors!$A$2:$A$2000,0)+1,MATCH(K$2,vdata_regressors!$A$1:$R$1,0)),"")</f>
        <v/>
      </c>
      <c r="L889" s="23" t="str">
        <f>IFERROR(INDEX(vdata_regressors!$A$1:$L$2000,MATCH($A889,vdata_regressors!$A$2:$A$2000,0)+1,MATCH(L$2,vdata_regressors!$A$1:$R$1,0)),"")</f>
        <v/>
      </c>
      <c r="M889" s="23" t="str">
        <f>IFERROR(VLOOKUP(A889,vdata_hours!$A$2:$B$1000,2,FALSE),"")</f>
        <v/>
      </c>
    </row>
    <row r="890" spans="1:13" x14ac:dyDescent="0.25">
      <c r="A890" s="23" t="str">
        <f>IF(vdata_hours!A889=0,"",vdata_hours!A889)</f>
        <v/>
      </c>
      <c r="B890" s="23" t="str">
        <f>IFERROR(INDEX(vdata_regressors!$A$1:$L$2000,MATCH($A890,vdata_regressors!$A$2:$A$2000,0)+1,MATCH(B$2,vdata_regressors!$A$1:$R$1,0)),"")</f>
        <v/>
      </c>
      <c r="C890" s="23" t="str">
        <f>IFERROR(INDEX(vdata_regressors!$A$1:$L$2000,MATCH($A890,vdata_regressors!$A$2:$A$2000,0)+1,MATCH(C$2,vdata_regressors!$A$1:$R$1,0)),"")</f>
        <v/>
      </c>
      <c r="D890" s="23" t="str">
        <f>IFERROR(INDEX(vdata_regressors!$A$1:$L$2000,MATCH($A890,vdata_regressors!$A$2:$A$2000,0)+1,MATCH(D$2,vdata_regressors!$A$1:$R$1,0)),"")</f>
        <v/>
      </c>
      <c r="E890" s="23" t="str">
        <f>IFERROR(INDEX(vdata_regressors!$A$1:$L$2000,MATCH($A890,vdata_regressors!$A$2:$A$2000,0)+1,MATCH(E$2,vdata_regressors!$A$1:$R$1,0)),"")</f>
        <v/>
      </c>
      <c r="F890" s="23" t="str">
        <f>IFERROR(INDEX(vdata_regressors!$A$1:$L$2000,MATCH($A890,vdata_regressors!$A$2:$A$2000,0)+1,MATCH(F$2,vdata_regressors!$A$1:$R$1,0)),"")</f>
        <v/>
      </c>
      <c r="G890" s="23" t="str">
        <f>IFERROR(INDEX(vdata_regressors!$A$1:$L$2000,MATCH($A890,vdata_regressors!$A$2:$A$2000,0)+1,MATCH(G$2,vdata_regressors!$A$1:$R$1,0)),"")</f>
        <v/>
      </c>
      <c r="H890" s="23" t="str">
        <f>IFERROR(INDEX(vdata_regressors!$A$1:$L$2000,MATCH($A890,vdata_regressors!$A$2:$A$2000,0)+1,MATCH(H$2,vdata_regressors!$A$1:$R$1,0)),"")</f>
        <v/>
      </c>
      <c r="I890" s="23" t="str">
        <f>IFERROR(INDEX(vdata_regressors!$A$1:$L$2000,MATCH($A890,vdata_regressors!$A$2:$A$2000,0)+1,MATCH(I$2,vdata_regressors!$A$1:$R$1,0)),"")</f>
        <v/>
      </c>
      <c r="J890" s="23" t="str">
        <f>IFERROR(INDEX(vdata_regressors!$A$1:$L$2000,MATCH($A890,vdata_regressors!$A$2:$A$2000,0)+1,MATCH(J$2,vdata_regressors!$A$1:$R$1,0)),"")</f>
        <v/>
      </c>
      <c r="K890" s="23" t="str">
        <f>IFERROR(INDEX(vdata_regressors!$A$1:$L$2000,MATCH($A890,vdata_regressors!$A$2:$A$2000,0)+1,MATCH(K$2,vdata_regressors!$A$1:$R$1,0)),"")</f>
        <v/>
      </c>
      <c r="L890" s="23" t="str">
        <f>IFERROR(INDEX(vdata_regressors!$A$1:$L$2000,MATCH($A890,vdata_regressors!$A$2:$A$2000,0)+1,MATCH(L$2,vdata_regressors!$A$1:$R$1,0)),"")</f>
        <v/>
      </c>
      <c r="M890" s="23" t="str">
        <f>IFERROR(VLOOKUP(A890,vdata_hours!$A$2:$B$1000,2,FALSE),"")</f>
        <v/>
      </c>
    </row>
    <row r="891" spans="1:13" x14ac:dyDescent="0.25">
      <c r="A891" s="23" t="str">
        <f>IF(vdata_hours!A890=0,"",vdata_hours!A890)</f>
        <v/>
      </c>
      <c r="B891" s="23" t="str">
        <f>IFERROR(INDEX(vdata_regressors!$A$1:$L$2000,MATCH($A891,vdata_regressors!$A$2:$A$2000,0)+1,MATCH(B$2,vdata_regressors!$A$1:$R$1,0)),"")</f>
        <v/>
      </c>
      <c r="C891" s="23" t="str">
        <f>IFERROR(INDEX(vdata_regressors!$A$1:$L$2000,MATCH($A891,vdata_regressors!$A$2:$A$2000,0)+1,MATCH(C$2,vdata_regressors!$A$1:$R$1,0)),"")</f>
        <v/>
      </c>
      <c r="D891" s="23" t="str">
        <f>IFERROR(INDEX(vdata_regressors!$A$1:$L$2000,MATCH($A891,vdata_regressors!$A$2:$A$2000,0)+1,MATCH(D$2,vdata_regressors!$A$1:$R$1,0)),"")</f>
        <v/>
      </c>
      <c r="E891" s="23" t="str">
        <f>IFERROR(INDEX(vdata_regressors!$A$1:$L$2000,MATCH($A891,vdata_regressors!$A$2:$A$2000,0)+1,MATCH(E$2,vdata_regressors!$A$1:$R$1,0)),"")</f>
        <v/>
      </c>
      <c r="F891" s="23" t="str">
        <f>IFERROR(INDEX(vdata_regressors!$A$1:$L$2000,MATCH($A891,vdata_regressors!$A$2:$A$2000,0)+1,MATCH(F$2,vdata_regressors!$A$1:$R$1,0)),"")</f>
        <v/>
      </c>
      <c r="G891" s="23" t="str">
        <f>IFERROR(INDEX(vdata_regressors!$A$1:$L$2000,MATCH($A891,vdata_regressors!$A$2:$A$2000,0)+1,MATCH(G$2,vdata_regressors!$A$1:$R$1,0)),"")</f>
        <v/>
      </c>
      <c r="H891" s="23" t="str">
        <f>IFERROR(INDEX(vdata_regressors!$A$1:$L$2000,MATCH($A891,vdata_regressors!$A$2:$A$2000,0)+1,MATCH(H$2,vdata_regressors!$A$1:$R$1,0)),"")</f>
        <v/>
      </c>
      <c r="I891" s="23" t="str">
        <f>IFERROR(INDEX(vdata_regressors!$A$1:$L$2000,MATCH($A891,vdata_regressors!$A$2:$A$2000,0)+1,MATCH(I$2,vdata_regressors!$A$1:$R$1,0)),"")</f>
        <v/>
      </c>
      <c r="J891" s="23" t="str">
        <f>IFERROR(INDEX(vdata_regressors!$A$1:$L$2000,MATCH($A891,vdata_regressors!$A$2:$A$2000,0)+1,MATCH(J$2,vdata_regressors!$A$1:$R$1,0)),"")</f>
        <v/>
      </c>
      <c r="K891" s="23" t="str">
        <f>IFERROR(INDEX(vdata_regressors!$A$1:$L$2000,MATCH($A891,vdata_regressors!$A$2:$A$2000,0)+1,MATCH(K$2,vdata_regressors!$A$1:$R$1,0)),"")</f>
        <v/>
      </c>
      <c r="L891" s="23" t="str">
        <f>IFERROR(INDEX(vdata_regressors!$A$1:$L$2000,MATCH($A891,vdata_regressors!$A$2:$A$2000,0)+1,MATCH(L$2,vdata_regressors!$A$1:$R$1,0)),"")</f>
        <v/>
      </c>
      <c r="M891" s="23" t="str">
        <f>IFERROR(VLOOKUP(A891,vdata_hours!$A$2:$B$1000,2,FALSE),"")</f>
        <v/>
      </c>
    </row>
    <row r="892" spans="1:13" x14ac:dyDescent="0.25">
      <c r="A892" s="23" t="str">
        <f>IF(vdata_hours!A891=0,"",vdata_hours!A891)</f>
        <v/>
      </c>
      <c r="B892" s="23" t="str">
        <f>IFERROR(INDEX(vdata_regressors!$A$1:$L$2000,MATCH($A892,vdata_regressors!$A$2:$A$2000,0)+1,MATCH(B$2,vdata_regressors!$A$1:$R$1,0)),"")</f>
        <v/>
      </c>
      <c r="C892" s="23" t="str">
        <f>IFERROR(INDEX(vdata_regressors!$A$1:$L$2000,MATCH($A892,vdata_regressors!$A$2:$A$2000,0)+1,MATCH(C$2,vdata_regressors!$A$1:$R$1,0)),"")</f>
        <v/>
      </c>
      <c r="D892" s="23" t="str">
        <f>IFERROR(INDEX(vdata_regressors!$A$1:$L$2000,MATCH($A892,vdata_regressors!$A$2:$A$2000,0)+1,MATCH(D$2,vdata_regressors!$A$1:$R$1,0)),"")</f>
        <v/>
      </c>
      <c r="E892" s="23" t="str">
        <f>IFERROR(INDEX(vdata_regressors!$A$1:$L$2000,MATCH($A892,vdata_regressors!$A$2:$A$2000,0)+1,MATCH(E$2,vdata_regressors!$A$1:$R$1,0)),"")</f>
        <v/>
      </c>
      <c r="F892" s="23" t="str">
        <f>IFERROR(INDEX(vdata_regressors!$A$1:$L$2000,MATCH($A892,vdata_regressors!$A$2:$A$2000,0)+1,MATCH(F$2,vdata_regressors!$A$1:$R$1,0)),"")</f>
        <v/>
      </c>
      <c r="G892" s="23" t="str">
        <f>IFERROR(INDEX(vdata_regressors!$A$1:$L$2000,MATCH($A892,vdata_regressors!$A$2:$A$2000,0)+1,MATCH(G$2,vdata_regressors!$A$1:$R$1,0)),"")</f>
        <v/>
      </c>
      <c r="H892" s="23" t="str">
        <f>IFERROR(INDEX(vdata_regressors!$A$1:$L$2000,MATCH($A892,vdata_regressors!$A$2:$A$2000,0)+1,MATCH(H$2,vdata_regressors!$A$1:$R$1,0)),"")</f>
        <v/>
      </c>
      <c r="I892" s="23" t="str">
        <f>IFERROR(INDEX(vdata_regressors!$A$1:$L$2000,MATCH($A892,vdata_regressors!$A$2:$A$2000,0)+1,MATCH(I$2,vdata_regressors!$A$1:$R$1,0)),"")</f>
        <v/>
      </c>
      <c r="J892" s="23" t="str">
        <f>IFERROR(INDEX(vdata_regressors!$A$1:$L$2000,MATCH($A892,vdata_regressors!$A$2:$A$2000,0)+1,MATCH(J$2,vdata_regressors!$A$1:$R$1,0)),"")</f>
        <v/>
      </c>
      <c r="K892" s="23" t="str">
        <f>IFERROR(INDEX(vdata_regressors!$A$1:$L$2000,MATCH($A892,vdata_regressors!$A$2:$A$2000,0)+1,MATCH(K$2,vdata_regressors!$A$1:$R$1,0)),"")</f>
        <v/>
      </c>
      <c r="L892" s="23" t="str">
        <f>IFERROR(INDEX(vdata_regressors!$A$1:$L$2000,MATCH($A892,vdata_regressors!$A$2:$A$2000,0)+1,MATCH(L$2,vdata_regressors!$A$1:$R$1,0)),"")</f>
        <v/>
      </c>
      <c r="M892" s="23" t="str">
        <f>IFERROR(VLOOKUP(A892,vdata_hours!$A$2:$B$1000,2,FALSE),"")</f>
        <v/>
      </c>
    </row>
    <row r="893" spans="1:13" x14ac:dyDescent="0.25">
      <c r="A893" s="23" t="str">
        <f>IF(vdata_hours!A892=0,"",vdata_hours!A892)</f>
        <v/>
      </c>
      <c r="B893" s="23" t="str">
        <f>IFERROR(INDEX(vdata_regressors!$A$1:$L$2000,MATCH($A893,vdata_regressors!$A$2:$A$2000,0)+1,MATCH(B$2,vdata_regressors!$A$1:$R$1,0)),"")</f>
        <v/>
      </c>
      <c r="C893" s="23" t="str">
        <f>IFERROR(INDEX(vdata_regressors!$A$1:$L$2000,MATCH($A893,vdata_regressors!$A$2:$A$2000,0)+1,MATCH(C$2,vdata_regressors!$A$1:$R$1,0)),"")</f>
        <v/>
      </c>
      <c r="D893" s="23" t="str">
        <f>IFERROR(INDEX(vdata_regressors!$A$1:$L$2000,MATCH($A893,vdata_regressors!$A$2:$A$2000,0)+1,MATCH(D$2,vdata_regressors!$A$1:$R$1,0)),"")</f>
        <v/>
      </c>
      <c r="E893" s="23" t="str">
        <f>IFERROR(INDEX(vdata_regressors!$A$1:$L$2000,MATCH($A893,vdata_regressors!$A$2:$A$2000,0)+1,MATCH(E$2,vdata_regressors!$A$1:$R$1,0)),"")</f>
        <v/>
      </c>
      <c r="F893" s="23" t="str">
        <f>IFERROR(INDEX(vdata_regressors!$A$1:$L$2000,MATCH($A893,vdata_regressors!$A$2:$A$2000,0)+1,MATCH(F$2,vdata_regressors!$A$1:$R$1,0)),"")</f>
        <v/>
      </c>
      <c r="G893" s="23" t="str">
        <f>IFERROR(INDEX(vdata_regressors!$A$1:$L$2000,MATCH($A893,vdata_regressors!$A$2:$A$2000,0)+1,MATCH(G$2,vdata_regressors!$A$1:$R$1,0)),"")</f>
        <v/>
      </c>
      <c r="H893" s="23" t="str">
        <f>IFERROR(INDEX(vdata_regressors!$A$1:$L$2000,MATCH($A893,vdata_regressors!$A$2:$A$2000,0)+1,MATCH(H$2,vdata_regressors!$A$1:$R$1,0)),"")</f>
        <v/>
      </c>
      <c r="I893" s="23" t="str">
        <f>IFERROR(INDEX(vdata_regressors!$A$1:$L$2000,MATCH($A893,vdata_regressors!$A$2:$A$2000,0)+1,MATCH(I$2,vdata_regressors!$A$1:$R$1,0)),"")</f>
        <v/>
      </c>
      <c r="J893" s="23" t="str">
        <f>IFERROR(INDEX(vdata_regressors!$A$1:$L$2000,MATCH($A893,vdata_regressors!$A$2:$A$2000,0)+1,MATCH(J$2,vdata_regressors!$A$1:$R$1,0)),"")</f>
        <v/>
      </c>
      <c r="K893" s="23" t="str">
        <f>IFERROR(INDEX(vdata_regressors!$A$1:$L$2000,MATCH($A893,vdata_regressors!$A$2:$A$2000,0)+1,MATCH(K$2,vdata_regressors!$A$1:$R$1,0)),"")</f>
        <v/>
      </c>
      <c r="L893" s="23" t="str">
        <f>IFERROR(INDEX(vdata_regressors!$A$1:$L$2000,MATCH($A893,vdata_regressors!$A$2:$A$2000,0)+1,MATCH(L$2,vdata_regressors!$A$1:$R$1,0)),"")</f>
        <v/>
      </c>
      <c r="M893" s="23" t="str">
        <f>IFERROR(VLOOKUP(A893,vdata_hours!$A$2:$B$1000,2,FALSE),"")</f>
        <v/>
      </c>
    </row>
    <row r="894" spans="1:13" x14ac:dyDescent="0.25">
      <c r="A894" s="23" t="str">
        <f>IF(vdata_hours!A893=0,"",vdata_hours!A893)</f>
        <v/>
      </c>
      <c r="B894" s="23" t="str">
        <f>IFERROR(INDEX(vdata_regressors!$A$1:$L$2000,MATCH($A894,vdata_regressors!$A$2:$A$2000,0)+1,MATCH(B$2,vdata_regressors!$A$1:$R$1,0)),"")</f>
        <v/>
      </c>
      <c r="C894" s="23" t="str">
        <f>IFERROR(INDEX(vdata_regressors!$A$1:$L$2000,MATCH($A894,vdata_regressors!$A$2:$A$2000,0)+1,MATCH(C$2,vdata_regressors!$A$1:$R$1,0)),"")</f>
        <v/>
      </c>
      <c r="D894" s="23" t="str">
        <f>IFERROR(INDEX(vdata_regressors!$A$1:$L$2000,MATCH($A894,vdata_regressors!$A$2:$A$2000,0)+1,MATCH(D$2,vdata_regressors!$A$1:$R$1,0)),"")</f>
        <v/>
      </c>
      <c r="E894" s="23" t="str">
        <f>IFERROR(INDEX(vdata_regressors!$A$1:$L$2000,MATCH($A894,vdata_regressors!$A$2:$A$2000,0)+1,MATCH(E$2,vdata_regressors!$A$1:$R$1,0)),"")</f>
        <v/>
      </c>
      <c r="F894" s="23" t="str">
        <f>IFERROR(INDEX(vdata_regressors!$A$1:$L$2000,MATCH($A894,vdata_regressors!$A$2:$A$2000,0)+1,MATCH(F$2,vdata_regressors!$A$1:$R$1,0)),"")</f>
        <v/>
      </c>
      <c r="G894" s="23" t="str">
        <f>IFERROR(INDEX(vdata_regressors!$A$1:$L$2000,MATCH($A894,vdata_regressors!$A$2:$A$2000,0)+1,MATCH(G$2,vdata_regressors!$A$1:$R$1,0)),"")</f>
        <v/>
      </c>
      <c r="H894" s="23" t="str">
        <f>IFERROR(INDEX(vdata_regressors!$A$1:$L$2000,MATCH($A894,vdata_regressors!$A$2:$A$2000,0)+1,MATCH(H$2,vdata_regressors!$A$1:$R$1,0)),"")</f>
        <v/>
      </c>
      <c r="I894" s="23" t="str">
        <f>IFERROR(INDEX(vdata_regressors!$A$1:$L$2000,MATCH($A894,vdata_regressors!$A$2:$A$2000,0)+1,MATCH(I$2,vdata_regressors!$A$1:$R$1,0)),"")</f>
        <v/>
      </c>
      <c r="J894" s="23" t="str">
        <f>IFERROR(INDEX(vdata_regressors!$A$1:$L$2000,MATCH($A894,vdata_regressors!$A$2:$A$2000,0)+1,MATCH(J$2,vdata_regressors!$A$1:$R$1,0)),"")</f>
        <v/>
      </c>
      <c r="K894" s="23" t="str">
        <f>IFERROR(INDEX(vdata_regressors!$A$1:$L$2000,MATCH($A894,vdata_regressors!$A$2:$A$2000,0)+1,MATCH(K$2,vdata_regressors!$A$1:$R$1,0)),"")</f>
        <v/>
      </c>
      <c r="L894" s="23" t="str">
        <f>IFERROR(INDEX(vdata_regressors!$A$1:$L$2000,MATCH($A894,vdata_regressors!$A$2:$A$2000,0)+1,MATCH(L$2,vdata_regressors!$A$1:$R$1,0)),"")</f>
        <v/>
      </c>
      <c r="M894" s="23" t="str">
        <f>IFERROR(VLOOKUP(A894,vdata_hours!$A$2:$B$1000,2,FALSE),"")</f>
        <v/>
      </c>
    </row>
    <row r="895" spans="1:13" x14ac:dyDescent="0.25">
      <c r="A895" s="23" t="str">
        <f>IF(vdata_hours!A894=0,"",vdata_hours!A894)</f>
        <v/>
      </c>
      <c r="B895" s="23" t="str">
        <f>IFERROR(INDEX(vdata_regressors!$A$1:$L$2000,MATCH($A895,vdata_regressors!$A$2:$A$2000,0)+1,MATCH(B$2,vdata_regressors!$A$1:$R$1,0)),"")</f>
        <v/>
      </c>
      <c r="C895" s="23" t="str">
        <f>IFERROR(INDEX(vdata_regressors!$A$1:$L$2000,MATCH($A895,vdata_regressors!$A$2:$A$2000,0)+1,MATCH(C$2,vdata_regressors!$A$1:$R$1,0)),"")</f>
        <v/>
      </c>
      <c r="D895" s="23" t="str">
        <f>IFERROR(INDEX(vdata_regressors!$A$1:$L$2000,MATCH($A895,vdata_regressors!$A$2:$A$2000,0)+1,MATCH(D$2,vdata_regressors!$A$1:$R$1,0)),"")</f>
        <v/>
      </c>
      <c r="E895" s="23" t="str">
        <f>IFERROR(INDEX(vdata_regressors!$A$1:$L$2000,MATCH($A895,vdata_regressors!$A$2:$A$2000,0)+1,MATCH(E$2,vdata_regressors!$A$1:$R$1,0)),"")</f>
        <v/>
      </c>
      <c r="F895" s="23" t="str">
        <f>IFERROR(INDEX(vdata_regressors!$A$1:$L$2000,MATCH($A895,vdata_regressors!$A$2:$A$2000,0)+1,MATCH(F$2,vdata_regressors!$A$1:$R$1,0)),"")</f>
        <v/>
      </c>
      <c r="G895" s="23" t="str">
        <f>IFERROR(INDEX(vdata_regressors!$A$1:$L$2000,MATCH($A895,vdata_regressors!$A$2:$A$2000,0)+1,MATCH(G$2,vdata_regressors!$A$1:$R$1,0)),"")</f>
        <v/>
      </c>
      <c r="H895" s="23" t="str">
        <f>IFERROR(INDEX(vdata_regressors!$A$1:$L$2000,MATCH($A895,vdata_regressors!$A$2:$A$2000,0)+1,MATCH(H$2,vdata_regressors!$A$1:$R$1,0)),"")</f>
        <v/>
      </c>
      <c r="I895" s="23" t="str">
        <f>IFERROR(INDEX(vdata_regressors!$A$1:$L$2000,MATCH($A895,vdata_regressors!$A$2:$A$2000,0)+1,MATCH(I$2,vdata_regressors!$A$1:$R$1,0)),"")</f>
        <v/>
      </c>
      <c r="J895" s="23" t="str">
        <f>IFERROR(INDEX(vdata_regressors!$A$1:$L$2000,MATCH($A895,vdata_regressors!$A$2:$A$2000,0)+1,MATCH(J$2,vdata_regressors!$A$1:$R$1,0)),"")</f>
        <v/>
      </c>
      <c r="K895" s="23" t="str">
        <f>IFERROR(INDEX(vdata_regressors!$A$1:$L$2000,MATCH($A895,vdata_regressors!$A$2:$A$2000,0)+1,MATCH(K$2,vdata_regressors!$A$1:$R$1,0)),"")</f>
        <v/>
      </c>
      <c r="L895" s="23" t="str">
        <f>IFERROR(INDEX(vdata_regressors!$A$1:$L$2000,MATCH($A895,vdata_regressors!$A$2:$A$2000,0)+1,MATCH(L$2,vdata_regressors!$A$1:$R$1,0)),"")</f>
        <v/>
      </c>
      <c r="M895" s="23" t="str">
        <f>IFERROR(VLOOKUP(A895,vdata_hours!$A$2:$B$1000,2,FALSE),"")</f>
        <v/>
      </c>
    </row>
    <row r="896" spans="1:13" x14ac:dyDescent="0.25">
      <c r="A896" s="23" t="str">
        <f>IF(vdata_hours!A895=0,"",vdata_hours!A895)</f>
        <v/>
      </c>
      <c r="B896" s="23" t="str">
        <f>IFERROR(INDEX(vdata_regressors!$A$1:$L$2000,MATCH($A896,vdata_regressors!$A$2:$A$2000,0)+1,MATCH(B$2,vdata_regressors!$A$1:$R$1,0)),"")</f>
        <v/>
      </c>
      <c r="C896" s="23" t="str">
        <f>IFERROR(INDEX(vdata_regressors!$A$1:$L$2000,MATCH($A896,vdata_regressors!$A$2:$A$2000,0)+1,MATCH(C$2,vdata_regressors!$A$1:$R$1,0)),"")</f>
        <v/>
      </c>
      <c r="D896" s="23" t="str">
        <f>IFERROR(INDEX(vdata_regressors!$A$1:$L$2000,MATCH($A896,vdata_regressors!$A$2:$A$2000,0)+1,MATCH(D$2,vdata_regressors!$A$1:$R$1,0)),"")</f>
        <v/>
      </c>
      <c r="E896" s="23" t="str">
        <f>IFERROR(INDEX(vdata_regressors!$A$1:$L$2000,MATCH($A896,vdata_regressors!$A$2:$A$2000,0)+1,MATCH(E$2,vdata_regressors!$A$1:$R$1,0)),"")</f>
        <v/>
      </c>
      <c r="F896" s="23" t="str">
        <f>IFERROR(INDEX(vdata_regressors!$A$1:$L$2000,MATCH($A896,vdata_regressors!$A$2:$A$2000,0)+1,MATCH(F$2,vdata_regressors!$A$1:$R$1,0)),"")</f>
        <v/>
      </c>
      <c r="G896" s="23" t="str">
        <f>IFERROR(INDEX(vdata_regressors!$A$1:$L$2000,MATCH($A896,vdata_regressors!$A$2:$A$2000,0)+1,MATCH(G$2,vdata_regressors!$A$1:$R$1,0)),"")</f>
        <v/>
      </c>
      <c r="H896" s="23" t="str">
        <f>IFERROR(INDEX(vdata_regressors!$A$1:$L$2000,MATCH($A896,vdata_regressors!$A$2:$A$2000,0)+1,MATCH(H$2,vdata_regressors!$A$1:$R$1,0)),"")</f>
        <v/>
      </c>
      <c r="I896" s="23" t="str">
        <f>IFERROR(INDEX(vdata_regressors!$A$1:$L$2000,MATCH($A896,vdata_regressors!$A$2:$A$2000,0)+1,MATCH(I$2,vdata_regressors!$A$1:$R$1,0)),"")</f>
        <v/>
      </c>
      <c r="J896" s="23" t="str">
        <f>IFERROR(INDEX(vdata_regressors!$A$1:$L$2000,MATCH($A896,vdata_regressors!$A$2:$A$2000,0)+1,MATCH(J$2,vdata_regressors!$A$1:$R$1,0)),"")</f>
        <v/>
      </c>
      <c r="K896" s="23" t="str">
        <f>IFERROR(INDEX(vdata_regressors!$A$1:$L$2000,MATCH($A896,vdata_regressors!$A$2:$A$2000,0)+1,MATCH(K$2,vdata_regressors!$A$1:$R$1,0)),"")</f>
        <v/>
      </c>
      <c r="L896" s="23" t="str">
        <f>IFERROR(INDEX(vdata_regressors!$A$1:$L$2000,MATCH($A896,vdata_regressors!$A$2:$A$2000,0)+1,MATCH(L$2,vdata_regressors!$A$1:$R$1,0)),"")</f>
        <v/>
      </c>
      <c r="M896" s="23" t="str">
        <f>IFERROR(VLOOKUP(A896,vdata_hours!$A$2:$B$1000,2,FALSE),"")</f>
        <v/>
      </c>
    </row>
    <row r="897" spans="1:13" x14ac:dyDescent="0.25">
      <c r="A897" s="23" t="str">
        <f>IF(vdata_hours!A896=0,"",vdata_hours!A896)</f>
        <v/>
      </c>
      <c r="B897" s="23" t="str">
        <f>IFERROR(INDEX(vdata_regressors!$A$1:$L$2000,MATCH($A897,vdata_regressors!$A$2:$A$2000,0)+1,MATCH(B$2,vdata_regressors!$A$1:$R$1,0)),"")</f>
        <v/>
      </c>
      <c r="C897" s="23" t="str">
        <f>IFERROR(INDEX(vdata_regressors!$A$1:$L$2000,MATCH($A897,vdata_regressors!$A$2:$A$2000,0)+1,MATCH(C$2,vdata_regressors!$A$1:$R$1,0)),"")</f>
        <v/>
      </c>
      <c r="D897" s="23" t="str">
        <f>IFERROR(INDEX(vdata_regressors!$A$1:$L$2000,MATCH($A897,vdata_regressors!$A$2:$A$2000,0)+1,MATCH(D$2,vdata_regressors!$A$1:$R$1,0)),"")</f>
        <v/>
      </c>
      <c r="E897" s="23" t="str">
        <f>IFERROR(INDEX(vdata_regressors!$A$1:$L$2000,MATCH($A897,vdata_regressors!$A$2:$A$2000,0)+1,MATCH(E$2,vdata_regressors!$A$1:$R$1,0)),"")</f>
        <v/>
      </c>
      <c r="F897" s="23" t="str">
        <f>IFERROR(INDEX(vdata_regressors!$A$1:$L$2000,MATCH($A897,vdata_regressors!$A$2:$A$2000,0)+1,MATCH(F$2,vdata_regressors!$A$1:$R$1,0)),"")</f>
        <v/>
      </c>
      <c r="G897" s="23" t="str">
        <f>IFERROR(INDEX(vdata_regressors!$A$1:$L$2000,MATCH($A897,vdata_regressors!$A$2:$A$2000,0)+1,MATCH(G$2,vdata_regressors!$A$1:$R$1,0)),"")</f>
        <v/>
      </c>
      <c r="H897" s="23" t="str">
        <f>IFERROR(INDEX(vdata_regressors!$A$1:$L$2000,MATCH($A897,vdata_regressors!$A$2:$A$2000,0)+1,MATCH(H$2,vdata_regressors!$A$1:$R$1,0)),"")</f>
        <v/>
      </c>
      <c r="I897" s="23" t="str">
        <f>IFERROR(INDEX(vdata_regressors!$A$1:$L$2000,MATCH($A897,vdata_regressors!$A$2:$A$2000,0)+1,MATCH(I$2,vdata_regressors!$A$1:$R$1,0)),"")</f>
        <v/>
      </c>
      <c r="J897" s="23" t="str">
        <f>IFERROR(INDEX(vdata_regressors!$A$1:$L$2000,MATCH($A897,vdata_regressors!$A$2:$A$2000,0)+1,MATCH(J$2,vdata_regressors!$A$1:$R$1,0)),"")</f>
        <v/>
      </c>
      <c r="K897" s="23" t="str">
        <f>IFERROR(INDEX(vdata_regressors!$A$1:$L$2000,MATCH($A897,vdata_regressors!$A$2:$A$2000,0)+1,MATCH(K$2,vdata_regressors!$A$1:$R$1,0)),"")</f>
        <v/>
      </c>
      <c r="L897" s="23" t="str">
        <f>IFERROR(INDEX(vdata_regressors!$A$1:$L$2000,MATCH($A897,vdata_regressors!$A$2:$A$2000,0)+1,MATCH(L$2,vdata_regressors!$A$1:$R$1,0)),"")</f>
        <v/>
      </c>
      <c r="M897" s="23" t="str">
        <f>IFERROR(VLOOKUP(A897,vdata_hours!$A$2:$B$1000,2,FALSE),"")</f>
        <v/>
      </c>
    </row>
    <row r="898" spans="1:13" x14ac:dyDescent="0.25">
      <c r="A898" s="23" t="str">
        <f>IF(vdata_hours!A897=0,"",vdata_hours!A897)</f>
        <v/>
      </c>
      <c r="B898" s="23" t="str">
        <f>IFERROR(INDEX(vdata_regressors!$A$1:$L$2000,MATCH($A898,vdata_regressors!$A$2:$A$2000,0)+1,MATCH(B$2,vdata_regressors!$A$1:$R$1,0)),"")</f>
        <v/>
      </c>
      <c r="C898" s="23" t="str">
        <f>IFERROR(INDEX(vdata_regressors!$A$1:$L$2000,MATCH($A898,vdata_regressors!$A$2:$A$2000,0)+1,MATCH(C$2,vdata_regressors!$A$1:$R$1,0)),"")</f>
        <v/>
      </c>
      <c r="D898" s="23" t="str">
        <f>IFERROR(INDEX(vdata_regressors!$A$1:$L$2000,MATCH($A898,vdata_regressors!$A$2:$A$2000,0)+1,MATCH(D$2,vdata_regressors!$A$1:$R$1,0)),"")</f>
        <v/>
      </c>
      <c r="E898" s="23" t="str">
        <f>IFERROR(INDEX(vdata_regressors!$A$1:$L$2000,MATCH($A898,vdata_regressors!$A$2:$A$2000,0)+1,MATCH(E$2,vdata_regressors!$A$1:$R$1,0)),"")</f>
        <v/>
      </c>
      <c r="F898" s="23" t="str">
        <f>IFERROR(INDEX(vdata_regressors!$A$1:$L$2000,MATCH($A898,vdata_regressors!$A$2:$A$2000,0)+1,MATCH(F$2,vdata_regressors!$A$1:$R$1,0)),"")</f>
        <v/>
      </c>
      <c r="G898" s="23" t="str">
        <f>IFERROR(INDEX(vdata_regressors!$A$1:$L$2000,MATCH($A898,vdata_regressors!$A$2:$A$2000,0)+1,MATCH(G$2,vdata_regressors!$A$1:$R$1,0)),"")</f>
        <v/>
      </c>
      <c r="H898" s="23" t="str">
        <f>IFERROR(INDEX(vdata_regressors!$A$1:$L$2000,MATCH($A898,vdata_regressors!$A$2:$A$2000,0)+1,MATCH(H$2,vdata_regressors!$A$1:$R$1,0)),"")</f>
        <v/>
      </c>
      <c r="I898" s="23" t="str">
        <f>IFERROR(INDEX(vdata_regressors!$A$1:$L$2000,MATCH($A898,vdata_regressors!$A$2:$A$2000,0)+1,MATCH(I$2,vdata_regressors!$A$1:$R$1,0)),"")</f>
        <v/>
      </c>
      <c r="J898" s="23" t="str">
        <f>IFERROR(INDEX(vdata_regressors!$A$1:$L$2000,MATCH($A898,vdata_regressors!$A$2:$A$2000,0)+1,MATCH(J$2,vdata_regressors!$A$1:$R$1,0)),"")</f>
        <v/>
      </c>
      <c r="K898" s="23" t="str">
        <f>IFERROR(INDEX(vdata_regressors!$A$1:$L$2000,MATCH($A898,vdata_regressors!$A$2:$A$2000,0)+1,MATCH(K$2,vdata_regressors!$A$1:$R$1,0)),"")</f>
        <v/>
      </c>
      <c r="L898" s="23" t="str">
        <f>IFERROR(INDEX(vdata_regressors!$A$1:$L$2000,MATCH($A898,vdata_regressors!$A$2:$A$2000,0)+1,MATCH(L$2,vdata_regressors!$A$1:$R$1,0)),"")</f>
        <v/>
      </c>
      <c r="M898" s="23" t="str">
        <f>IFERROR(VLOOKUP(A898,vdata_hours!$A$2:$B$1000,2,FALSE),"")</f>
        <v/>
      </c>
    </row>
    <row r="899" spans="1:13" x14ac:dyDescent="0.25">
      <c r="A899" s="23" t="str">
        <f>IF(vdata_hours!A898=0,"",vdata_hours!A898)</f>
        <v/>
      </c>
      <c r="B899" s="23" t="str">
        <f>IFERROR(INDEX(vdata_regressors!$A$1:$L$2000,MATCH($A899,vdata_regressors!$A$2:$A$2000,0)+1,MATCH(B$2,vdata_regressors!$A$1:$R$1,0)),"")</f>
        <v/>
      </c>
      <c r="C899" s="23" t="str">
        <f>IFERROR(INDEX(vdata_regressors!$A$1:$L$2000,MATCH($A899,vdata_regressors!$A$2:$A$2000,0)+1,MATCH(C$2,vdata_regressors!$A$1:$R$1,0)),"")</f>
        <v/>
      </c>
      <c r="D899" s="23" t="str">
        <f>IFERROR(INDEX(vdata_regressors!$A$1:$L$2000,MATCH($A899,vdata_regressors!$A$2:$A$2000,0)+1,MATCH(D$2,vdata_regressors!$A$1:$R$1,0)),"")</f>
        <v/>
      </c>
      <c r="E899" s="23" t="str">
        <f>IFERROR(INDEX(vdata_regressors!$A$1:$L$2000,MATCH($A899,vdata_regressors!$A$2:$A$2000,0)+1,MATCH(E$2,vdata_regressors!$A$1:$R$1,0)),"")</f>
        <v/>
      </c>
      <c r="F899" s="23" t="str">
        <f>IFERROR(INDEX(vdata_regressors!$A$1:$L$2000,MATCH($A899,vdata_regressors!$A$2:$A$2000,0)+1,MATCH(F$2,vdata_regressors!$A$1:$R$1,0)),"")</f>
        <v/>
      </c>
      <c r="G899" s="23" t="str">
        <f>IFERROR(INDEX(vdata_regressors!$A$1:$L$2000,MATCH($A899,vdata_regressors!$A$2:$A$2000,0)+1,MATCH(G$2,vdata_regressors!$A$1:$R$1,0)),"")</f>
        <v/>
      </c>
      <c r="H899" s="23" t="str">
        <f>IFERROR(INDEX(vdata_regressors!$A$1:$L$2000,MATCH($A899,vdata_regressors!$A$2:$A$2000,0)+1,MATCH(H$2,vdata_regressors!$A$1:$R$1,0)),"")</f>
        <v/>
      </c>
      <c r="I899" s="23" t="str">
        <f>IFERROR(INDEX(vdata_regressors!$A$1:$L$2000,MATCH($A899,vdata_regressors!$A$2:$A$2000,0)+1,MATCH(I$2,vdata_regressors!$A$1:$R$1,0)),"")</f>
        <v/>
      </c>
      <c r="J899" s="23" t="str">
        <f>IFERROR(INDEX(vdata_regressors!$A$1:$L$2000,MATCH($A899,vdata_regressors!$A$2:$A$2000,0)+1,MATCH(J$2,vdata_regressors!$A$1:$R$1,0)),"")</f>
        <v/>
      </c>
      <c r="K899" s="23" t="str">
        <f>IFERROR(INDEX(vdata_regressors!$A$1:$L$2000,MATCH($A899,vdata_regressors!$A$2:$A$2000,0)+1,MATCH(K$2,vdata_regressors!$A$1:$R$1,0)),"")</f>
        <v/>
      </c>
      <c r="L899" s="23" t="str">
        <f>IFERROR(INDEX(vdata_regressors!$A$1:$L$2000,MATCH($A899,vdata_regressors!$A$2:$A$2000,0)+1,MATCH(L$2,vdata_regressors!$A$1:$R$1,0)),"")</f>
        <v/>
      </c>
      <c r="M899" s="23" t="str">
        <f>IFERROR(VLOOKUP(A899,vdata_hours!$A$2:$B$1000,2,FALSE),"")</f>
        <v/>
      </c>
    </row>
    <row r="900" spans="1:13" x14ac:dyDescent="0.25">
      <c r="A900" s="23" t="str">
        <f>IF(vdata_hours!A899=0,"",vdata_hours!A899)</f>
        <v/>
      </c>
      <c r="B900" s="23" t="str">
        <f>IFERROR(INDEX(vdata_regressors!$A$1:$L$2000,MATCH($A900,vdata_regressors!$A$2:$A$2000,0)+1,MATCH(B$2,vdata_regressors!$A$1:$R$1,0)),"")</f>
        <v/>
      </c>
      <c r="C900" s="23" t="str">
        <f>IFERROR(INDEX(vdata_regressors!$A$1:$L$2000,MATCH($A900,vdata_regressors!$A$2:$A$2000,0)+1,MATCH(C$2,vdata_regressors!$A$1:$R$1,0)),"")</f>
        <v/>
      </c>
      <c r="D900" s="23" t="str">
        <f>IFERROR(INDEX(vdata_regressors!$A$1:$L$2000,MATCH($A900,vdata_regressors!$A$2:$A$2000,0)+1,MATCH(D$2,vdata_regressors!$A$1:$R$1,0)),"")</f>
        <v/>
      </c>
      <c r="E900" s="23" t="str">
        <f>IFERROR(INDEX(vdata_regressors!$A$1:$L$2000,MATCH($A900,vdata_regressors!$A$2:$A$2000,0)+1,MATCH(E$2,vdata_regressors!$A$1:$R$1,0)),"")</f>
        <v/>
      </c>
      <c r="F900" s="23" t="str">
        <f>IFERROR(INDEX(vdata_regressors!$A$1:$L$2000,MATCH($A900,vdata_regressors!$A$2:$A$2000,0)+1,MATCH(F$2,vdata_regressors!$A$1:$R$1,0)),"")</f>
        <v/>
      </c>
      <c r="G900" s="23" t="str">
        <f>IFERROR(INDEX(vdata_regressors!$A$1:$L$2000,MATCH($A900,vdata_regressors!$A$2:$A$2000,0)+1,MATCH(G$2,vdata_regressors!$A$1:$R$1,0)),"")</f>
        <v/>
      </c>
      <c r="H900" s="23" t="str">
        <f>IFERROR(INDEX(vdata_regressors!$A$1:$L$2000,MATCH($A900,vdata_regressors!$A$2:$A$2000,0)+1,MATCH(H$2,vdata_regressors!$A$1:$R$1,0)),"")</f>
        <v/>
      </c>
      <c r="I900" s="23" t="str">
        <f>IFERROR(INDEX(vdata_regressors!$A$1:$L$2000,MATCH($A900,vdata_regressors!$A$2:$A$2000,0)+1,MATCH(I$2,vdata_regressors!$A$1:$R$1,0)),"")</f>
        <v/>
      </c>
      <c r="J900" s="23" t="str">
        <f>IFERROR(INDEX(vdata_regressors!$A$1:$L$2000,MATCH($A900,vdata_regressors!$A$2:$A$2000,0)+1,MATCH(J$2,vdata_regressors!$A$1:$R$1,0)),"")</f>
        <v/>
      </c>
      <c r="K900" s="23" t="str">
        <f>IFERROR(INDEX(vdata_regressors!$A$1:$L$2000,MATCH($A900,vdata_regressors!$A$2:$A$2000,0)+1,MATCH(K$2,vdata_regressors!$A$1:$R$1,0)),"")</f>
        <v/>
      </c>
      <c r="L900" s="23" t="str">
        <f>IFERROR(INDEX(vdata_regressors!$A$1:$L$2000,MATCH($A900,vdata_regressors!$A$2:$A$2000,0)+1,MATCH(L$2,vdata_regressors!$A$1:$R$1,0)),"")</f>
        <v/>
      </c>
      <c r="M900" s="23" t="str">
        <f>IFERROR(VLOOKUP(A900,vdata_hours!$A$2:$B$1000,2,FALSE),"")</f>
        <v/>
      </c>
    </row>
    <row r="901" spans="1:13" x14ac:dyDescent="0.25">
      <c r="A901" s="23" t="str">
        <f>IF(vdata_hours!A900=0,"",vdata_hours!A900)</f>
        <v/>
      </c>
      <c r="B901" s="23" t="str">
        <f>IFERROR(INDEX(vdata_regressors!$A$1:$L$2000,MATCH($A901,vdata_regressors!$A$2:$A$2000,0)+1,MATCH(B$2,vdata_regressors!$A$1:$R$1,0)),"")</f>
        <v/>
      </c>
      <c r="C901" s="23" t="str">
        <f>IFERROR(INDEX(vdata_regressors!$A$1:$L$2000,MATCH($A901,vdata_regressors!$A$2:$A$2000,0)+1,MATCH(C$2,vdata_regressors!$A$1:$R$1,0)),"")</f>
        <v/>
      </c>
      <c r="D901" s="23" t="str">
        <f>IFERROR(INDEX(vdata_regressors!$A$1:$L$2000,MATCH($A901,vdata_regressors!$A$2:$A$2000,0)+1,MATCH(D$2,vdata_regressors!$A$1:$R$1,0)),"")</f>
        <v/>
      </c>
      <c r="E901" s="23" t="str">
        <f>IFERROR(INDEX(vdata_regressors!$A$1:$L$2000,MATCH($A901,vdata_regressors!$A$2:$A$2000,0)+1,MATCH(E$2,vdata_regressors!$A$1:$R$1,0)),"")</f>
        <v/>
      </c>
      <c r="F901" s="23" t="str">
        <f>IFERROR(INDEX(vdata_regressors!$A$1:$L$2000,MATCH($A901,vdata_regressors!$A$2:$A$2000,0)+1,MATCH(F$2,vdata_regressors!$A$1:$R$1,0)),"")</f>
        <v/>
      </c>
      <c r="G901" s="23" t="str">
        <f>IFERROR(INDEX(vdata_regressors!$A$1:$L$2000,MATCH($A901,vdata_regressors!$A$2:$A$2000,0)+1,MATCH(G$2,vdata_regressors!$A$1:$R$1,0)),"")</f>
        <v/>
      </c>
      <c r="H901" s="23" t="str">
        <f>IFERROR(INDEX(vdata_regressors!$A$1:$L$2000,MATCH($A901,vdata_regressors!$A$2:$A$2000,0)+1,MATCH(H$2,vdata_regressors!$A$1:$R$1,0)),"")</f>
        <v/>
      </c>
      <c r="I901" s="23" t="str">
        <f>IFERROR(INDEX(vdata_regressors!$A$1:$L$2000,MATCH($A901,vdata_regressors!$A$2:$A$2000,0)+1,MATCH(I$2,vdata_regressors!$A$1:$R$1,0)),"")</f>
        <v/>
      </c>
      <c r="J901" s="23" t="str">
        <f>IFERROR(INDEX(vdata_regressors!$A$1:$L$2000,MATCH($A901,vdata_regressors!$A$2:$A$2000,0)+1,MATCH(J$2,vdata_regressors!$A$1:$R$1,0)),"")</f>
        <v/>
      </c>
      <c r="K901" s="23" t="str">
        <f>IFERROR(INDEX(vdata_regressors!$A$1:$L$2000,MATCH($A901,vdata_regressors!$A$2:$A$2000,0)+1,MATCH(K$2,vdata_regressors!$A$1:$R$1,0)),"")</f>
        <v/>
      </c>
      <c r="L901" s="23" t="str">
        <f>IFERROR(INDEX(vdata_regressors!$A$1:$L$2000,MATCH($A901,vdata_regressors!$A$2:$A$2000,0)+1,MATCH(L$2,vdata_regressors!$A$1:$R$1,0)),"")</f>
        <v/>
      </c>
      <c r="M901" s="23" t="str">
        <f>IFERROR(VLOOKUP(A901,vdata_hours!$A$2:$B$1000,2,FALSE),"")</f>
        <v/>
      </c>
    </row>
    <row r="902" spans="1:13" x14ac:dyDescent="0.25">
      <c r="A902" s="23" t="str">
        <f>IF(vdata_hours!A901=0,"",vdata_hours!A901)</f>
        <v/>
      </c>
      <c r="B902" s="23" t="str">
        <f>IFERROR(INDEX(vdata_regressors!$A$1:$L$2000,MATCH($A902,vdata_regressors!$A$2:$A$2000,0)+1,MATCH(B$2,vdata_regressors!$A$1:$R$1,0)),"")</f>
        <v/>
      </c>
      <c r="C902" s="23" t="str">
        <f>IFERROR(INDEX(vdata_regressors!$A$1:$L$2000,MATCH($A902,vdata_regressors!$A$2:$A$2000,0)+1,MATCH(C$2,vdata_regressors!$A$1:$R$1,0)),"")</f>
        <v/>
      </c>
      <c r="D902" s="23" t="str">
        <f>IFERROR(INDEX(vdata_regressors!$A$1:$L$2000,MATCH($A902,vdata_regressors!$A$2:$A$2000,0)+1,MATCH(D$2,vdata_regressors!$A$1:$R$1,0)),"")</f>
        <v/>
      </c>
      <c r="E902" s="23" t="str">
        <f>IFERROR(INDEX(vdata_regressors!$A$1:$L$2000,MATCH($A902,vdata_regressors!$A$2:$A$2000,0)+1,MATCH(E$2,vdata_regressors!$A$1:$R$1,0)),"")</f>
        <v/>
      </c>
      <c r="F902" s="23" t="str">
        <f>IFERROR(INDEX(vdata_regressors!$A$1:$L$2000,MATCH($A902,vdata_regressors!$A$2:$A$2000,0)+1,MATCH(F$2,vdata_regressors!$A$1:$R$1,0)),"")</f>
        <v/>
      </c>
      <c r="G902" s="23" t="str">
        <f>IFERROR(INDEX(vdata_regressors!$A$1:$L$2000,MATCH($A902,vdata_regressors!$A$2:$A$2000,0)+1,MATCH(G$2,vdata_regressors!$A$1:$R$1,0)),"")</f>
        <v/>
      </c>
      <c r="H902" s="23" t="str">
        <f>IFERROR(INDEX(vdata_regressors!$A$1:$L$2000,MATCH($A902,vdata_regressors!$A$2:$A$2000,0)+1,MATCH(H$2,vdata_regressors!$A$1:$R$1,0)),"")</f>
        <v/>
      </c>
      <c r="I902" s="23" t="str">
        <f>IFERROR(INDEX(vdata_regressors!$A$1:$L$2000,MATCH($A902,vdata_regressors!$A$2:$A$2000,0)+1,MATCH(I$2,vdata_regressors!$A$1:$R$1,0)),"")</f>
        <v/>
      </c>
      <c r="J902" s="23" t="str">
        <f>IFERROR(INDEX(vdata_regressors!$A$1:$L$2000,MATCH($A902,vdata_regressors!$A$2:$A$2000,0)+1,MATCH(J$2,vdata_regressors!$A$1:$R$1,0)),"")</f>
        <v/>
      </c>
      <c r="K902" s="23" t="str">
        <f>IFERROR(INDEX(vdata_regressors!$A$1:$L$2000,MATCH($A902,vdata_regressors!$A$2:$A$2000,0)+1,MATCH(K$2,vdata_regressors!$A$1:$R$1,0)),"")</f>
        <v/>
      </c>
      <c r="L902" s="23" t="str">
        <f>IFERROR(INDEX(vdata_regressors!$A$1:$L$2000,MATCH($A902,vdata_regressors!$A$2:$A$2000,0)+1,MATCH(L$2,vdata_regressors!$A$1:$R$1,0)),"")</f>
        <v/>
      </c>
      <c r="M902" s="23" t="str">
        <f>IFERROR(VLOOKUP(A902,vdata_hours!$A$2:$B$1000,2,FALSE),"")</f>
        <v/>
      </c>
    </row>
    <row r="903" spans="1:13" x14ac:dyDescent="0.25">
      <c r="A903" s="23" t="str">
        <f>IF(vdata_hours!A902=0,"",vdata_hours!A902)</f>
        <v/>
      </c>
      <c r="B903" s="23" t="str">
        <f>IFERROR(INDEX(vdata_regressors!$A$1:$L$2000,MATCH($A903,vdata_regressors!$A$2:$A$2000,0)+1,MATCH(B$2,vdata_regressors!$A$1:$R$1,0)),"")</f>
        <v/>
      </c>
      <c r="C903" s="23" t="str">
        <f>IFERROR(INDEX(vdata_regressors!$A$1:$L$2000,MATCH($A903,vdata_regressors!$A$2:$A$2000,0)+1,MATCH(C$2,vdata_regressors!$A$1:$R$1,0)),"")</f>
        <v/>
      </c>
      <c r="D903" s="23" t="str">
        <f>IFERROR(INDEX(vdata_regressors!$A$1:$L$2000,MATCH($A903,vdata_regressors!$A$2:$A$2000,0)+1,MATCH(D$2,vdata_regressors!$A$1:$R$1,0)),"")</f>
        <v/>
      </c>
      <c r="E903" s="23" t="str">
        <f>IFERROR(INDEX(vdata_regressors!$A$1:$L$2000,MATCH($A903,vdata_regressors!$A$2:$A$2000,0)+1,MATCH(E$2,vdata_regressors!$A$1:$R$1,0)),"")</f>
        <v/>
      </c>
      <c r="F903" s="23" t="str">
        <f>IFERROR(INDEX(vdata_regressors!$A$1:$L$2000,MATCH($A903,vdata_regressors!$A$2:$A$2000,0)+1,MATCH(F$2,vdata_regressors!$A$1:$R$1,0)),"")</f>
        <v/>
      </c>
      <c r="G903" s="23" t="str">
        <f>IFERROR(INDEX(vdata_regressors!$A$1:$L$2000,MATCH($A903,vdata_regressors!$A$2:$A$2000,0)+1,MATCH(G$2,vdata_regressors!$A$1:$R$1,0)),"")</f>
        <v/>
      </c>
      <c r="H903" s="23" t="str">
        <f>IFERROR(INDEX(vdata_regressors!$A$1:$L$2000,MATCH($A903,vdata_regressors!$A$2:$A$2000,0)+1,MATCH(H$2,vdata_regressors!$A$1:$R$1,0)),"")</f>
        <v/>
      </c>
      <c r="I903" s="23" t="str">
        <f>IFERROR(INDEX(vdata_regressors!$A$1:$L$2000,MATCH($A903,vdata_regressors!$A$2:$A$2000,0)+1,MATCH(I$2,vdata_regressors!$A$1:$R$1,0)),"")</f>
        <v/>
      </c>
      <c r="J903" s="23" t="str">
        <f>IFERROR(INDEX(vdata_regressors!$A$1:$L$2000,MATCH($A903,vdata_regressors!$A$2:$A$2000,0)+1,MATCH(J$2,vdata_regressors!$A$1:$R$1,0)),"")</f>
        <v/>
      </c>
      <c r="K903" s="23" t="str">
        <f>IFERROR(INDEX(vdata_regressors!$A$1:$L$2000,MATCH($A903,vdata_regressors!$A$2:$A$2000,0)+1,MATCH(K$2,vdata_regressors!$A$1:$R$1,0)),"")</f>
        <v/>
      </c>
      <c r="L903" s="23" t="str">
        <f>IFERROR(INDEX(vdata_regressors!$A$1:$L$2000,MATCH($A903,vdata_regressors!$A$2:$A$2000,0)+1,MATCH(L$2,vdata_regressors!$A$1:$R$1,0)),"")</f>
        <v/>
      </c>
      <c r="M903" s="23" t="str">
        <f>IFERROR(VLOOKUP(A903,vdata_hours!$A$2:$B$1000,2,FALSE),"")</f>
        <v/>
      </c>
    </row>
    <row r="904" spans="1:13" x14ac:dyDescent="0.25">
      <c r="A904" s="23" t="str">
        <f>IF(vdata_hours!A903=0,"",vdata_hours!A903)</f>
        <v/>
      </c>
      <c r="B904" s="23" t="str">
        <f>IFERROR(INDEX(vdata_regressors!$A$1:$L$2000,MATCH($A904,vdata_regressors!$A$2:$A$2000,0)+1,MATCH(B$2,vdata_regressors!$A$1:$R$1,0)),"")</f>
        <v/>
      </c>
      <c r="C904" s="23" t="str">
        <f>IFERROR(INDEX(vdata_regressors!$A$1:$L$2000,MATCH($A904,vdata_regressors!$A$2:$A$2000,0)+1,MATCH(C$2,vdata_regressors!$A$1:$R$1,0)),"")</f>
        <v/>
      </c>
      <c r="D904" s="23" t="str">
        <f>IFERROR(INDEX(vdata_regressors!$A$1:$L$2000,MATCH($A904,vdata_regressors!$A$2:$A$2000,0)+1,MATCH(D$2,vdata_regressors!$A$1:$R$1,0)),"")</f>
        <v/>
      </c>
      <c r="E904" s="23" t="str">
        <f>IFERROR(INDEX(vdata_regressors!$A$1:$L$2000,MATCH($A904,vdata_regressors!$A$2:$A$2000,0)+1,MATCH(E$2,vdata_regressors!$A$1:$R$1,0)),"")</f>
        <v/>
      </c>
      <c r="F904" s="23" t="str">
        <f>IFERROR(INDEX(vdata_regressors!$A$1:$L$2000,MATCH($A904,vdata_regressors!$A$2:$A$2000,0)+1,MATCH(F$2,vdata_regressors!$A$1:$R$1,0)),"")</f>
        <v/>
      </c>
      <c r="G904" s="23" t="str">
        <f>IFERROR(INDEX(vdata_regressors!$A$1:$L$2000,MATCH($A904,vdata_regressors!$A$2:$A$2000,0)+1,MATCH(G$2,vdata_regressors!$A$1:$R$1,0)),"")</f>
        <v/>
      </c>
      <c r="H904" s="23" t="str">
        <f>IFERROR(INDEX(vdata_regressors!$A$1:$L$2000,MATCH($A904,vdata_regressors!$A$2:$A$2000,0)+1,MATCH(H$2,vdata_regressors!$A$1:$R$1,0)),"")</f>
        <v/>
      </c>
      <c r="I904" s="23" t="str">
        <f>IFERROR(INDEX(vdata_regressors!$A$1:$L$2000,MATCH($A904,vdata_regressors!$A$2:$A$2000,0)+1,MATCH(I$2,vdata_regressors!$A$1:$R$1,0)),"")</f>
        <v/>
      </c>
      <c r="J904" s="23" t="str">
        <f>IFERROR(INDEX(vdata_regressors!$A$1:$L$2000,MATCH($A904,vdata_regressors!$A$2:$A$2000,0)+1,MATCH(J$2,vdata_regressors!$A$1:$R$1,0)),"")</f>
        <v/>
      </c>
      <c r="K904" s="23" t="str">
        <f>IFERROR(INDEX(vdata_regressors!$A$1:$L$2000,MATCH($A904,vdata_regressors!$A$2:$A$2000,0)+1,MATCH(K$2,vdata_regressors!$A$1:$R$1,0)),"")</f>
        <v/>
      </c>
      <c r="L904" s="23" t="str">
        <f>IFERROR(INDEX(vdata_regressors!$A$1:$L$2000,MATCH($A904,vdata_regressors!$A$2:$A$2000,0)+1,MATCH(L$2,vdata_regressors!$A$1:$R$1,0)),"")</f>
        <v/>
      </c>
      <c r="M904" s="23" t="str">
        <f>IFERROR(VLOOKUP(A904,vdata_hours!$A$2:$B$1000,2,FALSE),"")</f>
        <v/>
      </c>
    </row>
    <row r="905" spans="1:13" x14ac:dyDescent="0.25">
      <c r="A905" s="23" t="str">
        <f>IF(vdata_hours!A904=0,"",vdata_hours!A904)</f>
        <v/>
      </c>
      <c r="B905" s="23" t="str">
        <f>IFERROR(INDEX(vdata_regressors!$A$1:$L$2000,MATCH($A905,vdata_regressors!$A$2:$A$2000,0)+1,MATCH(B$2,vdata_regressors!$A$1:$R$1,0)),"")</f>
        <v/>
      </c>
      <c r="C905" s="23" t="str">
        <f>IFERROR(INDEX(vdata_regressors!$A$1:$L$2000,MATCH($A905,vdata_regressors!$A$2:$A$2000,0)+1,MATCH(C$2,vdata_regressors!$A$1:$R$1,0)),"")</f>
        <v/>
      </c>
      <c r="D905" s="23" t="str">
        <f>IFERROR(INDEX(vdata_regressors!$A$1:$L$2000,MATCH($A905,vdata_regressors!$A$2:$A$2000,0)+1,MATCH(D$2,vdata_regressors!$A$1:$R$1,0)),"")</f>
        <v/>
      </c>
      <c r="E905" s="23" t="str">
        <f>IFERROR(INDEX(vdata_regressors!$A$1:$L$2000,MATCH($A905,vdata_regressors!$A$2:$A$2000,0)+1,MATCH(E$2,vdata_regressors!$A$1:$R$1,0)),"")</f>
        <v/>
      </c>
      <c r="F905" s="23" t="str">
        <f>IFERROR(INDEX(vdata_regressors!$A$1:$L$2000,MATCH($A905,vdata_regressors!$A$2:$A$2000,0)+1,MATCH(F$2,vdata_regressors!$A$1:$R$1,0)),"")</f>
        <v/>
      </c>
      <c r="G905" s="23" t="str">
        <f>IFERROR(INDEX(vdata_regressors!$A$1:$L$2000,MATCH($A905,vdata_regressors!$A$2:$A$2000,0)+1,MATCH(G$2,vdata_regressors!$A$1:$R$1,0)),"")</f>
        <v/>
      </c>
      <c r="H905" s="23" t="str">
        <f>IFERROR(INDEX(vdata_regressors!$A$1:$L$2000,MATCH($A905,vdata_regressors!$A$2:$A$2000,0)+1,MATCH(H$2,vdata_regressors!$A$1:$R$1,0)),"")</f>
        <v/>
      </c>
      <c r="I905" s="23" t="str">
        <f>IFERROR(INDEX(vdata_regressors!$A$1:$L$2000,MATCH($A905,vdata_regressors!$A$2:$A$2000,0)+1,MATCH(I$2,vdata_regressors!$A$1:$R$1,0)),"")</f>
        <v/>
      </c>
      <c r="J905" s="23" t="str">
        <f>IFERROR(INDEX(vdata_regressors!$A$1:$L$2000,MATCH($A905,vdata_regressors!$A$2:$A$2000,0)+1,MATCH(J$2,vdata_regressors!$A$1:$R$1,0)),"")</f>
        <v/>
      </c>
      <c r="K905" s="23" t="str">
        <f>IFERROR(INDEX(vdata_regressors!$A$1:$L$2000,MATCH($A905,vdata_regressors!$A$2:$A$2000,0)+1,MATCH(K$2,vdata_regressors!$A$1:$R$1,0)),"")</f>
        <v/>
      </c>
      <c r="L905" s="23" t="str">
        <f>IFERROR(INDEX(vdata_regressors!$A$1:$L$2000,MATCH($A905,vdata_regressors!$A$2:$A$2000,0)+1,MATCH(L$2,vdata_regressors!$A$1:$R$1,0)),"")</f>
        <v/>
      </c>
      <c r="M905" s="23" t="str">
        <f>IFERROR(VLOOKUP(A905,vdata_hours!$A$2:$B$1000,2,FALSE),"")</f>
        <v/>
      </c>
    </row>
    <row r="906" spans="1:13" x14ac:dyDescent="0.25">
      <c r="A906" s="23" t="str">
        <f>IF(vdata_hours!A905=0,"",vdata_hours!A905)</f>
        <v/>
      </c>
      <c r="B906" s="23" t="str">
        <f>IFERROR(INDEX(vdata_regressors!$A$1:$L$2000,MATCH($A906,vdata_regressors!$A$2:$A$2000,0)+1,MATCH(B$2,vdata_regressors!$A$1:$R$1,0)),"")</f>
        <v/>
      </c>
      <c r="C906" s="23" t="str">
        <f>IFERROR(INDEX(vdata_regressors!$A$1:$L$2000,MATCH($A906,vdata_regressors!$A$2:$A$2000,0)+1,MATCH(C$2,vdata_regressors!$A$1:$R$1,0)),"")</f>
        <v/>
      </c>
      <c r="D906" s="23" t="str">
        <f>IFERROR(INDEX(vdata_regressors!$A$1:$L$2000,MATCH($A906,vdata_regressors!$A$2:$A$2000,0)+1,MATCH(D$2,vdata_regressors!$A$1:$R$1,0)),"")</f>
        <v/>
      </c>
      <c r="E906" s="23" t="str">
        <f>IFERROR(INDEX(vdata_regressors!$A$1:$L$2000,MATCH($A906,vdata_regressors!$A$2:$A$2000,0)+1,MATCH(E$2,vdata_regressors!$A$1:$R$1,0)),"")</f>
        <v/>
      </c>
      <c r="F906" s="23" t="str">
        <f>IFERROR(INDEX(vdata_regressors!$A$1:$L$2000,MATCH($A906,vdata_regressors!$A$2:$A$2000,0)+1,MATCH(F$2,vdata_regressors!$A$1:$R$1,0)),"")</f>
        <v/>
      </c>
      <c r="G906" s="23" t="str">
        <f>IFERROR(INDEX(vdata_regressors!$A$1:$L$2000,MATCH($A906,vdata_regressors!$A$2:$A$2000,0)+1,MATCH(G$2,vdata_regressors!$A$1:$R$1,0)),"")</f>
        <v/>
      </c>
      <c r="H906" s="23" t="str">
        <f>IFERROR(INDEX(vdata_regressors!$A$1:$L$2000,MATCH($A906,vdata_regressors!$A$2:$A$2000,0)+1,MATCH(H$2,vdata_regressors!$A$1:$R$1,0)),"")</f>
        <v/>
      </c>
      <c r="I906" s="23" t="str">
        <f>IFERROR(INDEX(vdata_regressors!$A$1:$L$2000,MATCH($A906,vdata_regressors!$A$2:$A$2000,0)+1,MATCH(I$2,vdata_regressors!$A$1:$R$1,0)),"")</f>
        <v/>
      </c>
      <c r="J906" s="23" t="str">
        <f>IFERROR(INDEX(vdata_regressors!$A$1:$L$2000,MATCH($A906,vdata_regressors!$A$2:$A$2000,0)+1,MATCH(J$2,vdata_regressors!$A$1:$R$1,0)),"")</f>
        <v/>
      </c>
      <c r="K906" s="23" t="str">
        <f>IFERROR(INDEX(vdata_regressors!$A$1:$L$2000,MATCH($A906,vdata_regressors!$A$2:$A$2000,0)+1,MATCH(K$2,vdata_regressors!$A$1:$R$1,0)),"")</f>
        <v/>
      </c>
      <c r="L906" s="23" t="str">
        <f>IFERROR(INDEX(vdata_regressors!$A$1:$L$2000,MATCH($A906,vdata_regressors!$A$2:$A$2000,0)+1,MATCH(L$2,vdata_regressors!$A$1:$R$1,0)),"")</f>
        <v/>
      </c>
      <c r="M906" s="23" t="str">
        <f>IFERROR(VLOOKUP(A906,vdata_hours!$A$2:$B$1000,2,FALSE),"")</f>
        <v/>
      </c>
    </row>
    <row r="907" spans="1:13" x14ac:dyDescent="0.25">
      <c r="A907" s="23" t="str">
        <f>IF(vdata_hours!A906=0,"",vdata_hours!A906)</f>
        <v/>
      </c>
      <c r="B907" s="23" t="str">
        <f>IFERROR(INDEX(vdata_regressors!$A$1:$L$2000,MATCH($A907,vdata_regressors!$A$2:$A$2000,0)+1,MATCH(B$2,vdata_regressors!$A$1:$R$1,0)),"")</f>
        <v/>
      </c>
      <c r="C907" s="23" t="str">
        <f>IFERROR(INDEX(vdata_regressors!$A$1:$L$2000,MATCH($A907,vdata_regressors!$A$2:$A$2000,0)+1,MATCH(C$2,vdata_regressors!$A$1:$R$1,0)),"")</f>
        <v/>
      </c>
      <c r="D907" s="23" t="str">
        <f>IFERROR(INDEX(vdata_regressors!$A$1:$L$2000,MATCH($A907,vdata_regressors!$A$2:$A$2000,0)+1,MATCH(D$2,vdata_regressors!$A$1:$R$1,0)),"")</f>
        <v/>
      </c>
      <c r="E907" s="23" t="str">
        <f>IFERROR(INDEX(vdata_regressors!$A$1:$L$2000,MATCH($A907,vdata_regressors!$A$2:$A$2000,0)+1,MATCH(E$2,vdata_regressors!$A$1:$R$1,0)),"")</f>
        <v/>
      </c>
      <c r="F907" s="23" t="str">
        <f>IFERROR(INDEX(vdata_regressors!$A$1:$L$2000,MATCH($A907,vdata_regressors!$A$2:$A$2000,0)+1,MATCH(F$2,vdata_regressors!$A$1:$R$1,0)),"")</f>
        <v/>
      </c>
      <c r="G907" s="23" t="str">
        <f>IFERROR(INDEX(vdata_regressors!$A$1:$L$2000,MATCH($A907,vdata_regressors!$A$2:$A$2000,0)+1,MATCH(G$2,vdata_regressors!$A$1:$R$1,0)),"")</f>
        <v/>
      </c>
      <c r="H907" s="23" t="str">
        <f>IFERROR(INDEX(vdata_regressors!$A$1:$L$2000,MATCH($A907,vdata_regressors!$A$2:$A$2000,0)+1,MATCH(H$2,vdata_regressors!$A$1:$R$1,0)),"")</f>
        <v/>
      </c>
      <c r="I907" s="23" t="str">
        <f>IFERROR(INDEX(vdata_regressors!$A$1:$L$2000,MATCH($A907,vdata_regressors!$A$2:$A$2000,0)+1,MATCH(I$2,vdata_regressors!$A$1:$R$1,0)),"")</f>
        <v/>
      </c>
      <c r="J907" s="23" t="str">
        <f>IFERROR(INDEX(vdata_regressors!$A$1:$L$2000,MATCH($A907,vdata_regressors!$A$2:$A$2000,0)+1,MATCH(J$2,vdata_regressors!$A$1:$R$1,0)),"")</f>
        <v/>
      </c>
      <c r="K907" s="23" t="str">
        <f>IFERROR(INDEX(vdata_regressors!$A$1:$L$2000,MATCH($A907,vdata_regressors!$A$2:$A$2000,0)+1,MATCH(K$2,vdata_regressors!$A$1:$R$1,0)),"")</f>
        <v/>
      </c>
      <c r="L907" s="23" t="str">
        <f>IFERROR(INDEX(vdata_regressors!$A$1:$L$2000,MATCH($A907,vdata_regressors!$A$2:$A$2000,0)+1,MATCH(L$2,vdata_regressors!$A$1:$R$1,0)),"")</f>
        <v/>
      </c>
      <c r="M907" s="23" t="str">
        <f>IFERROR(VLOOKUP(A907,vdata_hours!$A$2:$B$1000,2,FALSE),"")</f>
        <v/>
      </c>
    </row>
    <row r="908" spans="1:13" x14ac:dyDescent="0.25">
      <c r="A908" s="23" t="str">
        <f>IF(vdata_hours!A907=0,"",vdata_hours!A907)</f>
        <v/>
      </c>
      <c r="B908" s="23" t="str">
        <f>IFERROR(INDEX(vdata_regressors!$A$1:$L$2000,MATCH($A908,vdata_regressors!$A$2:$A$2000,0)+1,MATCH(B$2,vdata_regressors!$A$1:$R$1,0)),"")</f>
        <v/>
      </c>
      <c r="C908" s="23" t="str">
        <f>IFERROR(INDEX(vdata_regressors!$A$1:$L$2000,MATCH($A908,vdata_regressors!$A$2:$A$2000,0)+1,MATCH(C$2,vdata_regressors!$A$1:$R$1,0)),"")</f>
        <v/>
      </c>
      <c r="D908" s="23" t="str">
        <f>IFERROR(INDEX(vdata_regressors!$A$1:$L$2000,MATCH($A908,vdata_regressors!$A$2:$A$2000,0)+1,MATCH(D$2,vdata_regressors!$A$1:$R$1,0)),"")</f>
        <v/>
      </c>
      <c r="E908" s="23" t="str">
        <f>IFERROR(INDEX(vdata_regressors!$A$1:$L$2000,MATCH($A908,vdata_regressors!$A$2:$A$2000,0)+1,MATCH(E$2,vdata_regressors!$A$1:$R$1,0)),"")</f>
        <v/>
      </c>
      <c r="F908" s="23" t="str">
        <f>IFERROR(INDEX(vdata_regressors!$A$1:$L$2000,MATCH($A908,vdata_regressors!$A$2:$A$2000,0)+1,MATCH(F$2,vdata_regressors!$A$1:$R$1,0)),"")</f>
        <v/>
      </c>
      <c r="G908" s="23" t="str">
        <f>IFERROR(INDEX(vdata_regressors!$A$1:$L$2000,MATCH($A908,vdata_regressors!$A$2:$A$2000,0)+1,MATCH(G$2,vdata_regressors!$A$1:$R$1,0)),"")</f>
        <v/>
      </c>
      <c r="H908" s="23" t="str">
        <f>IFERROR(INDEX(vdata_regressors!$A$1:$L$2000,MATCH($A908,vdata_regressors!$A$2:$A$2000,0)+1,MATCH(H$2,vdata_regressors!$A$1:$R$1,0)),"")</f>
        <v/>
      </c>
      <c r="I908" s="23" t="str">
        <f>IFERROR(INDEX(vdata_regressors!$A$1:$L$2000,MATCH($A908,vdata_regressors!$A$2:$A$2000,0)+1,MATCH(I$2,vdata_regressors!$A$1:$R$1,0)),"")</f>
        <v/>
      </c>
      <c r="J908" s="23" t="str">
        <f>IFERROR(INDEX(vdata_regressors!$A$1:$L$2000,MATCH($A908,vdata_regressors!$A$2:$A$2000,0)+1,MATCH(J$2,vdata_regressors!$A$1:$R$1,0)),"")</f>
        <v/>
      </c>
      <c r="K908" s="23" t="str">
        <f>IFERROR(INDEX(vdata_regressors!$A$1:$L$2000,MATCH($A908,vdata_regressors!$A$2:$A$2000,0)+1,MATCH(K$2,vdata_regressors!$A$1:$R$1,0)),"")</f>
        <v/>
      </c>
      <c r="L908" s="23" t="str">
        <f>IFERROR(INDEX(vdata_regressors!$A$1:$L$2000,MATCH($A908,vdata_regressors!$A$2:$A$2000,0)+1,MATCH(L$2,vdata_regressors!$A$1:$R$1,0)),"")</f>
        <v/>
      </c>
      <c r="M908" s="23" t="str">
        <f>IFERROR(VLOOKUP(A908,vdata_hours!$A$2:$B$1000,2,FALSE),"")</f>
        <v/>
      </c>
    </row>
    <row r="909" spans="1:13" x14ac:dyDescent="0.25">
      <c r="A909" s="23" t="str">
        <f>IF(vdata_hours!A908=0,"",vdata_hours!A908)</f>
        <v/>
      </c>
      <c r="B909" s="23" t="str">
        <f>IFERROR(INDEX(vdata_regressors!$A$1:$L$2000,MATCH($A909,vdata_regressors!$A$2:$A$2000,0)+1,MATCH(B$2,vdata_regressors!$A$1:$R$1,0)),"")</f>
        <v/>
      </c>
      <c r="C909" s="23" t="str">
        <f>IFERROR(INDEX(vdata_regressors!$A$1:$L$2000,MATCH($A909,vdata_regressors!$A$2:$A$2000,0)+1,MATCH(C$2,vdata_regressors!$A$1:$R$1,0)),"")</f>
        <v/>
      </c>
      <c r="D909" s="23" t="str">
        <f>IFERROR(INDEX(vdata_regressors!$A$1:$L$2000,MATCH($A909,vdata_regressors!$A$2:$A$2000,0)+1,MATCH(D$2,vdata_regressors!$A$1:$R$1,0)),"")</f>
        <v/>
      </c>
      <c r="E909" s="23" t="str">
        <f>IFERROR(INDEX(vdata_regressors!$A$1:$L$2000,MATCH($A909,vdata_regressors!$A$2:$A$2000,0)+1,MATCH(E$2,vdata_regressors!$A$1:$R$1,0)),"")</f>
        <v/>
      </c>
      <c r="F909" s="23" t="str">
        <f>IFERROR(INDEX(vdata_regressors!$A$1:$L$2000,MATCH($A909,vdata_regressors!$A$2:$A$2000,0)+1,MATCH(F$2,vdata_regressors!$A$1:$R$1,0)),"")</f>
        <v/>
      </c>
      <c r="G909" s="23" t="str">
        <f>IFERROR(INDEX(vdata_regressors!$A$1:$L$2000,MATCH($A909,vdata_regressors!$A$2:$A$2000,0)+1,MATCH(G$2,vdata_regressors!$A$1:$R$1,0)),"")</f>
        <v/>
      </c>
      <c r="H909" s="23" t="str">
        <f>IFERROR(INDEX(vdata_regressors!$A$1:$L$2000,MATCH($A909,vdata_regressors!$A$2:$A$2000,0)+1,MATCH(H$2,vdata_regressors!$A$1:$R$1,0)),"")</f>
        <v/>
      </c>
      <c r="I909" s="23" t="str">
        <f>IFERROR(INDEX(vdata_regressors!$A$1:$L$2000,MATCH($A909,vdata_regressors!$A$2:$A$2000,0)+1,MATCH(I$2,vdata_regressors!$A$1:$R$1,0)),"")</f>
        <v/>
      </c>
      <c r="J909" s="23" t="str">
        <f>IFERROR(INDEX(vdata_regressors!$A$1:$L$2000,MATCH($A909,vdata_regressors!$A$2:$A$2000,0)+1,MATCH(J$2,vdata_regressors!$A$1:$R$1,0)),"")</f>
        <v/>
      </c>
      <c r="K909" s="23" t="str">
        <f>IFERROR(INDEX(vdata_regressors!$A$1:$L$2000,MATCH($A909,vdata_regressors!$A$2:$A$2000,0)+1,MATCH(K$2,vdata_regressors!$A$1:$R$1,0)),"")</f>
        <v/>
      </c>
      <c r="L909" s="23" t="str">
        <f>IFERROR(INDEX(vdata_regressors!$A$1:$L$2000,MATCH($A909,vdata_regressors!$A$2:$A$2000,0)+1,MATCH(L$2,vdata_regressors!$A$1:$R$1,0)),"")</f>
        <v/>
      </c>
      <c r="M909" s="23" t="str">
        <f>IFERROR(VLOOKUP(A909,vdata_hours!$A$2:$B$1000,2,FALSE),"")</f>
        <v/>
      </c>
    </row>
    <row r="910" spans="1:13" x14ac:dyDescent="0.25">
      <c r="A910" s="23" t="str">
        <f>IF(vdata_hours!A909=0,"",vdata_hours!A909)</f>
        <v/>
      </c>
      <c r="B910" s="23" t="str">
        <f>IFERROR(INDEX(vdata_regressors!$A$1:$L$2000,MATCH($A910,vdata_regressors!$A$2:$A$2000,0)+1,MATCH(B$2,vdata_regressors!$A$1:$R$1,0)),"")</f>
        <v/>
      </c>
      <c r="C910" s="23" t="str">
        <f>IFERROR(INDEX(vdata_regressors!$A$1:$L$2000,MATCH($A910,vdata_regressors!$A$2:$A$2000,0)+1,MATCH(C$2,vdata_regressors!$A$1:$R$1,0)),"")</f>
        <v/>
      </c>
      <c r="D910" s="23" t="str">
        <f>IFERROR(INDEX(vdata_regressors!$A$1:$L$2000,MATCH($A910,vdata_regressors!$A$2:$A$2000,0)+1,MATCH(D$2,vdata_regressors!$A$1:$R$1,0)),"")</f>
        <v/>
      </c>
      <c r="E910" s="23" t="str">
        <f>IFERROR(INDEX(vdata_regressors!$A$1:$L$2000,MATCH($A910,vdata_regressors!$A$2:$A$2000,0)+1,MATCH(E$2,vdata_regressors!$A$1:$R$1,0)),"")</f>
        <v/>
      </c>
      <c r="F910" s="23" t="str">
        <f>IFERROR(INDEX(vdata_regressors!$A$1:$L$2000,MATCH($A910,vdata_regressors!$A$2:$A$2000,0)+1,MATCH(F$2,vdata_regressors!$A$1:$R$1,0)),"")</f>
        <v/>
      </c>
      <c r="G910" s="23" t="str">
        <f>IFERROR(INDEX(vdata_regressors!$A$1:$L$2000,MATCH($A910,vdata_regressors!$A$2:$A$2000,0)+1,MATCH(G$2,vdata_regressors!$A$1:$R$1,0)),"")</f>
        <v/>
      </c>
      <c r="H910" s="23" t="str">
        <f>IFERROR(INDEX(vdata_regressors!$A$1:$L$2000,MATCH($A910,vdata_regressors!$A$2:$A$2000,0)+1,MATCH(H$2,vdata_regressors!$A$1:$R$1,0)),"")</f>
        <v/>
      </c>
      <c r="I910" s="23" t="str">
        <f>IFERROR(INDEX(vdata_regressors!$A$1:$L$2000,MATCH($A910,vdata_regressors!$A$2:$A$2000,0)+1,MATCH(I$2,vdata_regressors!$A$1:$R$1,0)),"")</f>
        <v/>
      </c>
      <c r="J910" s="23" t="str">
        <f>IFERROR(INDEX(vdata_regressors!$A$1:$L$2000,MATCH($A910,vdata_regressors!$A$2:$A$2000,0)+1,MATCH(J$2,vdata_regressors!$A$1:$R$1,0)),"")</f>
        <v/>
      </c>
      <c r="K910" s="23" t="str">
        <f>IFERROR(INDEX(vdata_regressors!$A$1:$L$2000,MATCH($A910,vdata_regressors!$A$2:$A$2000,0)+1,MATCH(K$2,vdata_regressors!$A$1:$R$1,0)),"")</f>
        <v/>
      </c>
      <c r="L910" s="23" t="str">
        <f>IFERROR(INDEX(vdata_regressors!$A$1:$L$2000,MATCH($A910,vdata_regressors!$A$2:$A$2000,0)+1,MATCH(L$2,vdata_regressors!$A$1:$R$1,0)),"")</f>
        <v/>
      </c>
      <c r="M910" s="23" t="str">
        <f>IFERROR(VLOOKUP(A910,vdata_hours!$A$2:$B$1000,2,FALSE),"")</f>
        <v/>
      </c>
    </row>
    <row r="911" spans="1:13" x14ac:dyDescent="0.25">
      <c r="A911" s="23" t="str">
        <f>IF(vdata_hours!A910=0,"",vdata_hours!A910)</f>
        <v/>
      </c>
      <c r="B911" s="23" t="str">
        <f>IFERROR(INDEX(vdata_regressors!$A$1:$L$2000,MATCH($A911,vdata_regressors!$A$2:$A$2000,0)+1,MATCH(B$2,vdata_regressors!$A$1:$R$1,0)),"")</f>
        <v/>
      </c>
      <c r="C911" s="23" t="str">
        <f>IFERROR(INDEX(vdata_regressors!$A$1:$L$2000,MATCH($A911,vdata_regressors!$A$2:$A$2000,0)+1,MATCH(C$2,vdata_regressors!$A$1:$R$1,0)),"")</f>
        <v/>
      </c>
      <c r="D911" s="23" t="str">
        <f>IFERROR(INDEX(vdata_regressors!$A$1:$L$2000,MATCH($A911,vdata_regressors!$A$2:$A$2000,0)+1,MATCH(D$2,vdata_regressors!$A$1:$R$1,0)),"")</f>
        <v/>
      </c>
      <c r="E911" s="23" t="str">
        <f>IFERROR(INDEX(vdata_regressors!$A$1:$L$2000,MATCH($A911,vdata_regressors!$A$2:$A$2000,0)+1,MATCH(E$2,vdata_regressors!$A$1:$R$1,0)),"")</f>
        <v/>
      </c>
      <c r="F911" s="23" t="str">
        <f>IFERROR(INDEX(vdata_regressors!$A$1:$L$2000,MATCH($A911,vdata_regressors!$A$2:$A$2000,0)+1,MATCH(F$2,vdata_regressors!$A$1:$R$1,0)),"")</f>
        <v/>
      </c>
      <c r="G911" s="23" t="str">
        <f>IFERROR(INDEX(vdata_regressors!$A$1:$L$2000,MATCH($A911,vdata_regressors!$A$2:$A$2000,0)+1,MATCH(G$2,vdata_regressors!$A$1:$R$1,0)),"")</f>
        <v/>
      </c>
      <c r="H911" s="23" t="str">
        <f>IFERROR(INDEX(vdata_regressors!$A$1:$L$2000,MATCH($A911,vdata_regressors!$A$2:$A$2000,0)+1,MATCH(H$2,vdata_regressors!$A$1:$R$1,0)),"")</f>
        <v/>
      </c>
      <c r="I911" s="23" t="str">
        <f>IFERROR(INDEX(vdata_regressors!$A$1:$L$2000,MATCH($A911,vdata_regressors!$A$2:$A$2000,0)+1,MATCH(I$2,vdata_regressors!$A$1:$R$1,0)),"")</f>
        <v/>
      </c>
      <c r="J911" s="23" t="str">
        <f>IFERROR(INDEX(vdata_regressors!$A$1:$L$2000,MATCH($A911,vdata_regressors!$A$2:$A$2000,0)+1,MATCH(J$2,vdata_regressors!$A$1:$R$1,0)),"")</f>
        <v/>
      </c>
      <c r="K911" s="23" t="str">
        <f>IFERROR(INDEX(vdata_regressors!$A$1:$L$2000,MATCH($A911,vdata_regressors!$A$2:$A$2000,0)+1,MATCH(K$2,vdata_regressors!$A$1:$R$1,0)),"")</f>
        <v/>
      </c>
      <c r="L911" s="23" t="str">
        <f>IFERROR(INDEX(vdata_regressors!$A$1:$L$2000,MATCH($A911,vdata_regressors!$A$2:$A$2000,0)+1,MATCH(L$2,vdata_regressors!$A$1:$R$1,0)),"")</f>
        <v/>
      </c>
      <c r="M911" s="23" t="str">
        <f>IFERROR(VLOOKUP(A911,vdata_hours!$A$2:$B$1000,2,FALSE),"")</f>
        <v/>
      </c>
    </row>
    <row r="912" spans="1:13" x14ac:dyDescent="0.25">
      <c r="A912" s="23" t="str">
        <f>IF(vdata_hours!A911=0,"",vdata_hours!A911)</f>
        <v/>
      </c>
      <c r="B912" s="23" t="str">
        <f>IFERROR(INDEX(vdata_regressors!$A$1:$L$2000,MATCH($A912,vdata_regressors!$A$2:$A$2000,0)+1,MATCH(B$2,vdata_regressors!$A$1:$R$1,0)),"")</f>
        <v/>
      </c>
      <c r="C912" s="23" t="str">
        <f>IFERROR(INDEX(vdata_regressors!$A$1:$L$2000,MATCH($A912,vdata_regressors!$A$2:$A$2000,0)+1,MATCH(C$2,vdata_regressors!$A$1:$R$1,0)),"")</f>
        <v/>
      </c>
      <c r="D912" s="23" t="str">
        <f>IFERROR(INDEX(vdata_regressors!$A$1:$L$2000,MATCH($A912,vdata_regressors!$A$2:$A$2000,0)+1,MATCH(D$2,vdata_regressors!$A$1:$R$1,0)),"")</f>
        <v/>
      </c>
      <c r="E912" s="23" t="str">
        <f>IFERROR(INDEX(vdata_regressors!$A$1:$L$2000,MATCH($A912,vdata_regressors!$A$2:$A$2000,0)+1,MATCH(E$2,vdata_regressors!$A$1:$R$1,0)),"")</f>
        <v/>
      </c>
      <c r="F912" s="23" t="str">
        <f>IFERROR(INDEX(vdata_regressors!$A$1:$L$2000,MATCH($A912,vdata_regressors!$A$2:$A$2000,0)+1,MATCH(F$2,vdata_regressors!$A$1:$R$1,0)),"")</f>
        <v/>
      </c>
      <c r="G912" s="23" t="str">
        <f>IFERROR(INDEX(vdata_regressors!$A$1:$L$2000,MATCH($A912,vdata_regressors!$A$2:$A$2000,0)+1,MATCH(G$2,vdata_regressors!$A$1:$R$1,0)),"")</f>
        <v/>
      </c>
      <c r="H912" s="23" t="str">
        <f>IFERROR(INDEX(vdata_regressors!$A$1:$L$2000,MATCH($A912,vdata_regressors!$A$2:$A$2000,0)+1,MATCH(H$2,vdata_regressors!$A$1:$R$1,0)),"")</f>
        <v/>
      </c>
      <c r="I912" s="23" t="str">
        <f>IFERROR(INDEX(vdata_regressors!$A$1:$L$2000,MATCH($A912,vdata_regressors!$A$2:$A$2000,0)+1,MATCH(I$2,vdata_regressors!$A$1:$R$1,0)),"")</f>
        <v/>
      </c>
      <c r="J912" s="23" t="str">
        <f>IFERROR(INDEX(vdata_regressors!$A$1:$L$2000,MATCH($A912,vdata_regressors!$A$2:$A$2000,0)+1,MATCH(J$2,vdata_regressors!$A$1:$R$1,0)),"")</f>
        <v/>
      </c>
      <c r="K912" s="23" t="str">
        <f>IFERROR(INDEX(vdata_regressors!$A$1:$L$2000,MATCH($A912,vdata_regressors!$A$2:$A$2000,0)+1,MATCH(K$2,vdata_regressors!$A$1:$R$1,0)),"")</f>
        <v/>
      </c>
      <c r="L912" s="23" t="str">
        <f>IFERROR(INDEX(vdata_regressors!$A$1:$L$2000,MATCH($A912,vdata_regressors!$A$2:$A$2000,0)+1,MATCH(L$2,vdata_regressors!$A$1:$R$1,0)),"")</f>
        <v/>
      </c>
      <c r="M912" s="23" t="str">
        <f>IFERROR(VLOOKUP(A912,vdata_hours!$A$2:$B$1000,2,FALSE),"")</f>
        <v/>
      </c>
    </row>
    <row r="913" spans="1:13" x14ac:dyDescent="0.25">
      <c r="A913" s="23" t="str">
        <f>IF(vdata_hours!A912=0,"",vdata_hours!A912)</f>
        <v/>
      </c>
      <c r="B913" s="23" t="str">
        <f>IFERROR(INDEX(vdata_regressors!$A$1:$L$2000,MATCH($A913,vdata_regressors!$A$2:$A$2000,0)+1,MATCH(B$2,vdata_regressors!$A$1:$R$1,0)),"")</f>
        <v/>
      </c>
      <c r="C913" s="23" t="str">
        <f>IFERROR(INDEX(vdata_regressors!$A$1:$L$2000,MATCH($A913,vdata_regressors!$A$2:$A$2000,0)+1,MATCH(C$2,vdata_regressors!$A$1:$R$1,0)),"")</f>
        <v/>
      </c>
      <c r="D913" s="23" t="str">
        <f>IFERROR(INDEX(vdata_regressors!$A$1:$L$2000,MATCH($A913,vdata_regressors!$A$2:$A$2000,0)+1,MATCH(D$2,vdata_regressors!$A$1:$R$1,0)),"")</f>
        <v/>
      </c>
      <c r="E913" s="23" t="str">
        <f>IFERROR(INDEX(vdata_regressors!$A$1:$L$2000,MATCH($A913,vdata_regressors!$A$2:$A$2000,0)+1,MATCH(E$2,vdata_regressors!$A$1:$R$1,0)),"")</f>
        <v/>
      </c>
      <c r="F913" s="23" t="str">
        <f>IFERROR(INDEX(vdata_regressors!$A$1:$L$2000,MATCH($A913,vdata_regressors!$A$2:$A$2000,0)+1,MATCH(F$2,vdata_regressors!$A$1:$R$1,0)),"")</f>
        <v/>
      </c>
      <c r="G913" s="23" t="str">
        <f>IFERROR(INDEX(vdata_regressors!$A$1:$L$2000,MATCH($A913,vdata_regressors!$A$2:$A$2000,0)+1,MATCH(G$2,vdata_regressors!$A$1:$R$1,0)),"")</f>
        <v/>
      </c>
      <c r="H913" s="23" t="str">
        <f>IFERROR(INDEX(vdata_regressors!$A$1:$L$2000,MATCH($A913,vdata_regressors!$A$2:$A$2000,0)+1,MATCH(H$2,vdata_regressors!$A$1:$R$1,0)),"")</f>
        <v/>
      </c>
      <c r="I913" s="23" t="str">
        <f>IFERROR(INDEX(vdata_regressors!$A$1:$L$2000,MATCH($A913,vdata_regressors!$A$2:$A$2000,0)+1,MATCH(I$2,vdata_regressors!$A$1:$R$1,0)),"")</f>
        <v/>
      </c>
      <c r="J913" s="23" t="str">
        <f>IFERROR(INDEX(vdata_regressors!$A$1:$L$2000,MATCH($A913,vdata_regressors!$A$2:$A$2000,0)+1,MATCH(J$2,vdata_regressors!$A$1:$R$1,0)),"")</f>
        <v/>
      </c>
      <c r="K913" s="23" t="str">
        <f>IFERROR(INDEX(vdata_regressors!$A$1:$L$2000,MATCH($A913,vdata_regressors!$A$2:$A$2000,0)+1,MATCH(K$2,vdata_regressors!$A$1:$R$1,0)),"")</f>
        <v/>
      </c>
      <c r="L913" s="23" t="str">
        <f>IFERROR(INDEX(vdata_regressors!$A$1:$L$2000,MATCH($A913,vdata_regressors!$A$2:$A$2000,0)+1,MATCH(L$2,vdata_regressors!$A$1:$R$1,0)),"")</f>
        <v/>
      </c>
      <c r="M913" s="23" t="str">
        <f>IFERROR(VLOOKUP(A913,vdata_hours!$A$2:$B$1000,2,FALSE),"")</f>
        <v/>
      </c>
    </row>
    <row r="914" spans="1:13" x14ac:dyDescent="0.25">
      <c r="A914" s="23" t="str">
        <f>IF(vdata_hours!A913=0,"",vdata_hours!A913)</f>
        <v/>
      </c>
      <c r="B914" s="23" t="str">
        <f>IFERROR(INDEX(vdata_regressors!$A$1:$L$2000,MATCH($A914,vdata_regressors!$A$2:$A$2000,0)+1,MATCH(B$2,vdata_regressors!$A$1:$R$1,0)),"")</f>
        <v/>
      </c>
      <c r="C914" s="23" t="str">
        <f>IFERROR(INDEX(vdata_regressors!$A$1:$L$2000,MATCH($A914,vdata_regressors!$A$2:$A$2000,0)+1,MATCH(C$2,vdata_regressors!$A$1:$R$1,0)),"")</f>
        <v/>
      </c>
      <c r="D914" s="23" t="str">
        <f>IFERROR(INDEX(vdata_regressors!$A$1:$L$2000,MATCH($A914,vdata_regressors!$A$2:$A$2000,0)+1,MATCH(D$2,vdata_regressors!$A$1:$R$1,0)),"")</f>
        <v/>
      </c>
      <c r="E914" s="23" t="str">
        <f>IFERROR(INDEX(vdata_regressors!$A$1:$L$2000,MATCH($A914,vdata_regressors!$A$2:$A$2000,0)+1,MATCH(E$2,vdata_regressors!$A$1:$R$1,0)),"")</f>
        <v/>
      </c>
      <c r="F914" s="23" t="str">
        <f>IFERROR(INDEX(vdata_regressors!$A$1:$L$2000,MATCH($A914,vdata_regressors!$A$2:$A$2000,0)+1,MATCH(F$2,vdata_regressors!$A$1:$R$1,0)),"")</f>
        <v/>
      </c>
      <c r="G914" s="23" t="str">
        <f>IFERROR(INDEX(vdata_regressors!$A$1:$L$2000,MATCH($A914,vdata_regressors!$A$2:$A$2000,0)+1,MATCH(G$2,vdata_regressors!$A$1:$R$1,0)),"")</f>
        <v/>
      </c>
      <c r="H914" s="23" t="str">
        <f>IFERROR(INDEX(vdata_regressors!$A$1:$L$2000,MATCH($A914,vdata_regressors!$A$2:$A$2000,0)+1,MATCH(H$2,vdata_regressors!$A$1:$R$1,0)),"")</f>
        <v/>
      </c>
      <c r="I914" s="23" t="str">
        <f>IFERROR(INDEX(vdata_regressors!$A$1:$L$2000,MATCH($A914,vdata_regressors!$A$2:$A$2000,0)+1,MATCH(I$2,vdata_regressors!$A$1:$R$1,0)),"")</f>
        <v/>
      </c>
      <c r="J914" s="23" t="str">
        <f>IFERROR(INDEX(vdata_regressors!$A$1:$L$2000,MATCH($A914,vdata_regressors!$A$2:$A$2000,0)+1,MATCH(J$2,vdata_regressors!$A$1:$R$1,0)),"")</f>
        <v/>
      </c>
      <c r="K914" s="23" t="str">
        <f>IFERROR(INDEX(vdata_regressors!$A$1:$L$2000,MATCH($A914,vdata_regressors!$A$2:$A$2000,0)+1,MATCH(K$2,vdata_regressors!$A$1:$R$1,0)),"")</f>
        <v/>
      </c>
      <c r="L914" s="23" t="str">
        <f>IFERROR(INDEX(vdata_regressors!$A$1:$L$2000,MATCH($A914,vdata_regressors!$A$2:$A$2000,0)+1,MATCH(L$2,vdata_regressors!$A$1:$R$1,0)),"")</f>
        <v/>
      </c>
      <c r="M914" s="23" t="str">
        <f>IFERROR(VLOOKUP(A914,vdata_hours!$A$2:$B$1000,2,FALSE),"")</f>
        <v/>
      </c>
    </row>
    <row r="915" spans="1:13" x14ac:dyDescent="0.25">
      <c r="A915" s="23" t="str">
        <f>IF(vdata_hours!A914=0,"",vdata_hours!A914)</f>
        <v/>
      </c>
      <c r="B915" s="23" t="str">
        <f>IFERROR(INDEX(vdata_regressors!$A$1:$L$2000,MATCH($A915,vdata_regressors!$A$2:$A$2000,0)+1,MATCH(B$2,vdata_regressors!$A$1:$R$1,0)),"")</f>
        <v/>
      </c>
      <c r="C915" s="23" t="str">
        <f>IFERROR(INDEX(vdata_regressors!$A$1:$L$2000,MATCH($A915,vdata_regressors!$A$2:$A$2000,0)+1,MATCH(C$2,vdata_regressors!$A$1:$R$1,0)),"")</f>
        <v/>
      </c>
      <c r="D915" s="23" t="str">
        <f>IFERROR(INDEX(vdata_regressors!$A$1:$L$2000,MATCH($A915,vdata_regressors!$A$2:$A$2000,0)+1,MATCH(D$2,vdata_regressors!$A$1:$R$1,0)),"")</f>
        <v/>
      </c>
      <c r="E915" s="23" t="str">
        <f>IFERROR(INDEX(vdata_regressors!$A$1:$L$2000,MATCH($A915,vdata_regressors!$A$2:$A$2000,0)+1,MATCH(E$2,vdata_regressors!$A$1:$R$1,0)),"")</f>
        <v/>
      </c>
      <c r="F915" s="23" t="str">
        <f>IFERROR(INDEX(vdata_regressors!$A$1:$L$2000,MATCH($A915,vdata_regressors!$A$2:$A$2000,0)+1,MATCH(F$2,vdata_regressors!$A$1:$R$1,0)),"")</f>
        <v/>
      </c>
      <c r="G915" s="23" t="str">
        <f>IFERROR(INDEX(vdata_regressors!$A$1:$L$2000,MATCH($A915,vdata_regressors!$A$2:$A$2000,0)+1,MATCH(G$2,vdata_regressors!$A$1:$R$1,0)),"")</f>
        <v/>
      </c>
      <c r="H915" s="23" t="str">
        <f>IFERROR(INDEX(vdata_regressors!$A$1:$L$2000,MATCH($A915,vdata_regressors!$A$2:$A$2000,0)+1,MATCH(H$2,vdata_regressors!$A$1:$R$1,0)),"")</f>
        <v/>
      </c>
      <c r="I915" s="23" t="str">
        <f>IFERROR(INDEX(vdata_regressors!$A$1:$L$2000,MATCH($A915,vdata_regressors!$A$2:$A$2000,0)+1,MATCH(I$2,vdata_regressors!$A$1:$R$1,0)),"")</f>
        <v/>
      </c>
      <c r="J915" s="23" t="str">
        <f>IFERROR(INDEX(vdata_regressors!$A$1:$L$2000,MATCH($A915,vdata_regressors!$A$2:$A$2000,0)+1,MATCH(J$2,vdata_regressors!$A$1:$R$1,0)),"")</f>
        <v/>
      </c>
      <c r="K915" s="23" t="str">
        <f>IFERROR(INDEX(vdata_regressors!$A$1:$L$2000,MATCH($A915,vdata_regressors!$A$2:$A$2000,0)+1,MATCH(K$2,vdata_regressors!$A$1:$R$1,0)),"")</f>
        <v/>
      </c>
      <c r="L915" s="23" t="str">
        <f>IFERROR(INDEX(vdata_regressors!$A$1:$L$2000,MATCH($A915,vdata_regressors!$A$2:$A$2000,0)+1,MATCH(L$2,vdata_regressors!$A$1:$R$1,0)),"")</f>
        <v/>
      </c>
      <c r="M915" s="23" t="str">
        <f>IFERROR(VLOOKUP(A915,vdata_hours!$A$2:$B$1000,2,FALSE),"")</f>
        <v/>
      </c>
    </row>
    <row r="916" spans="1:13" x14ac:dyDescent="0.25">
      <c r="A916" s="23" t="str">
        <f>IF(vdata_hours!A915=0,"",vdata_hours!A915)</f>
        <v/>
      </c>
      <c r="B916" s="23" t="str">
        <f>IFERROR(INDEX(vdata_regressors!$A$1:$L$2000,MATCH($A916,vdata_regressors!$A$2:$A$2000,0)+1,MATCH(B$2,vdata_regressors!$A$1:$R$1,0)),"")</f>
        <v/>
      </c>
      <c r="C916" s="23" t="str">
        <f>IFERROR(INDEX(vdata_regressors!$A$1:$L$2000,MATCH($A916,vdata_regressors!$A$2:$A$2000,0)+1,MATCH(C$2,vdata_regressors!$A$1:$R$1,0)),"")</f>
        <v/>
      </c>
      <c r="D916" s="23" t="str">
        <f>IFERROR(INDEX(vdata_regressors!$A$1:$L$2000,MATCH($A916,vdata_regressors!$A$2:$A$2000,0)+1,MATCH(D$2,vdata_regressors!$A$1:$R$1,0)),"")</f>
        <v/>
      </c>
      <c r="E916" s="23" t="str">
        <f>IFERROR(INDEX(vdata_regressors!$A$1:$L$2000,MATCH($A916,vdata_regressors!$A$2:$A$2000,0)+1,MATCH(E$2,vdata_regressors!$A$1:$R$1,0)),"")</f>
        <v/>
      </c>
      <c r="F916" s="23" t="str">
        <f>IFERROR(INDEX(vdata_regressors!$A$1:$L$2000,MATCH($A916,vdata_regressors!$A$2:$A$2000,0)+1,MATCH(F$2,vdata_regressors!$A$1:$R$1,0)),"")</f>
        <v/>
      </c>
      <c r="G916" s="23" t="str">
        <f>IFERROR(INDEX(vdata_regressors!$A$1:$L$2000,MATCH($A916,vdata_regressors!$A$2:$A$2000,0)+1,MATCH(G$2,vdata_regressors!$A$1:$R$1,0)),"")</f>
        <v/>
      </c>
      <c r="H916" s="23" t="str">
        <f>IFERROR(INDEX(vdata_regressors!$A$1:$L$2000,MATCH($A916,vdata_regressors!$A$2:$A$2000,0)+1,MATCH(H$2,vdata_regressors!$A$1:$R$1,0)),"")</f>
        <v/>
      </c>
      <c r="I916" s="23" t="str">
        <f>IFERROR(INDEX(vdata_regressors!$A$1:$L$2000,MATCH($A916,vdata_regressors!$A$2:$A$2000,0)+1,MATCH(I$2,vdata_regressors!$A$1:$R$1,0)),"")</f>
        <v/>
      </c>
      <c r="J916" s="23" t="str">
        <f>IFERROR(INDEX(vdata_regressors!$A$1:$L$2000,MATCH($A916,vdata_regressors!$A$2:$A$2000,0)+1,MATCH(J$2,vdata_regressors!$A$1:$R$1,0)),"")</f>
        <v/>
      </c>
      <c r="K916" s="23" t="str">
        <f>IFERROR(INDEX(vdata_regressors!$A$1:$L$2000,MATCH($A916,vdata_regressors!$A$2:$A$2000,0)+1,MATCH(K$2,vdata_regressors!$A$1:$R$1,0)),"")</f>
        <v/>
      </c>
      <c r="L916" s="23" t="str">
        <f>IFERROR(INDEX(vdata_regressors!$A$1:$L$2000,MATCH($A916,vdata_regressors!$A$2:$A$2000,0)+1,MATCH(L$2,vdata_regressors!$A$1:$R$1,0)),"")</f>
        <v/>
      </c>
      <c r="M916" s="23" t="str">
        <f>IFERROR(VLOOKUP(A916,vdata_hours!$A$2:$B$1000,2,FALSE),"")</f>
        <v/>
      </c>
    </row>
    <row r="917" spans="1:13" x14ac:dyDescent="0.25">
      <c r="A917" s="23" t="str">
        <f>IF(vdata_hours!A916=0,"",vdata_hours!A916)</f>
        <v/>
      </c>
      <c r="B917" s="23" t="str">
        <f>IFERROR(INDEX(vdata_regressors!$A$1:$L$2000,MATCH($A917,vdata_regressors!$A$2:$A$2000,0)+1,MATCH(B$2,vdata_regressors!$A$1:$R$1,0)),"")</f>
        <v/>
      </c>
      <c r="C917" s="23" t="str">
        <f>IFERROR(INDEX(vdata_regressors!$A$1:$L$2000,MATCH($A917,vdata_regressors!$A$2:$A$2000,0)+1,MATCH(C$2,vdata_regressors!$A$1:$R$1,0)),"")</f>
        <v/>
      </c>
      <c r="D917" s="23" t="str">
        <f>IFERROR(INDEX(vdata_regressors!$A$1:$L$2000,MATCH($A917,vdata_regressors!$A$2:$A$2000,0)+1,MATCH(D$2,vdata_regressors!$A$1:$R$1,0)),"")</f>
        <v/>
      </c>
      <c r="E917" s="23" t="str">
        <f>IFERROR(INDEX(vdata_regressors!$A$1:$L$2000,MATCH($A917,vdata_regressors!$A$2:$A$2000,0)+1,MATCH(E$2,vdata_regressors!$A$1:$R$1,0)),"")</f>
        <v/>
      </c>
      <c r="F917" s="23" t="str">
        <f>IFERROR(INDEX(vdata_regressors!$A$1:$L$2000,MATCH($A917,vdata_regressors!$A$2:$A$2000,0)+1,MATCH(F$2,vdata_regressors!$A$1:$R$1,0)),"")</f>
        <v/>
      </c>
      <c r="G917" s="23" t="str">
        <f>IFERROR(INDEX(vdata_regressors!$A$1:$L$2000,MATCH($A917,vdata_regressors!$A$2:$A$2000,0)+1,MATCH(G$2,vdata_regressors!$A$1:$R$1,0)),"")</f>
        <v/>
      </c>
      <c r="H917" s="23" t="str">
        <f>IFERROR(INDEX(vdata_regressors!$A$1:$L$2000,MATCH($A917,vdata_regressors!$A$2:$A$2000,0)+1,MATCH(H$2,vdata_regressors!$A$1:$R$1,0)),"")</f>
        <v/>
      </c>
      <c r="I917" s="23" t="str">
        <f>IFERROR(INDEX(vdata_regressors!$A$1:$L$2000,MATCH($A917,vdata_regressors!$A$2:$A$2000,0)+1,MATCH(I$2,vdata_regressors!$A$1:$R$1,0)),"")</f>
        <v/>
      </c>
      <c r="J917" s="23" t="str">
        <f>IFERROR(INDEX(vdata_regressors!$A$1:$L$2000,MATCH($A917,vdata_regressors!$A$2:$A$2000,0)+1,MATCH(J$2,vdata_regressors!$A$1:$R$1,0)),"")</f>
        <v/>
      </c>
      <c r="K917" s="23" t="str">
        <f>IFERROR(INDEX(vdata_regressors!$A$1:$L$2000,MATCH($A917,vdata_regressors!$A$2:$A$2000,0)+1,MATCH(K$2,vdata_regressors!$A$1:$R$1,0)),"")</f>
        <v/>
      </c>
      <c r="L917" s="23" t="str">
        <f>IFERROR(INDEX(vdata_regressors!$A$1:$L$2000,MATCH($A917,vdata_regressors!$A$2:$A$2000,0)+1,MATCH(L$2,vdata_regressors!$A$1:$R$1,0)),"")</f>
        <v/>
      </c>
      <c r="M917" s="23" t="str">
        <f>IFERROR(VLOOKUP(A917,vdata_hours!$A$2:$B$1000,2,FALSE),"")</f>
        <v/>
      </c>
    </row>
    <row r="918" spans="1:13" x14ac:dyDescent="0.25">
      <c r="A918" s="23" t="str">
        <f>IF(vdata_hours!A917=0,"",vdata_hours!A917)</f>
        <v/>
      </c>
      <c r="B918" s="23" t="str">
        <f>IFERROR(INDEX(vdata_regressors!$A$1:$L$2000,MATCH($A918,vdata_regressors!$A$2:$A$2000,0)+1,MATCH(B$2,vdata_regressors!$A$1:$R$1,0)),"")</f>
        <v/>
      </c>
      <c r="C918" s="23" t="str">
        <f>IFERROR(INDEX(vdata_regressors!$A$1:$L$2000,MATCH($A918,vdata_regressors!$A$2:$A$2000,0)+1,MATCH(C$2,vdata_regressors!$A$1:$R$1,0)),"")</f>
        <v/>
      </c>
      <c r="D918" s="23" t="str">
        <f>IFERROR(INDEX(vdata_regressors!$A$1:$L$2000,MATCH($A918,vdata_regressors!$A$2:$A$2000,0)+1,MATCH(D$2,vdata_regressors!$A$1:$R$1,0)),"")</f>
        <v/>
      </c>
      <c r="E918" s="23" t="str">
        <f>IFERROR(INDEX(vdata_regressors!$A$1:$L$2000,MATCH($A918,vdata_regressors!$A$2:$A$2000,0)+1,MATCH(E$2,vdata_regressors!$A$1:$R$1,0)),"")</f>
        <v/>
      </c>
      <c r="F918" s="23" t="str">
        <f>IFERROR(INDEX(vdata_regressors!$A$1:$L$2000,MATCH($A918,vdata_regressors!$A$2:$A$2000,0)+1,MATCH(F$2,vdata_regressors!$A$1:$R$1,0)),"")</f>
        <v/>
      </c>
      <c r="G918" s="23" t="str">
        <f>IFERROR(INDEX(vdata_regressors!$A$1:$L$2000,MATCH($A918,vdata_regressors!$A$2:$A$2000,0)+1,MATCH(G$2,vdata_regressors!$A$1:$R$1,0)),"")</f>
        <v/>
      </c>
      <c r="H918" s="23" t="str">
        <f>IFERROR(INDEX(vdata_regressors!$A$1:$L$2000,MATCH($A918,vdata_regressors!$A$2:$A$2000,0)+1,MATCH(H$2,vdata_regressors!$A$1:$R$1,0)),"")</f>
        <v/>
      </c>
      <c r="I918" s="23" t="str">
        <f>IFERROR(INDEX(vdata_regressors!$A$1:$L$2000,MATCH($A918,vdata_regressors!$A$2:$A$2000,0)+1,MATCH(I$2,vdata_regressors!$A$1:$R$1,0)),"")</f>
        <v/>
      </c>
      <c r="J918" s="23" t="str">
        <f>IFERROR(INDEX(vdata_regressors!$A$1:$L$2000,MATCH($A918,vdata_regressors!$A$2:$A$2000,0)+1,MATCH(J$2,vdata_regressors!$A$1:$R$1,0)),"")</f>
        <v/>
      </c>
      <c r="K918" s="23" t="str">
        <f>IFERROR(INDEX(vdata_regressors!$A$1:$L$2000,MATCH($A918,vdata_regressors!$A$2:$A$2000,0)+1,MATCH(K$2,vdata_regressors!$A$1:$R$1,0)),"")</f>
        <v/>
      </c>
      <c r="L918" s="23" t="str">
        <f>IFERROR(INDEX(vdata_regressors!$A$1:$L$2000,MATCH($A918,vdata_regressors!$A$2:$A$2000,0)+1,MATCH(L$2,vdata_regressors!$A$1:$R$1,0)),"")</f>
        <v/>
      </c>
      <c r="M918" s="23" t="str">
        <f>IFERROR(VLOOKUP(A918,vdata_hours!$A$2:$B$1000,2,FALSE),"")</f>
        <v/>
      </c>
    </row>
    <row r="919" spans="1:13" x14ac:dyDescent="0.25">
      <c r="A919" s="23" t="str">
        <f>IF(vdata_hours!A918=0,"",vdata_hours!A918)</f>
        <v/>
      </c>
      <c r="B919" s="23" t="str">
        <f>IFERROR(INDEX(vdata_regressors!$A$1:$L$2000,MATCH($A919,vdata_regressors!$A$2:$A$2000,0)+1,MATCH(B$2,vdata_regressors!$A$1:$R$1,0)),"")</f>
        <v/>
      </c>
      <c r="C919" s="23" t="str">
        <f>IFERROR(INDEX(vdata_regressors!$A$1:$L$2000,MATCH($A919,vdata_regressors!$A$2:$A$2000,0)+1,MATCH(C$2,vdata_regressors!$A$1:$R$1,0)),"")</f>
        <v/>
      </c>
      <c r="D919" s="23" t="str">
        <f>IFERROR(INDEX(vdata_regressors!$A$1:$L$2000,MATCH($A919,vdata_regressors!$A$2:$A$2000,0)+1,MATCH(D$2,vdata_regressors!$A$1:$R$1,0)),"")</f>
        <v/>
      </c>
      <c r="E919" s="23" t="str">
        <f>IFERROR(INDEX(vdata_regressors!$A$1:$L$2000,MATCH($A919,vdata_regressors!$A$2:$A$2000,0)+1,MATCH(E$2,vdata_regressors!$A$1:$R$1,0)),"")</f>
        <v/>
      </c>
      <c r="F919" s="23" t="str">
        <f>IFERROR(INDEX(vdata_regressors!$A$1:$L$2000,MATCH($A919,vdata_regressors!$A$2:$A$2000,0)+1,MATCH(F$2,vdata_regressors!$A$1:$R$1,0)),"")</f>
        <v/>
      </c>
      <c r="G919" s="23" t="str">
        <f>IFERROR(INDEX(vdata_regressors!$A$1:$L$2000,MATCH($A919,vdata_regressors!$A$2:$A$2000,0)+1,MATCH(G$2,vdata_regressors!$A$1:$R$1,0)),"")</f>
        <v/>
      </c>
      <c r="H919" s="23" t="str">
        <f>IFERROR(INDEX(vdata_regressors!$A$1:$L$2000,MATCH($A919,vdata_regressors!$A$2:$A$2000,0)+1,MATCH(H$2,vdata_regressors!$A$1:$R$1,0)),"")</f>
        <v/>
      </c>
      <c r="I919" s="23" t="str">
        <f>IFERROR(INDEX(vdata_regressors!$A$1:$L$2000,MATCH($A919,vdata_regressors!$A$2:$A$2000,0)+1,MATCH(I$2,vdata_regressors!$A$1:$R$1,0)),"")</f>
        <v/>
      </c>
      <c r="J919" s="23" t="str">
        <f>IFERROR(INDEX(vdata_regressors!$A$1:$L$2000,MATCH($A919,vdata_regressors!$A$2:$A$2000,0)+1,MATCH(J$2,vdata_regressors!$A$1:$R$1,0)),"")</f>
        <v/>
      </c>
      <c r="K919" s="23" t="str">
        <f>IFERROR(INDEX(vdata_regressors!$A$1:$L$2000,MATCH($A919,vdata_regressors!$A$2:$A$2000,0)+1,MATCH(K$2,vdata_regressors!$A$1:$R$1,0)),"")</f>
        <v/>
      </c>
      <c r="L919" s="23" t="str">
        <f>IFERROR(INDEX(vdata_regressors!$A$1:$L$2000,MATCH($A919,vdata_regressors!$A$2:$A$2000,0)+1,MATCH(L$2,vdata_regressors!$A$1:$R$1,0)),"")</f>
        <v/>
      </c>
      <c r="M919" s="23" t="str">
        <f>IFERROR(VLOOKUP(A919,vdata_hours!$A$2:$B$1000,2,FALSE),"")</f>
        <v/>
      </c>
    </row>
    <row r="920" spans="1:13" x14ac:dyDescent="0.25">
      <c r="A920" s="23" t="str">
        <f>IF(vdata_hours!A919=0,"",vdata_hours!A919)</f>
        <v/>
      </c>
      <c r="B920" s="23" t="str">
        <f>IFERROR(INDEX(vdata_regressors!$A$1:$L$2000,MATCH($A920,vdata_regressors!$A$2:$A$2000,0)+1,MATCH(B$2,vdata_regressors!$A$1:$R$1,0)),"")</f>
        <v/>
      </c>
      <c r="C920" s="23" t="str">
        <f>IFERROR(INDEX(vdata_regressors!$A$1:$L$2000,MATCH($A920,vdata_regressors!$A$2:$A$2000,0)+1,MATCH(C$2,vdata_regressors!$A$1:$R$1,0)),"")</f>
        <v/>
      </c>
      <c r="D920" s="23" t="str">
        <f>IFERROR(INDEX(vdata_regressors!$A$1:$L$2000,MATCH($A920,vdata_regressors!$A$2:$A$2000,0)+1,MATCH(D$2,vdata_regressors!$A$1:$R$1,0)),"")</f>
        <v/>
      </c>
      <c r="E920" s="23" t="str">
        <f>IFERROR(INDEX(vdata_regressors!$A$1:$L$2000,MATCH($A920,vdata_regressors!$A$2:$A$2000,0)+1,MATCH(E$2,vdata_regressors!$A$1:$R$1,0)),"")</f>
        <v/>
      </c>
      <c r="F920" s="23" t="str">
        <f>IFERROR(INDEX(vdata_regressors!$A$1:$L$2000,MATCH($A920,vdata_regressors!$A$2:$A$2000,0)+1,MATCH(F$2,vdata_regressors!$A$1:$R$1,0)),"")</f>
        <v/>
      </c>
      <c r="G920" s="23" t="str">
        <f>IFERROR(INDEX(vdata_regressors!$A$1:$L$2000,MATCH($A920,vdata_regressors!$A$2:$A$2000,0)+1,MATCH(G$2,vdata_regressors!$A$1:$R$1,0)),"")</f>
        <v/>
      </c>
      <c r="H920" s="23" t="str">
        <f>IFERROR(INDEX(vdata_regressors!$A$1:$L$2000,MATCH($A920,vdata_regressors!$A$2:$A$2000,0)+1,MATCH(H$2,vdata_regressors!$A$1:$R$1,0)),"")</f>
        <v/>
      </c>
      <c r="I920" s="23" t="str">
        <f>IFERROR(INDEX(vdata_regressors!$A$1:$L$2000,MATCH($A920,vdata_regressors!$A$2:$A$2000,0)+1,MATCH(I$2,vdata_regressors!$A$1:$R$1,0)),"")</f>
        <v/>
      </c>
      <c r="J920" s="23" t="str">
        <f>IFERROR(INDEX(vdata_regressors!$A$1:$L$2000,MATCH($A920,vdata_regressors!$A$2:$A$2000,0)+1,MATCH(J$2,vdata_regressors!$A$1:$R$1,0)),"")</f>
        <v/>
      </c>
      <c r="K920" s="23" t="str">
        <f>IFERROR(INDEX(vdata_regressors!$A$1:$L$2000,MATCH($A920,vdata_regressors!$A$2:$A$2000,0)+1,MATCH(K$2,vdata_regressors!$A$1:$R$1,0)),"")</f>
        <v/>
      </c>
      <c r="L920" s="23" t="str">
        <f>IFERROR(INDEX(vdata_regressors!$A$1:$L$2000,MATCH($A920,vdata_regressors!$A$2:$A$2000,0)+1,MATCH(L$2,vdata_regressors!$A$1:$R$1,0)),"")</f>
        <v/>
      </c>
      <c r="M920" s="23" t="str">
        <f>IFERROR(VLOOKUP(A920,vdata_hours!$A$2:$B$1000,2,FALSE),"")</f>
        <v/>
      </c>
    </row>
    <row r="921" spans="1:13" x14ac:dyDescent="0.25">
      <c r="A921" s="23" t="str">
        <f>IF(vdata_hours!A920=0,"",vdata_hours!A920)</f>
        <v/>
      </c>
      <c r="B921" s="23" t="str">
        <f>IFERROR(INDEX(vdata_regressors!$A$1:$L$2000,MATCH($A921,vdata_regressors!$A$2:$A$2000,0)+1,MATCH(B$2,vdata_regressors!$A$1:$R$1,0)),"")</f>
        <v/>
      </c>
      <c r="C921" s="23" t="str">
        <f>IFERROR(INDEX(vdata_regressors!$A$1:$L$2000,MATCH($A921,vdata_regressors!$A$2:$A$2000,0)+1,MATCH(C$2,vdata_regressors!$A$1:$R$1,0)),"")</f>
        <v/>
      </c>
      <c r="D921" s="23" t="str">
        <f>IFERROR(INDEX(vdata_regressors!$A$1:$L$2000,MATCH($A921,vdata_regressors!$A$2:$A$2000,0)+1,MATCH(D$2,vdata_regressors!$A$1:$R$1,0)),"")</f>
        <v/>
      </c>
      <c r="E921" s="23" t="str">
        <f>IFERROR(INDEX(vdata_regressors!$A$1:$L$2000,MATCH($A921,vdata_regressors!$A$2:$A$2000,0)+1,MATCH(E$2,vdata_regressors!$A$1:$R$1,0)),"")</f>
        <v/>
      </c>
      <c r="F921" s="23" t="str">
        <f>IFERROR(INDEX(vdata_regressors!$A$1:$L$2000,MATCH($A921,vdata_regressors!$A$2:$A$2000,0)+1,MATCH(F$2,vdata_regressors!$A$1:$R$1,0)),"")</f>
        <v/>
      </c>
      <c r="G921" s="23" t="str">
        <f>IFERROR(INDEX(vdata_regressors!$A$1:$L$2000,MATCH($A921,vdata_regressors!$A$2:$A$2000,0)+1,MATCH(G$2,vdata_regressors!$A$1:$R$1,0)),"")</f>
        <v/>
      </c>
      <c r="H921" s="23" t="str">
        <f>IFERROR(INDEX(vdata_regressors!$A$1:$L$2000,MATCH($A921,vdata_regressors!$A$2:$A$2000,0)+1,MATCH(H$2,vdata_regressors!$A$1:$R$1,0)),"")</f>
        <v/>
      </c>
      <c r="I921" s="23" t="str">
        <f>IFERROR(INDEX(vdata_regressors!$A$1:$L$2000,MATCH($A921,vdata_regressors!$A$2:$A$2000,0)+1,MATCH(I$2,vdata_regressors!$A$1:$R$1,0)),"")</f>
        <v/>
      </c>
      <c r="J921" s="23" t="str">
        <f>IFERROR(INDEX(vdata_regressors!$A$1:$L$2000,MATCH($A921,vdata_regressors!$A$2:$A$2000,0)+1,MATCH(J$2,vdata_regressors!$A$1:$R$1,0)),"")</f>
        <v/>
      </c>
      <c r="K921" s="23" t="str">
        <f>IFERROR(INDEX(vdata_regressors!$A$1:$L$2000,MATCH($A921,vdata_regressors!$A$2:$A$2000,0)+1,MATCH(K$2,vdata_regressors!$A$1:$R$1,0)),"")</f>
        <v/>
      </c>
      <c r="L921" s="23" t="str">
        <f>IFERROR(INDEX(vdata_regressors!$A$1:$L$2000,MATCH($A921,vdata_regressors!$A$2:$A$2000,0)+1,MATCH(L$2,vdata_regressors!$A$1:$R$1,0)),"")</f>
        <v/>
      </c>
      <c r="M921" s="23" t="str">
        <f>IFERROR(VLOOKUP(A921,vdata_hours!$A$2:$B$1000,2,FALSE),"")</f>
        <v/>
      </c>
    </row>
    <row r="922" spans="1:13" x14ac:dyDescent="0.25">
      <c r="A922" s="23" t="str">
        <f>IF(vdata_hours!A921=0,"",vdata_hours!A921)</f>
        <v/>
      </c>
      <c r="B922" s="23" t="str">
        <f>IFERROR(INDEX(vdata_regressors!$A$1:$L$2000,MATCH($A922,vdata_regressors!$A$2:$A$2000,0)+1,MATCH(B$2,vdata_regressors!$A$1:$R$1,0)),"")</f>
        <v/>
      </c>
      <c r="C922" s="23" t="str">
        <f>IFERROR(INDEX(vdata_regressors!$A$1:$L$2000,MATCH($A922,vdata_regressors!$A$2:$A$2000,0)+1,MATCH(C$2,vdata_regressors!$A$1:$R$1,0)),"")</f>
        <v/>
      </c>
      <c r="D922" s="23" t="str">
        <f>IFERROR(INDEX(vdata_regressors!$A$1:$L$2000,MATCH($A922,vdata_regressors!$A$2:$A$2000,0)+1,MATCH(D$2,vdata_regressors!$A$1:$R$1,0)),"")</f>
        <v/>
      </c>
      <c r="E922" s="23" t="str">
        <f>IFERROR(INDEX(vdata_regressors!$A$1:$L$2000,MATCH($A922,vdata_regressors!$A$2:$A$2000,0)+1,MATCH(E$2,vdata_regressors!$A$1:$R$1,0)),"")</f>
        <v/>
      </c>
      <c r="F922" s="23" t="str">
        <f>IFERROR(INDEX(vdata_regressors!$A$1:$L$2000,MATCH($A922,vdata_regressors!$A$2:$A$2000,0)+1,MATCH(F$2,vdata_regressors!$A$1:$R$1,0)),"")</f>
        <v/>
      </c>
      <c r="G922" s="23" t="str">
        <f>IFERROR(INDEX(vdata_regressors!$A$1:$L$2000,MATCH($A922,vdata_regressors!$A$2:$A$2000,0)+1,MATCH(G$2,vdata_regressors!$A$1:$R$1,0)),"")</f>
        <v/>
      </c>
      <c r="H922" s="23" t="str">
        <f>IFERROR(INDEX(vdata_regressors!$A$1:$L$2000,MATCH($A922,vdata_regressors!$A$2:$A$2000,0)+1,MATCH(H$2,vdata_regressors!$A$1:$R$1,0)),"")</f>
        <v/>
      </c>
      <c r="I922" s="23" t="str">
        <f>IFERROR(INDEX(vdata_regressors!$A$1:$L$2000,MATCH($A922,vdata_regressors!$A$2:$A$2000,0)+1,MATCH(I$2,vdata_regressors!$A$1:$R$1,0)),"")</f>
        <v/>
      </c>
      <c r="J922" s="23" t="str">
        <f>IFERROR(INDEX(vdata_regressors!$A$1:$L$2000,MATCH($A922,vdata_regressors!$A$2:$A$2000,0)+1,MATCH(J$2,vdata_regressors!$A$1:$R$1,0)),"")</f>
        <v/>
      </c>
      <c r="K922" s="23" t="str">
        <f>IFERROR(INDEX(vdata_regressors!$A$1:$L$2000,MATCH($A922,vdata_regressors!$A$2:$A$2000,0)+1,MATCH(K$2,vdata_regressors!$A$1:$R$1,0)),"")</f>
        <v/>
      </c>
      <c r="L922" s="23" t="str">
        <f>IFERROR(INDEX(vdata_regressors!$A$1:$L$2000,MATCH($A922,vdata_regressors!$A$2:$A$2000,0)+1,MATCH(L$2,vdata_regressors!$A$1:$R$1,0)),"")</f>
        <v/>
      </c>
      <c r="M922" s="23" t="str">
        <f>IFERROR(VLOOKUP(A922,vdata_hours!$A$2:$B$1000,2,FALSE),"")</f>
        <v/>
      </c>
    </row>
    <row r="923" spans="1:13" x14ac:dyDescent="0.25">
      <c r="A923" s="23" t="str">
        <f>IF(vdata_hours!A922=0,"",vdata_hours!A922)</f>
        <v/>
      </c>
      <c r="B923" s="23" t="str">
        <f>IFERROR(INDEX(vdata_regressors!$A$1:$L$2000,MATCH($A923,vdata_regressors!$A$2:$A$2000,0)+1,MATCH(B$2,vdata_regressors!$A$1:$R$1,0)),"")</f>
        <v/>
      </c>
      <c r="C923" s="23" t="str">
        <f>IFERROR(INDEX(vdata_regressors!$A$1:$L$2000,MATCH($A923,vdata_regressors!$A$2:$A$2000,0)+1,MATCH(C$2,vdata_regressors!$A$1:$R$1,0)),"")</f>
        <v/>
      </c>
      <c r="D923" s="23" t="str">
        <f>IFERROR(INDEX(vdata_regressors!$A$1:$L$2000,MATCH($A923,vdata_regressors!$A$2:$A$2000,0)+1,MATCH(D$2,vdata_regressors!$A$1:$R$1,0)),"")</f>
        <v/>
      </c>
      <c r="E923" s="23" t="str">
        <f>IFERROR(INDEX(vdata_regressors!$A$1:$L$2000,MATCH($A923,vdata_regressors!$A$2:$A$2000,0)+1,MATCH(E$2,vdata_regressors!$A$1:$R$1,0)),"")</f>
        <v/>
      </c>
      <c r="F923" s="23" t="str">
        <f>IFERROR(INDEX(vdata_regressors!$A$1:$L$2000,MATCH($A923,vdata_regressors!$A$2:$A$2000,0)+1,MATCH(F$2,vdata_regressors!$A$1:$R$1,0)),"")</f>
        <v/>
      </c>
      <c r="G923" s="23" t="str">
        <f>IFERROR(INDEX(vdata_regressors!$A$1:$L$2000,MATCH($A923,vdata_regressors!$A$2:$A$2000,0)+1,MATCH(G$2,vdata_regressors!$A$1:$R$1,0)),"")</f>
        <v/>
      </c>
      <c r="H923" s="23" t="str">
        <f>IFERROR(INDEX(vdata_regressors!$A$1:$L$2000,MATCH($A923,vdata_regressors!$A$2:$A$2000,0)+1,MATCH(H$2,vdata_regressors!$A$1:$R$1,0)),"")</f>
        <v/>
      </c>
      <c r="I923" s="23" t="str">
        <f>IFERROR(INDEX(vdata_regressors!$A$1:$L$2000,MATCH($A923,vdata_regressors!$A$2:$A$2000,0)+1,MATCH(I$2,vdata_regressors!$A$1:$R$1,0)),"")</f>
        <v/>
      </c>
      <c r="J923" s="23" t="str">
        <f>IFERROR(INDEX(vdata_regressors!$A$1:$L$2000,MATCH($A923,vdata_regressors!$A$2:$A$2000,0)+1,MATCH(J$2,vdata_regressors!$A$1:$R$1,0)),"")</f>
        <v/>
      </c>
      <c r="K923" s="23" t="str">
        <f>IFERROR(INDEX(vdata_regressors!$A$1:$L$2000,MATCH($A923,vdata_regressors!$A$2:$A$2000,0)+1,MATCH(K$2,vdata_regressors!$A$1:$R$1,0)),"")</f>
        <v/>
      </c>
      <c r="L923" s="23" t="str">
        <f>IFERROR(INDEX(vdata_regressors!$A$1:$L$2000,MATCH($A923,vdata_regressors!$A$2:$A$2000,0)+1,MATCH(L$2,vdata_regressors!$A$1:$R$1,0)),"")</f>
        <v/>
      </c>
      <c r="M923" s="23" t="str">
        <f>IFERROR(VLOOKUP(A923,vdata_hours!$A$2:$B$1000,2,FALSE),"")</f>
        <v/>
      </c>
    </row>
    <row r="924" spans="1:13" x14ac:dyDescent="0.25">
      <c r="A924" s="23" t="str">
        <f>IF(vdata_hours!A923=0,"",vdata_hours!A923)</f>
        <v/>
      </c>
      <c r="B924" s="23" t="str">
        <f>IFERROR(INDEX(vdata_regressors!$A$1:$L$2000,MATCH($A924,vdata_regressors!$A$2:$A$2000,0)+1,MATCH(B$2,vdata_regressors!$A$1:$R$1,0)),"")</f>
        <v/>
      </c>
      <c r="C924" s="23" t="str">
        <f>IFERROR(INDEX(vdata_regressors!$A$1:$L$2000,MATCH($A924,vdata_regressors!$A$2:$A$2000,0)+1,MATCH(C$2,vdata_regressors!$A$1:$R$1,0)),"")</f>
        <v/>
      </c>
      <c r="D924" s="23" t="str">
        <f>IFERROR(INDEX(vdata_regressors!$A$1:$L$2000,MATCH($A924,vdata_regressors!$A$2:$A$2000,0)+1,MATCH(D$2,vdata_regressors!$A$1:$R$1,0)),"")</f>
        <v/>
      </c>
      <c r="E924" s="23" t="str">
        <f>IFERROR(INDEX(vdata_regressors!$A$1:$L$2000,MATCH($A924,vdata_regressors!$A$2:$A$2000,0)+1,MATCH(E$2,vdata_regressors!$A$1:$R$1,0)),"")</f>
        <v/>
      </c>
      <c r="F924" s="23" t="str">
        <f>IFERROR(INDEX(vdata_regressors!$A$1:$L$2000,MATCH($A924,vdata_regressors!$A$2:$A$2000,0)+1,MATCH(F$2,vdata_regressors!$A$1:$R$1,0)),"")</f>
        <v/>
      </c>
      <c r="G924" s="23" t="str">
        <f>IFERROR(INDEX(vdata_regressors!$A$1:$L$2000,MATCH($A924,vdata_regressors!$A$2:$A$2000,0)+1,MATCH(G$2,vdata_regressors!$A$1:$R$1,0)),"")</f>
        <v/>
      </c>
      <c r="H924" s="23" t="str">
        <f>IFERROR(INDEX(vdata_regressors!$A$1:$L$2000,MATCH($A924,vdata_regressors!$A$2:$A$2000,0)+1,MATCH(H$2,vdata_regressors!$A$1:$R$1,0)),"")</f>
        <v/>
      </c>
      <c r="I924" s="23" t="str">
        <f>IFERROR(INDEX(vdata_regressors!$A$1:$L$2000,MATCH($A924,vdata_regressors!$A$2:$A$2000,0)+1,MATCH(I$2,vdata_regressors!$A$1:$R$1,0)),"")</f>
        <v/>
      </c>
      <c r="J924" s="23" t="str">
        <f>IFERROR(INDEX(vdata_regressors!$A$1:$L$2000,MATCH($A924,vdata_regressors!$A$2:$A$2000,0)+1,MATCH(J$2,vdata_regressors!$A$1:$R$1,0)),"")</f>
        <v/>
      </c>
      <c r="K924" s="23" t="str">
        <f>IFERROR(INDEX(vdata_regressors!$A$1:$L$2000,MATCH($A924,vdata_regressors!$A$2:$A$2000,0)+1,MATCH(K$2,vdata_regressors!$A$1:$R$1,0)),"")</f>
        <v/>
      </c>
      <c r="L924" s="23" t="str">
        <f>IFERROR(INDEX(vdata_regressors!$A$1:$L$2000,MATCH($A924,vdata_regressors!$A$2:$A$2000,0)+1,MATCH(L$2,vdata_regressors!$A$1:$R$1,0)),"")</f>
        <v/>
      </c>
      <c r="M924" s="23" t="str">
        <f>IFERROR(VLOOKUP(A924,vdata_hours!$A$2:$B$1000,2,FALSE),"")</f>
        <v/>
      </c>
    </row>
    <row r="925" spans="1:13" x14ac:dyDescent="0.25">
      <c r="A925" s="23" t="str">
        <f>IF(vdata_hours!A924=0,"",vdata_hours!A924)</f>
        <v/>
      </c>
      <c r="B925" s="23" t="str">
        <f>IFERROR(INDEX(vdata_regressors!$A$1:$L$2000,MATCH($A925,vdata_regressors!$A$2:$A$2000,0)+1,MATCH(B$2,vdata_regressors!$A$1:$R$1,0)),"")</f>
        <v/>
      </c>
      <c r="C925" s="23" t="str">
        <f>IFERROR(INDEX(vdata_regressors!$A$1:$L$2000,MATCH($A925,vdata_regressors!$A$2:$A$2000,0)+1,MATCH(C$2,vdata_regressors!$A$1:$R$1,0)),"")</f>
        <v/>
      </c>
      <c r="D925" s="23" t="str">
        <f>IFERROR(INDEX(vdata_regressors!$A$1:$L$2000,MATCH($A925,vdata_regressors!$A$2:$A$2000,0)+1,MATCH(D$2,vdata_regressors!$A$1:$R$1,0)),"")</f>
        <v/>
      </c>
      <c r="E925" s="23" t="str">
        <f>IFERROR(INDEX(vdata_regressors!$A$1:$L$2000,MATCH($A925,vdata_regressors!$A$2:$A$2000,0)+1,MATCH(E$2,vdata_regressors!$A$1:$R$1,0)),"")</f>
        <v/>
      </c>
      <c r="F925" s="23" t="str">
        <f>IFERROR(INDEX(vdata_regressors!$A$1:$L$2000,MATCH($A925,vdata_regressors!$A$2:$A$2000,0)+1,MATCH(F$2,vdata_regressors!$A$1:$R$1,0)),"")</f>
        <v/>
      </c>
      <c r="G925" s="23" t="str">
        <f>IFERROR(INDEX(vdata_regressors!$A$1:$L$2000,MATCH($A925,vdata_regressors!$A$2:$A$2000,0)+1,MATCH(G$2,vdata_regressors!$A$1:$R$1,0)),"")</f>
        <v/>
      </c>
      <c r="H925" s="23" t="str">
        <f>IFERROR(INDEX(vdata_regressors!$A$1:$L$2000,MATCH($A925,vdata_regressors!$A$2:$A$2000,0)+1,MATCH(H$2,vdata_regressors!$A$1:$R$1,0)),"")</f>
        <v/>
      </c>
      <c r="I925" s="23" t="str">
        <f>IFERROR(INDEX(vdata_regressors!$A$1:$L$2000,MATCH($A925,vdata_regressors!$A$2:$A$2000,0)+1,MATCH(I$2,vdata_regressors!$A$1:$R$1,0)),"")</f>
        <v/>
      </c>
      <c r="J925" s="23" t="str">
        <f>IFERROR(INDEX(vdata_regressors!$A$1:$L$2000,MATCH($A925,vdata_regressors!$A$2:$A$2000,0)+1,MATCH(J$2,vdata_regressors!$A$1:$R$1,0)),"")</f>
        <v/>
      </c>
      <c r="K925" s="23" t="str">
        <f>IFERROR(INDEX(vdata_regressors!$A$1:$L$2000,MATCH($A925,vdata_regressors!$A$2:$A$2000,0)+1,MATCH(K$2,vdata_regressors!$A$1:$R$1,0)),"")</f>
        <v/>
      </c>
      <c r="L925" s="23" t="str">
        <f>IFERROR(INDEX(vdata_regressors!$A$1:$L$2000,MATCH($A925,vdata_regressors!$A$2:$A$2000,0)+1,MATCH(L$2,vdata_regressors!$A$1:$R$1,0)),"")</f>
        <v/>
      </c>
      <c r="M925" s="23" t="str">
        <f>IFERROR(VLOOKUP(A925,vdata_hours!$A$2:$B$1000,2,FALSE),"")</f>
        <v/>
      </c>
    </row>
    <row r="926" spans="1:13" x14ac:dyDescent="0.25">
      <c r="A926" s="23" t="str">
        <f>IF(vdata_hours!A925=0,"",vdata_hours!A925)</f>
        <v/>
      </c>
      <c r="B926" s="23" t="str">
        <f>IFERROR(INDEX(vdata_regressors!$A$1:$L$2000,MATCH($A926,vdata_regressors!$A$2:$A$2000,0)+1,MATCH(B$2,vdata_regressors!$A$1:$R$1,0)),"")</f>
        <v/>
      </c>
      <c r="C926" s="23" t="str">
        <f>IFERROR(INDEX(vdata_regressors!$A$1:$L$2000,MATCH($A926,vdata_regressors!$A$2:$A$2000,0)+1,MATCH(C$2,vdata_regressors!$A$1:$R$1,0)),"")</f>
        <v/>
      </c>
      <c r="D926" s="23" t="str">
        <f>IFERROR(INDEX(vdata_regressors!$A$1:$L$2000,MATCH($A926,vdata_regressors!$A$2:$A$2000,0)+1,MATCH(D$2,vdata_regressors!$A$1:$R$1,0)),"")</f>
        <v/>
      </c>
      <c r="E926" s="23" t="str">
        <f>IFERROR(INDEX(vdata_regressors!$A$1:$L$2000,MATCH($A926,vdata_regressors!$A$2:$A$2000,0)+1,MATCH(E$2,vdata_regressors!$A$1:$R$1,0)),"")</f>
        <v/>
      </c>
      <c r="F926" s="23" t="str">
        <f>IFERROR(INDEX(vdata_regressors!$A$1:$L$2000,MATCH($A926,vdata_regressors!$A$2:$A$2000,0)+1,MATCH(F$2,vdata_regressors!$A$1:$R$1,0)),"")</f>
        <v/>
      </c>
      <c r="G926" s="23" t="str">
        <f>IFERROR(INDEX(vdata_regressors!$A$1:$L$2000,MATCH($A926,vdata_regressors!$A$2:$A$2000,0)+1,MATCH(G$2,vdata_regressors!$A$1:$R$1,0)),"")</f>
        <v/>
      </c>
      <c r="H926" s="23" t="str">
        <f>IFERROR(INDEX(vdata_regressors!$A$1:$L$2000,MATCH($A926,vdata_regressors!$A$2:$A$2000,0)+1,MATCH(H$2,vdata_regressors!$A$1:$R$1,0)),"")</f>
        <v/>
      </c>
      <c r="I926" s="23" t="str">
        <f>IFERROR(INDEX(vdata_regressors!$A$1:$L$2000,MATCH($A926,vdata_regressors!$A$2:$A$2000,0)+1,MATCH(I$2,vdata_regressors!$A$1:$R$1,0)),"")</f>
        <v/>
      </c>
      <c r="J926" s="23" t="str">
        <f>IFERROR(INDEX(vdata_regressors!$A$1:$L$2000,MATCH($A926,vdata_regressors!$A$2:$A$2000,0)+1,MATCH(J$2,vdata_regressors!$A$1:$R$1,0)),"")</f>
        <v/>
      </c>
      <c r="K926" s="23" t="str">
        <f>IFERROR(INDEX(vdata_regressors!$A$1:$L$2000,MATCH($A926,vdata_regressors!$A$2:$A$2000,0)+1,MATCH(K$2,vdata_regressors!$A$1:$R$1,0)),"")</f>
        <v/>
      </c>
      <c r="L926" s="23" t="str">
        <f>IFERROR(INDEX(vdata_regressors!$A$1:$L$2000,MATCH($A926,vdata_regressors!$A$2:$A$2000,0)+1,MATCH(L$2,vdata_regressors!$A$1:$R$1,0)),"")</f>
        <v/>
      </c>
      <c r="M926" s="23" t="str">
        <f>IFERROR(VLOOKUP(A926,vdata_hours!$A$2:$B$1000,2,FALSE),"")</f>
        <v/>
      </c>
    </row>
    <row r="927" spans="1:13" x14ac:dyDescent="0.25">
      <c r="A927" s="23" t="str">
        <f>IF(vdata_hours!A926=0,"",vdata_hours!A926)</f>
        <v/>
      </c>
      <c r="B927" s="23" t="str">
        <f>IFERROR(INDEX(vdata_regressors!$A$1:$L$2000,MATCH($A927,vdata_regressors!$A$2:$A$2000,0)+1,MATCH(B$2,vdata_regressors!$A$1:$R$1,0)),"")</f>
        <v/>
      </c>
      <c r="C927" s="23" t="str">
        <f>IFERROR(INDEX(vdata_regressors!$A$1:$L$2000,MATCH($A927,vdata_regressors!$A$2:$A$2000,0)+1,MATCH(C$2,vdata_regressors!$A$1:$R$1,0)),"")</f>
        <v/>
      </c>
      <c r="D927" s="23" t="str">
        <f>IFERROR(INDEX(vdata_regressors!$A$1:$L$2000,MATCH($A927,vdata_regressors!$A$2:$A$2000,0)+1,MATCH(D$2,vdata_regressors!$A$1:$R$1,0)),"")</f>
        <v/>
      </c>
      <c r="E927" s="23" t="str">
        <f>IFERROR(INDEX(vdata_regressors!$A$1:$L$2000,MATCH($A927,vdata_regressors!$A$2:$A$2000,0)+1,MATCH(E$2,vdata_regressors!$A$1:$R$1,0)),"")</f>
        <v/>
      </c>
      <c r="F927" s="23" t="str">
        <f>IFERROR(INDEX(vdata_regressors!$A$1:$L$2000,MATCH($A927,vdata_regressors!$A$2:$A$2000,0)+1,MATCH(F$2,vdata_regressors!$A$1:$R$1,0)),"")</f>
        <v/>
      </c>
      <c r="G927" s="23" t="str">
        <f>IFERROR(INDEX(vdata_regressors!$A$1:$L$2000,MATCH($A927,vdata_regressors!$A$2:$A$2000,0)+1,MATCH(G$2,vdata_regressors!$A$1:$R$1,0)),"")</f>
        <v/>
      </c>
      <c r="H927" s="23" t="str">
        <f>IFERROR(INDEX(vdata_regressors!$A$1:$L$2000,MATCH($A927,vdata_regressors!$A$2:$A$2000,0)+1,MATCH(H$2,vdata_regressors!$A$1:$R$1,0)),"")</f>
        <v/>
      </c>
      <c r="I927" s="23" t="str">
        <f>IFERROR(INDEX(vdata_regressors!$A$1:$L$2000,MATCH($A927,vdata_regressors!$A$2:$A$2000,0)+1,MATCH(I$2,vdata_regressors!$A$1:$R$1,0)),"")</f>
        <v/>
      </c>
      <c r="J927" s="23" t="str">
        <f>IFERROR(INDEX(vdata_regressors!$A$1:$L$2000,MATCH($A927,vdata_regressors!$A$2:$A$2000,0)+1,MATCH(J$2,vdata_regressors!$A$1:$R$1,0)),"")</f>
        <v/>
      </c>
      <c r="K927" s="23" t="str">
        <f>IFERROR(INDEX(vdata_regressors!$A$1:$L$2000,MATCH($A927,vdata_regressors!$A$2:$A$2000,0)+1,MATCH(K$2,vdata_regressors!$A$1:$R$1,0)),"")</f>
        <v/>
      </c>
      <c r="L927" s="23" t="str">
        <f>IFERROR(INDEX(vdata_regressors!$A$1:$L$2000,MATCH($A927,vdata_regressors!$A$2:$A$2000,0)+1,MATCH(L$2,vdata_regressors!$A$1:$R$1,0)),"")</f>
        <v/>
      </c>
      <c r="M927" s="23" t="str">
        <f>IFERROR(VLOOKUP(A927,vdata_hours!$A$2:$B$1000,2,FALSE),"")</f>
        <v/>
      </c>
    </row>
    <row r="928" spans="1:13" x14ac:dyDescent="0.25">
      <c r="A928" s="23" t="str">
        <f>IF(vdata_hours!A927=0,"",vdata_hours!A927)</f>
        <v/>
      </c>
      <c r="B928" s="23" t="str">
        <f>IFERROR(INDEX(vdata_regressors!$A$1:$L$2000,MATCH($A928,vdata_regressors!$A$2:$A$2000,0)+1,MATCH(B$2,vdata_regressors!$A$1:$R$1,0)),"")</f>
        <v/>
      </c>
      <c r="C928" s="23" t="str">
        <f>IFERROR(INDEX(vdata_regressors!$A$1:$L$2000,MATCH($A928,vdata_regressors!$A$2:$A$2000,0)+1,MATCH(C$2,vdata_regressors!$A$1:$R$1,0)),"")</f>
        <v/>
      </c>
      <c r="D928" s="23" t="str">
        <f>IFERROR(INDEX(vdata_regressors!$A$1:$L$2000,MATCH($A928,vdata_regressors!$A$2:$A$2000,0)+1,MATCH(D$2,vdata_regressors!$A$1:$R$1,0)),"")</f>
        <v/>
      </c>
      <c r="E928" s="23" t="str">
        <f>IFERROR(INDEX(vdata_regressors!$A$1:$L$2000,MATCH($A928,vdata_regressors!$A$2:$A$2000,0)+1,MATCH(E$2,vdata_regressors!$A$1:$R$1,0)),"")</f>
        <v/>
      </c>
      <c r="F928" s="23" t="str">
        <f>IFERROR(INDEX(vdata_regressors!$A$1:$L$2000,MATCH($A928,vdata_regressors!$A$2:$A$2000,0)+1,MATCH(F$2,vdata_regressors!$A$1:$R$1,0)),"")</f>
        <v/>
      </c>
      <c r="G928" s="23" t="str">
        <f>IFERROR(INDEX(vdata_regressors!$A$1:$L$2000,MATCH($A928,vdata_regressors!$A$2:$A$2000,0)+1,MATCH(G$2,vdata_regressors!$A$1:$R$1,0)),"")</f>
        <v/>
      </c>
      <c r="H928" s="23" t="str">
        <f>IFERROR(INDEX(vdata_regressors!$A$1:$L$2000,MATCH($A928,vdata_regressors!$A$2:$A$2000,0)+1,MATCH(H$2,vdata_regressors!$A$1:$R$1,0)),"")</f>
        <v/>
      </c>
      <c r="I928" s="23" t="str">
        <f>IFERROR(INDEX(vdata_regressors!$A$1:$L$2000,MATCH($A928,vdata_regressors!$A$2:$A$2000,0)+1,MATCH(I$2,vdata_regressors!$A$1:$R$1,0)),"")</f>
        <v/>
      </c>
      <c r="J928" s="23" t="str">
        <f>IFERROR(INDEX(vdata_regressors!$A$1:$L$2000,MATCH($A928,vdata_regressors!$A$2:$A$2000,0)+1,MATCH(J$2,vdata_regressors!$A$1:$R$1,0)),"")</f>
        <v/>
      </c>
      <c r="K928" s="23" t="str">
        <f>IFERROR(INDEX(vdata_regressors!$A$1:$L$2000,MATCH($A928,vdata_regressors!$A$2:$A$2000,0)+1,MATCH(K$2,vdata_regressors!$A$1:$R$1,0)),"")</f>
        <v/>
      </c>
      <c r="L928" s="23" t="str">
        <f>IFERROR(INDEX(vdata_regressors!$A$1:$L$2000,MATCH($A928,vdata_regressors!$A$2:$A$2000,0)+1,MATCH(L$2,vdata_regressors!$A$1:$R$1,0)),"")</f>
        <v/>
      </c>
      <c r="M928" s="23" t="str">
        <f>IFERROR(VLOOKUP(A928,vdata_hours!$A$2:$B$1000,2,FALSE),"")</f>
        <v/>
      </c>
    </row>
    <row r="929" spans="1:13" x14ac:dyDescent="0.25">
      <c r="A929" s="23" t="str">
        <f>IF(vdata_hours!A928=0,"",vdata_hours!A928)</f>
        <v/>
      </c>
      <c r="B929" s="23" t="str">
        <f>IFERROR(INDEX(vdata_regressors!$A$1:$L$2000,MATCH($A929,vdata_regressors!$A$2:$A$2000,0)+1,MATCH(B$2,vdata_regressors!$A$1:$R$1,0)),"")</f>
        <v/>
      </c>
      <c r="C929" s="23" t="str">
        <f>IFERROR(INDEX(vdata_regressors!$A$1:$L$2000,MATCH($A929,vdata_regressors!$A$2:$A$2000,0)+1,MATCH(C$2,vdata_regressors!$A$1:$R$1,0)),"")</f>
        <v/>
      </c>
      <c r="D929" s="23" t="str">
        <f>IFERROR(INDEX(vdata_regressors!$A$1:$L$2000,MATCH($A929,vdata_regressors!$A$2:$A$2000,0)+1,MATCH(D$2,vdata_regressors!$A$1:$R$1,0)),"")</f>
        <v/>
      </c>
      <c r="E929" s="23" t="str">
        <f>IFERROR(INDEX(vdata_regressors!$A$1:$L$2000,MATCH($A929,vdata_regressors!$A$2:$A$2000,0)+1,MATCH(E$2,vdata_regressors!$A$1:$R$1,0)),"")</f>
        <v/>
      </c>
      <c r="F929" s="23" t="str">
        <f>IFERROR(INDEX(vdata_regressors!$A$1:$L$2000,MATCH($A929,vdata_regressors!$A$2:$A$2000,0)+1,MATCH(F$2,vdata_regressors!$A$1:$R$1,0)),"")</f>
        <v/>
      </c>
      <c r="G929" s="23" t="str">
        <f>IFERROR(INDEX(vdata_regressors!$A$1:$L$2000,MATCH($A929,vdata_regressors!$A$2:$A$2000,0)+1,MATCH(G$2,vdata_regressors!$A$1:$R$1,0)),"")</f>
        <v/>
      </c>
      <c r="H929" s="23" t="str">
        <f>IFERROR(INDEX(vdata_regressors!$A$1:$L$2000,MATCH($A929,vdata_regressors!$A$2:$A$2000,0)+1,MATCH(H$2,vdata_regressors!$A$1:$R$1,0)),"")</f>
        <v/>
      </c>
      <c r="I929" s="23" t="str">
        <f>IFERROR(INDEX(vdata_regressors!$A$1:$L$2000,MATCH($A929,vdata_regressors!$A$2:$A$2000,0)+1,MATCH(I$2,vdata_regressors!$A$1:$R$1,0)),"")</f>
        <v/>
      </c>
      <c r="J929" s="23" t="str">
        <f>IFERROR(INDEX(vdata_regressors!$A$1:$L$2000,MATCH($A929,vdata_regressors!$A$2:$A$2000,0)+1,MATCH(J$2,vdata_regressors!$A$1:$R$1,0)),"")</f>
        <v/>
      </c>
      <c r="K929" s="23" t="str">
        <f>IFERROR(INDEX(vdata_regressors!$A$1:$L$2000,MATCH($A929,vdata_regressors!$A$2:$A$2000,0)+1,MATCH(K$2,vdata_regressors!$A$1:$R$1,0)),"")</f>
        <v/>
      </c>
      <c r="L929" s="23" t="str">
        <f>IFERROR(INDEX(vdata_regressors!$A$1:$L$2000,MATCH($A929,vdata_regressors!$A$2:$A$2000,0)+1,MATCH(L$2,vdata_regressors!$A$1:$R$1,0)),"")</f>
        <v/>
      </c>
      <c r="M929" s="23" t="str">
        <f>IFERROR(VLOOKUP(A929,vdata_hours!$A$2:$B$1000,2,FALSE),"")</f>
        <v/>
      </c>
    </row>
    <row r="930" spans="1:13" x14ac:dyDescent="0.25">
      <c r="A930" s="23" t="str">
        <f>IF(vdata_hours!A929=0,"",vdata_hours!A929)</f>
        <v/>
      </c>
      <c r="B930" s="23" t="str">
        <f>IFERROR(INDEX(vdata_regressors!$A$1:$L$2000,MATCH($A930,vdata_regressors!$A$2:$A$2000,0)+1,MATCH(B$2,vdata_regressors!$A$1:$R$1,0)),"")</f>
        <v/>
      </c>
      <c r="C930" s="23" t="str">
        <f>IFERROR(INDEX(vdata_regressors!$A$1:$L$2000,MATCH($A930,vdata_regressors!$A$2:$A$2000,0)+1,MATCH(C$2,vdata_regressors!$A$1:$R$1,0)),"")</f>
        <v/>
      </c>
      <c r="D930" s="23" t="str">
        <f>IFERROR(INDEX(vdata_regressors!$A$1:$L$2000,MATCH($A930,vdata_regressors!$A$2:$A$2000,0)+1,MATCH(D$2,vdata_regressors!$A$1:$R$1,0)),"")</f>
        <v/>
      </c>
      <c r="E930" s="23" t="str">
        <f>IFERROR(INDEX(vdata_regressors!$A$1:$L$2000,MATCH($A930,vdata_regressors!$A$2:$A$2000,0)+1,MATCH(E$2,vdata_regressors!$A$1:$R$1,0)),"")</f>
        <v/>
      </c>
      <c r="F930" s="23" t="str">
        <f>IFERROR(INDEX(vdata_regressors!$A$1:$L$2000,MATCH($A930,vdata_regressors!$A$2:$A$2000,0)+1,MATCH(F$2,vdata_regressors!$A$1:$R$1,0)),"")</f>
        <v/>
      </c>
      <c r="G930" s="23" t="str">
        <f>IFERROR(INDEX(vdata_regressors!$A$1:$L$2000,MATCH($A930,vdata_regressors!$A$2:$A$2000,0)+1,MATCH(G$2,vdata_regressors!$A$1:$R$1,0)),"")</f>
        <v/>
      </c>
      <c r="H930" s="23" t="str">
        <f>IFERROR(INDEX(vdata_regressors!$A$1:$L$2000,MATCH($A930,vdata_regressors!$A$2:$A$2000,0)+1,MATCH(H$2,vdata_regressors!$A$1:$R$1,0)),"")</f>
        <v/>
      </c>
      <c r="I930" s="23" t="str">
        <f>IFERROR(INDEX(vdata_regressors!$A$1:$L$2000,MATCH($A930,vdata_regressors!$A$2:$A$2000,0)+1,MATCH(I$2,vdata_regressors!$A$1:$R$1,0)),"")</f>
        <v/>
      </c>
      <c r="J930" s="23" t="str">
        <f>IFERROR(INDEX(vdata_regressors!$A$1:$L$2000,MATCH($A930,vdata_regressors!$A$2:$A$2000,0)+1,MATCH(J$2,vdata_regressors!$A$1:$R$1,0)),"")</f>
        <v/>
      </c>
      <c r="K930" s="23" t="str">
        <f>IFERROR(INDEX(vdata_regressors!$A$1:$L$2000,MATCH($A930,vdata_regressors!$A$2:$A$2000,0)+1,MATCH(K$2,vdata_regressors!$A$1:$R$1,0)),"")</f>
        <v/>
      </c>
      <c r="L930" s="23" t="str">
        <f>IFERROR(INDEX(vdata_regressors!$A$1:$L$2000,MATCH($A930,vdata_regressors!$A$2:$A$2000,0)+1,MATCH(L$2,vdata_regressors!$A$1:$R$1,0)),"")</f>
        <v/>
      </c>
      <c r="M930" s="23" t="str">
        <f>IFERROR(VLOOKUP(A930,vdata_hours!$A$2:$B$1000,2,FALSE),"")</f>
        <v/>
      </c>
    </row>
    <row r="931" spans="1:13" x14ac:dyDescent="0.25">
      <c r="A931" s="23" t="str">
        <f>IF(vdata_hours!A930=0,"",vdata_hours!A930)</f>
        <v/>
      </c>
      <c r="B931" s="23" t="str">
        <f>IFERROR(INDEX(vdata_regressors!$A$1:$L$2000,MATCH($A931,vdata_regressors!$A$2:$A$2000,0)+1,MATCH(B$2,vdata_regressors!$A$1:$R$1,0)),"")</f>
        <v/>
      </c>
      <c r="C931" s="23" t="str">
        <f>IFERROR(INDEX(vdata_regressors!$A$1:$L$2000,MATCH($A931,vdata_regressors!$A$2:$A$2000,0)+1,MATCH(C$2,vdata_regressors!$A$1:$R$1,0)),"")</f>
        <v/>
      </c>
      <c r="D931" s="23" t="str">
        <f>IFERROR(INDEX(vdata_regressors!$A$1:$L$2000,MATCH($A931,vdata_regressors!$A$2:$A$2000,0)+1,MATCH(D$2,vdata_regressors!$A$1:$R$1,0)),"")</f>
        <v/>
      </c>
      <c r="E931" s="23" t="str">
        <f>IFERROR(INDEX(vdata_regressors!$A$1:$L$2000,MATCH($A931,vdata_regressors!$A$2:$A$2000,0)+1,MATCH(E$2,vdata_regressors!$A$1:$R$1,0)),"")</f>
        <v/>
      </c>
      <c r="F931" s="23" t="str">
        <f>IFERROR(INDEX(vdata_regressors!$A$1:$L$2000,MATCH($A931,vdata_regressors!$A$2:$A$2000,0)+1,MATCH(F$2,vdata_regressors!$A$1:$R$1,0)),"")</f>
        <v/>
      </c>
      <c r="G931" s="23" t="str">
        <f>IFERROR(INDEX(vdata_regressors!$A$1:$L$2000,MATCH($A931,vdata_regressors!$A$2:$A$2000,0)+1,MATCH(G$2,vdata_regressors!$A$1:$R$1,0)),"")</f>
        <v/>
      </c>
      <c r="H931" s="23" t="str">
        <f>IFERROR(INDEX(vdata_regressors!$A$1:$L$2000,MATCH($A931,vdata_regressors!$A$2:$A$2000,0)+1,MATCH(H$2,vdata_regressors!$A$1:$R$1,0)),"")</f>
        <v/>
      </c>
      <c r="I931" s="23" t="str">
        <f>IFERROR(INDEX(vdata_regressors!$A$1:$L$2000,MATCH($A931,vdata_regressors!$A$2:$A$2000,0)+1,MATCH(I$2,vdata_regressors!$A$1:$R$1,0)),"")</f>
        <v/>
      </c>
      <c r="J931" s="23" t="str">
        <f>IFERROR(INDEX(vdata_regressors!$A$1:$L$2000,MATCH($A931,vdata_regressors!$A$2:$A$2000,0)+1,MATCH(J$2,vdata_regressors!$A$1:$R$1,0)),"")</f>
        <v/>
      </c>
      <c r="K931" s="23" t="str">
        <f>IFERROR(INDEX(vdata_regressors!$A$1:$L$2000,MATCH($A931,vdata_regressors!$A$2:$A$2000,0)+1,MATCH(K$2,vdata_regressors!$A$1:$R$1,0)),"")</f>
        <v/>
      </c>
      <c r="L931" s="23" t="str">
        <f>IFERROR(INDEX(vdata_regressors!$A$1:$L$2000,MATCH($A931,vdata_regressors!$A$2:$A$2000,0)+1,MATCH(L$2,vdata_regressors!$A$1:$R$1,0)),"")</f>
        <v/>
      </c>
      <c r="M931" s="23" t="str">
        <f>IFERROR(VLOOKUP(A931,vdata_hours!$A$2:$B$1000,2,FALSE),"")</f>
        <v/>
      </c>
    </row>
    <row r="932" spans="1:13" x14ac:dyDescent="0.25">
      <c r="A932" s="23" t="str">
        <f>IF(vdata_hours!A931=0,"",vdata_hours!A931)</f>
        <v/>
      </c>
      <c r="B932" s="23" t="str">
        <f>IFERROR(INDEX(vdata_regressors!$A$1:$L$2000,MATCH($A932,vdata_regressors!$A$2:$A$2000,0)+1,MATCH(B$2,vdata_regressors!$A$1:$R$1,0)),"")</f>
        <v/>
      </c>
      <c r="C932" s="23" t="str">
        <f>IFERROR(INDEX(vdata_regressors!$A$1:$L$2000,MATCH($A932,vdata_regressors!$A$2:$A$2000,0)+1,MATCH(C$2,vdata_regressors!$A$1:$R$1,0)),"")</f>
        <v/>
      </c>
      <c r="D932" s="23" t="str">
        <f>IFERROR(INDEX(vdata_regressors!$A$1:$L$2000,MATCH($A932,vdata_regressors!$A$2:$A$2000,0)+1,MATCH(D$2,vdata_regressors!$A$1:$R$1,0)),"")</f>
        <v/>
      </c>
      <c r="E932" s="23" t="str">
        <f>IFERROR(INDEX(vdata_regressors!$A$1:$L$2000,MATCH($A932,vdata_regressors!$A$2:$A$2000,0)+1,MATCH(E$2,vdata_regressors!$A$1:$R$1,0)),"")</f>
        <v/>
      </c>
      <c r="F932" s="23" t="str">
        <f>IFERROR(INDEX(vdata_regressors!$A$1:$L$2000,MATCH($A932,vdata_regressors!$A$2:$A$2000,0)+1,MATCH(F$2,vdata_regressors!$A$1:$R$1,0)),"")</f>
        <v/>
      </c>
      <c r="G932" s="23" t="str">
        <f>IFERROR(INDEX(vdata_regressors!$A$1:$L$2000,MATCH($A932,vdata_regressors!$A$2:$A$2000,0)+1,MATCH(G$2,vdata_regressors!$A$1:$R$1,0)),"")</f>
        <v/>
      </c>
      <c r="H932" s="23" t="str">
        <f>IFERROR(INDEX(vdata_regressors!$A$1:$L$2000,MATCH($A932,vdata_regressors!$A$2:$A$2000,0)+1,MATCH(H$2,vdata_regressors!$A$1:$R$1,0)),"")</f>
        <v/>
      </c>
      <c r="I932" s="23" t="str">
        <f>IFERROR(INDEX(vdata_regressors!$A$1:$L$2000,MATCH($A932,vdata_regressors!$A$2:$A$2000,0)+1,MATCH(I$2,vdata_regressors!$A$1:$R$1,0)),"")</f>
        <v/>
      </c>
      <c r="J932" s="23" t="str">
        <f>IFERROR(INDEX(vdata_regressors!$A$1:$L$2000,MATCH($A932,vdata_regressors!$A$2:$A$2000,0)+1,MATCH(J$2,vdata_regressors!$A$1:$R$1,0)),"")</f>
        <v/>
      </c>
      <c r="K932" s="23" t="str">
        <f>IFERROR(INDEX(vdata_regressors!$A$1:$L$2000,MATCH($A932,vdata_regressors!$A$2:$A$2000,0)+1,MATCH(K$2,vdata_regressors!$A$1:$R$1,0)),"")</f>
        <v/>
      </c>
      <c r="L932" s="23" t="str">
        <f>IFERROR(INDEX(vdata_regressors!$A$1:$L$2000,MATCH($A932,vdata_regressors!$A$2:$A$2000,0)+1,MATCH(L$2,vdata_regressors!$A$1:$R$1,0)),"")</f>
        <v/>
      </c>
      <c r="M932" s="23" t="str">
        <f>IFERROR(VLOOKUP(A932,vdata_hours!$A$2:$B$1000,2,FALSE),"")</f>
        <v/>
      </c>
    </row>
    <row r="933" spans="1:13" x14ac:dyDescent="0.25">
      <c r="A933" s="23" t="str">
        <f>IF(vdata_hours!A932=0,"",vdata_hours!A932)</f>
        <v/>
      </c>
      <c r="B933" s="23" t="str">
        <f>IFERROR(INDEX(vdata_regressors!$A$1:$L$2000,MATCH($A933,vdata_regressors!$A$2:$A$2000,0)+1,MATCH(B$2,vdata_regressors!$A$1:$R$1,0)),"")</f>
        <v/>
      </c>
      <c r="C933" s="23" t="str">
        <f>IFERROR(INDEX(vdata_regressors!$A$1:$L$2000,MATCH($A933,vdata_regressors!$A$2:$A$2000,0)+1,MATCH(C$2,vdata_regressors!$A$1:$R$1,0)),"")</f>
        <v/>
      </c>
      <c r="D933" s="23" t="str">
        <f>IFERROR(INDEX(vdata_regressors!$A$1:$L$2000,MATCH($A933,vdata_regressors!$A$2:$A$2000,0)+1,MATCH(D$2,vdata_regressors!$A$1:$R$1,0)),"")</f>
        <v/>
      </c>
      <c r="E933" s="23" t="str">
        <f>IFERROR(INDEX(vdata_regressors!$A$1:$L$2000,MATCH($A933,vdata_regressors!$A$2:$A$2000,0)+1,MATCH(E$2,vdata_regressors!$A$1:$R$1,0)),"")</f>
        <v/>
      </c>
      <c r="F933" s="23" t="str">
        <f>IFERROR(INDEX(vdata_regressors!$A$1:$L$2000,MATCH($A933,vdata_regressors!$A$2:$A$2000,0)+1,MATCH(F$2,vdata_regressors!$A$1:$R$1,0)),"")</f>
        <v/>
      </c>
      <c r="G933" s="23" t="str">
        <f>IFERROR(INDEX(vdata_regressors!$A$1:$L$2000,MATCH($A933,vdata_regressors!$A$2:$A$2000,0)+1,MATCH(G$2,vdata_regressors!$A$1:$R$1,0)),"")</f>
        <v/>
      </c>
      <c r="H933" s="23" t="str">
        <f>IFERROR(INDEX(vdata_regressors!$A$1:$L$2000,MATCH($A933,vdata_regressors!$A$2:$A$2000,0)+1,MATCH(H$2,vdata_regressors!$A$1:$R$1,0)),"")</f>
        <v/>
      </c>
      <c r="I933" s="23" t="str">
        <f>IFERROR(INDEX(vdata_regressors!$A$1:$L$2000,MATCH($A933,vdata_regressors!$A$2:$A$2000,0)+1,MATCH(I$2,vdata_regressors!$A$1:$R$1,0)),"")</f>
        <v/>
      </c>
      <c r="J933" s="23" t="str">
        <f>IFERROR(INDEX(vdata_regressors!$A$1:$L$2000,MATCH($A933,vdata_regressors!$A$2:$A$2000,0)+1,MATCH(J$2,vdata_regressors!$A$1:$R$1,0)),"")</f>
        <v/>
      </c>
      <c r="K933" s="23" t="str">
        <f>IFERROR(INDEX(vdata_regressors!$A$1:$L$2000,MATCH($A933,vdata_regressors!$A$2:$A$2000,0)+1,MATCH(K$2,vdata_regressors!$A$1:$R$1,0)),"")</f>
        <v/>
      </c>
      <c r="L933" s="23" t="str">
        <f>IFERROR(INDEX(vdata_regressors!$A$1:$L$2000,MATCH($A933,vdata_regressors!$A$2:$A$2000,0)+1,MATCH(L$2,vdata_regressors!$A$1:$R$1,0)),"")</f>
        <v/>
      </c>
      <c r="M933" s="23" t="str">
        <f>IFERROR(VLOOKUP(A933,vdata_hours!$A$2:$B$1000,2,FALSE),"")</f>
        <v/>
      </c>
    </row>
    <row r="934" spans="1:13" x14ac:dyDescent="0.25">
      <c r="A934" s="23" t="str">
        <f>IF(vdata_hours!A933=0,"",vdata_hours!A933)</f>
        <v/>
      </c>
      <c r="B934" s="23" t="str">
        <f>IFERROR(INDEX(vdata_regressors!$A$1:$L$2000,MATCH($A934,vdata_regressors!$A$2:$A$2000,0)+1,MATCH(B$2,vdata_regressors!$A$1:$R$1,0)),"")</f>
        <v/>
      </c>
      <c r="C934" s="23" t="str">
        <f>IFERROR(INDEX(vdata_regressors!$A$1:$L$2000,MATCH($A934,vdata_regressors!$A$2:$A$2000,0)+1,MATCH(C$2,vdata_regressors!$A$1:$R$1,0)),"")</f>
        <v/>
      </c>
      <c r="D934" s="23" t="str">
        <f>IFERROR(INDEX(vdata_regressors!$A$1:$L$2000,MATCH($A934,vdata_regressors!$A$2:$A$2000,0)+1,MATCH(D$2,vdata_regressors!$A$1:$R$1,0)),"")</f>
        <v/>
      </c>
      <c r="E934" s="23" t="str">
        <f>IFERROR(INDEX(vdata_regressors!$A$1:$L$2000,MATCH($A934,vdata_regressors!$A$2:$A$2000,0)+1,MATCH(E$2,vdata_regressors!$A$1:$R$1,0)),"")</f>
        <v/>
      </c>
      <c r="F934" s="23" t="str">
        <f>IFERROR(INDEX(vdata_regressors!$A$1:$L$2000,MATCH($A934,vdata_regressors!$A$2:$A$2000,0)+1,MATCH(F$2,vdata_regressors!$A$1:$R$1,0)),"")</f>
        <v/>
      </c>
      <c r="G934" s="23" t="str">
        <f>IFERROR(INDEX(vdata_regressors!$A$1:$L$2000,MATCH($A934,vdata_regressors!$A$2:$A$2000,0)+1,MATCH(G$2,vdata_regressors!$A$1:$R$1,0)),"")</f>
        <v/>
      </c>
      <c r="H934" s="23" t="str">
        <f>IFERROR(INDEX(vdata_regressors!$A$1:$L$2000,MATCH($A934,vdata_regressors!$A$2:$A$2000,0)+1,MATCH(H$2,vdata_regressors!$A$1:$R$1,0)),"")</f>
        <v/>
      </c>
      <c r="I934" s="23" t="str">
        <f>IFERROR(INDEX(vdata_regressors!$A$1:$L$2000,MATCH($A934,vdata_regressors!$A$2:$A$2000,0)+1,MATCH(I$2,vdata_regressors!$A$1:$R$1,0)),"")</f>
        <v/>
      </c>
      <c r="J934" s="23" t="str">
        <f>IFERROR(INDEX(vdata_regressors!$A$1:$L$2000,MATCH($A934,vdata_regressors!$A$2:$A$2000,0)+1,MATCH(J$2,vdata_regressors!$A$1:$R$1,0)),"")</f>
        <v/>
      </c>
      <c r="K934" s="23" t="str">
        <f>IFERROR(INDEX(vdata_regressors!$A$1:$L$2000,MATCH($A934,vdata_regressors!$A$2:$A$2000,0)+1,MATCH(K$2,vdata_regressors!$A$1:$R$1,0)),"")</f>
        <v/>
      </c>
      <c r="L934" s="23" t="str">
        <f>IFERROR(INDEX(vdata_regressors!$A$1:$L$2000,MATCH($A934,vdata_regressors!$A$2:$A$2000,0)+1,MATCH(L$2,vdata_regressors!$A$1:$R$1,0)),"")</f>
        <v/>
      </c>
      <c r="M934" s="23" t="str">
        <f>IFERROR(VLOOKUP(A934,vdata_hours!$A$2:$B$1000,2,FALSE),"")</f>
        <v/>
      </c>
    </row>
    <row r="935" spans="1:13" x14ac:dyDescent="0.25">
      <c r="A935" s="23" t="str">
        <f>IF(vdata_hours!A934=0,"",vdata_hours!A934)</f>
        <v/>
      </c>
      <c r="B935" s="23" t="str">
        <f>IFERROR(INDEX(vdata_regressors!$A$1:$L$2000,MATCH($A935,vdata_regressors!$A$2:$A$2000,0)+1,MATCH(B$2,vdata_regressors!$A$1:$R$1,0)),"")</f>
        <v/>
      </c>
      <c r="C935" s="23" t="str">
        <f>IFERROR(INDEX(vdata_regressors!$A$1:$L$2000,MATCH($A935,vdata_regressors!$A$2:$A$2000,0)+1,MATCH(C$2,vdata_regressors!$A$1:$R$1,0)),"")</f>
        <v/>
      </c>
      <c r="D935" s="23" t="str">
        <f>IFERROR(INDEX(vdata_regressors!$A$1:$L$2000,MATCH($A935,vdata_regressors!$A$2:$A$2000,0)+1,MATCH(D$2,vdata_regressors!$A$1:$R$1,0)),"")</f>
        <v/>
      </c>
      <c r="E935" s="23" t="str">
        <f>IFERROR(INDEX(vdata_regressors!$A$1:$L$2000,MATCH($A935,vdata_regressors!$A$2:$A$2000,0)+1,MATCH(E$2,vdata_regressors!$A$1:$R$1,0)),"")</f>
        <v/>
      </c>
      <c r="F935" s="23" t="str">
        <f>IFERROR(INDEX(vdata_regressors!$A$1:$L$2000,MATCH($A935,vdata_regressors!$A$2:$A$2000,0)+1,MATCH(F$2,vdata_regressors!$A$1:$R$1,0)),"")</f>
        <v/>
      </c>
      <c r="G935" s="23" t="str">
        <f>IFERROR(INDEX(vdata_regressors!$A$1:$L$2000,MATCH($A935,vdata_regressors!$A$2:$A$2000,0)+1,MATCH(G$2,vdata_regressors!$A$1:$R$1,0)),"")</f>
        <v/>
      </c>
      <c r="H935" s="23" t="str">
        <f>IFERROR(INDEX(vdata_regressors!$A$1:$L$2000,MATCH($A935,vdata_regressors!$A$2:$A$2000,0)+1,MATCH(H$2,vdata_regressors!$A$1:$R$1,0)),"")</f>
        <v/>
      </c>
      <c r="I935" s="23" t="str">
        <f>IFERROR(INDEX(vdata_regressors!$A$1:$L$2000,MATCH($A935,vdata_regressors!$A$2:$A$2000,0)+1,MATCH(I$2,vdata_regressors!$A$1:$R$1,0)),"")</f>
        <v/>
      </c>
      <c r="J935" s="23" t="str">
        <f>IFERROR(INDEX(vdata_regressors!$A$1:$L$2000,MATCH($A935,vdata_regressors!$A$2:$A$2000,0)+1,MATCH(J$2,vdata_regressors!$A$1:$R$1,0)),"")</f>
        <v/>
      </c>
      <c r="K935" s="23" t="str">
        <f>IFERROR(INDEX(vdata_regressors!$A$1:$L$2000,MATCH($A935,vdata_regressors!$A$2:$A$2000,0)+1,MATCH(K$2,vdata_regressors!$A$1:$R$1,0)),"")</f>
        <v/>
      </c>
      <c r="L935" s="23" t="str">
        <f>IFERROR(INDEX(vdata_regressors!$A$1:$L$2000,MATCH($A935,vdata_regressors!$A$2:$A$2000,0)+1,MATCH(L$2,vdata_regressors!$A$1:$R$1,0)),"")</f>
        <v/>
      </c>
      <c r="M935" s="23" t="str">
        <f>IFERROR(VLOOKUP(A935,vdata_hours!$A$2:$B$1000,2,FALSE),"")</f>
        <v/>
      </c>
    </row>
    <row r="936" spans="1:13" x14ac:dyDescent="0.25">
      <c r="A936" s="23" t="str">
        <f>IF(vdata_hours!A935=0,"",vdata_hours!A935)</f>
        <v/>
      </c>
      <c r="B936" s="23" t="str">
        <f>IFERROR(INDEX(vdata_regressors!$A$1:$L$2000,MATCH($A936,vdata_regressors!$A$2:$A$2000,0)+1,MATCH(B$2,vdata_regressors!$A$1:$R$1,0)),"")</f>
        <v/>
      </c>
      <c r="C936" s="23" t="str">
        <f>IFERROR(INDEX(vdata_regressors!$A$1:$L$2000,MATCH($A936,vdata_regressors!$A$2:$A$2000,0)+1,MATCH(C$2,vdata_regressors!$A$1:$R$1,0)),"")</f>
        <v/>
      </c>
      <c r="D936" s="23" t="str">
        <f>IFERROR(INDEX(vdata_regressors!$A$1:$L$2000,MATCH($A936,vdata_regressors!$A$2:$A$2000,0)+1,MATCH(D$2,vdata_regressors!$A$1:$R$1,0)),"")</f>
        <v/>
      </c>
      <c r="E936" s="23" t="str">
        <f>IFERROR(INDEX(vdata_regressors!$A$1:$L$2000,MATCH($A936,vdata_regressors!$A$2:$A$2000,0)+1,MATCH(E$2,vdata_regressors!$A$1:$R$1,0)),"")</f>
        <v/>
      </c>
      <c r="F936" s="23" t="str">
        <f>IFERROR(INDEX(vdata_regressors!$A$1:$L$2000,MATCH($A936,vdata_regressors!$A$2:$A$2000,0)+1,MATCH(F$2,vdata_regressors!$A$1:$R$1,0)),"")</f>
        <v/>
      </c>
      <c r="G936" s="23" t="str">
        <f>IFERROR(INDEX(vdata_regressors!$A$1:$L$2000,MATCH($A936,vdata_regressors!$A$2:$A$2000,0)+1,MATCH(G$2,vdata_regressors!$A$1:$R$1,0)),"")</f>
        <v/>
      </c>
      <c r="H936" s="23" t="str">
        <f>IFERROR(INDEX(vdata_regressors!$A$1:$L$2000,MATCH($A936,vdata_regressors!$A$2:$A$2000,0)+1,MATCH(H$2,vdata_regressors!$A$1:$R$1,0)),"")</f>
        <v/>
      </c>
      <c r="I936" s="23" t="str">
        <f>IFERROR(INDEX(vdata_regressors!$A$1:$L$2000,MATCH($A936,vdata_regressors!$A$2:$A$2000,0)+1,MATCH(I$2,vdata_regressors!$A$1:$R$1,0)),"")</f>
        <v/>
      </c>
      <c r="J936" s="23" t="str">
        <f>IFERROR(INDEX(vdata_regressors!$A$1:$L$2000,MATCH($A936,vdata_regressors!$A$2:$A$2000,0)+1,MATCH(J$2,vdata_regressors!$A$1:$R$1,0)),"")</f>
        <v/>
      </c>
      <c r="K936" s="23" t="str">
        <f>IFERROR(INDEX(vdata_regressors!$A$1:$L$2000,MATCH($A936,vdata_regressors!$A$2:$A$2000,0)+1,MATCH(K$2,vdata_regressors!$A$1:$R$1,0)),"")</f>
        <v/>
      </c>
      <c r="L936" s="23" t="str">
        <f>IFERROR(INDEX(vdata_regressors!$A$1:$L$2000,MATCH($A936,vdata_regressors!$A$2:$A$2000,0)+1,MATCH(L$2,vdata_regressors!$A$1:$R$1,0)),"")</f>
        <v/>
      </c>
      <c r="M936" s="23" t="str">
        <f>IFERROR(VLOOKUP(A936,vdata_hours!$A$2:$B$1000,2,FALSE),"")</f>
        <v/>
      </c>
    </row>
    <row r="937" spans="1:13" x14ac:dyDescent="0.25">
      <c r="A937" s="23" t="str">
        <f>IF(vdata_hours!A936=0,"",vdata_hours!A936)</f>
        <v/>
      </c>
      <c r="B937" s="23" t="str">
        <f>IFERROR(INDEX(vdata_regressors!$A$1:$L$2000,MATCH($A937,vdata_regressors!$A$2:$A$2000,0)+1,MATCH(B$2,vdata_regressors!$A$1:$R$1,0)),"")</f>
        <v/>
      </c>
      <c r="C937" s="23" t="str">
        <f>IFERROR(INDEX(vdata_regressors!$A$1:$L$2000,MATCH($A937,vdata_regressors!$A$2:$A$2000,0)+1,MATCH(C$2,vdata_regressors!$A$1:$R$1,0)),"")</f>
        <v/>
      </c>
      <c r="D937" s="23" t="str">
        <f>IFERROR(INDEX(vdata_regressors!$A$1:$L$2000,MATCH($A937,vdata_regressors!$A$2:$A$2000,0)+1,MATCH(D$2,vdata_regressors!$A$1:$R$1,0)),"")</f>
        <v/>
      </c>
      <c r="E937" s="23" t="str">
        <f>IFERROR(INDEX(vdata_regressors!$A$1:$L$2000,MATCH($A937,vdata_regressors!$A$2:$A$2000,0)+1,MATCH(E$2,vdata_regressors!$A$1:$R$1,0)),"")</f>
        <v/>
      </c>
      <c r="F937" s="23" t="str">
        <f>IFERROR(INDEX(vdata_regressors!$A$1:$L$2000,MATCH($A937,vdata_regressors!$A$2:$A$2000,0)+1,MATCH(F$2,vdata_regressors!$A$1:$R$1,0)),"")</f>
        <v/>
      </c>
      <c r="G937" s="23" t="str">
        <f>IFERROR(INDEX(vdata_regressors!$A$1:$L$2000,MATCH($A937,vdata_regressors!$A$2:$A$2000,0)+1,MATCH(G$2,vdata_regressors!$A$1:$R$1,0)),"")</f>
        <v/>
      </c>
      <c r="H937" s="23" t="str">
        <f>IFERROR(INDEX(vdata_regressors!$A$1:$L$2000,MATCH($A937,vdata_regressors!$A$2:$A$2000,0)+1,MATCH(H$2,vdata_regressors!$A$1:$R$1,0)),"")</f>
        <v/>
      </c>
      <c r="I937" s="23" t="str">
        <f>IFERROR(INDEX(vdata_regressors!$A$1:$L$2000,MATCH($A937,vdata_regressors!$A$2:$A$2000,0)+1,MATCH(I$2,vdata_regressors!$A$1:$R$1,0)),"")</f>
        <v/>
      </c>
      <c r="J937" s="23" t="str">
        <f>IFERROR(INDEX(vdata_regressors!$A$1:$L$2000,MATCH($A937,vdata_regressors!$A$2:$A$2000,0)+1,MATCH(J$2,vdata_regressors!$A$1:$R$1,0)),"")</f>
        <v/>
      </c>
      <c r="K937" s="23" t="str">
        <f>IFERROR(INDEX(vdata_regressors!$A$1:$L$2000,MATCH($A937,vdata_regressors!$A$2:$A$2000,0)+1,MATCH(K$2,vdata_regressors!$A$1:$R$1,0)),"")</f>
        <v/>
      </c>
      <c r="L937" s="23" t="str">
        <f>IFERROR(INDEX(vdata_regressors!$A$1:$L$2000,MATCH($A937,vdata_regressors!$A$2:$A$2000,0)+1,MATCH(L$2,vdata_regressors!$A$1:$R$1,0)),"")</f>
        <v/>
      </c>
      <c r="M937" s="23" t="str">
        <f>IFERROR(VLOOKUP(A937,vdata_hours!$A$2:$B$1000,2,FALSE),"")</f>
        <v/>
      </c>
    </row>
    <row r="938" spans="1:13" x14ac:dyDescent="0.25">
      <c r="A938" s="23" t="str">
        <f>IF(vdata_hours!A937=0,"",vdata_hours!A937)</f>
        <v/>
      </c>
      <c r="B938" s="23" t="str">
        <f>IFERROR(INDEX(vdata_regressors!$A$1:$L$2000,MATCH($A938,vdata_regressors!$A$2:$A$2000,0)+1,MATCH(B$2,vdata_regressors!$A$1:$R$1,0)),"")</f>
        <v/>
      </c>
      <c r="C938" s="23" t="str">
        <f>IFERROR(INDEX(vdata_regressors!$A$1:$L$2000,MATCH($A938,vdata_regressors!$A$2:$A$2000,0)+1,MATCH(C$2,vdata_regressors!$A$1:$R$1,0)),"")</f>
        <v/>
      </c>
      <c r="D938" s="23" t="str">
        <f>IFERROR(INDEX(vdata_regressors!$A$1:$L$2000,MATCH($A938,vdata_regressors!$A$2:$A$2000,0)+1,MATCH(D$2,vdata_regressors!$A$1:$R$1,0)),"")</f>
        <v/>
      </c>
      <c r="E938" s="23" t="str">
        <f>IFERROR(INDEX(vdata_regressors!$A$1:$L$2000,MATCH($A938,vdata_regressors!$A$2:$A$2000,0)+1,MATCH(E$2,vdata_regressors!$A$1:$R$1,0)),"")</f>
        <v/>
      </c>
      <c r="F938" s="23" t="str">
        <f>IFERROR(INDEX(vdata_regressors!$A$1:$L$2000,MATCH($A938,vdata_regressors!$A$2:$A$2000,0)+1,MATCH(F$2,vdata_regressors!$A$1:$R$1,0)),"")</f>
        <v/>
      </c>
      <c r="G938" s="23" t="str">
        <f>IFERROR(INDEX(vdata_regressors!$A$1:$L$2000,MATCH($A938,vdata_regressors!$A$2:$A$2000,0)+1,MATCH(G$2,vdata_regressors!$A$1:$R$1,0)),"")</f>
        <v/>
      </c>
      <c r="H938" s="23" t="str">
        <f>IFERROR(INDEX(vdata_regressors!$A$1:$L$2000,MATCH($A938,vdata_regressors!$A$2:$A$2000,0)+1,MATCH(H$2,vdata_regressors!$A$1:$R$1,0)),"")</f>
        <v/>
      </c>
      <c r="I938" s="23" t="str">
        <f>IFERROR(INDEX(vdata_regressors!$A$1:$L$2000,MATCH($A938,vdata_regressors!$A$2:$A$2000,0)+1,MATCH(I$2,vdata_regressors!$A$1:$R$1,0)),"")</f>
        <v/>
      </c>
      <c r="J938" s="23" t="str">
        <f>IFERROR(INDEX(vdata_regressors!$A$1:$L$2000,MATCH($A938,vdata_regressors!$A$2:$A$2000,0)+1,MATCH(J$2,vdata_regressors!$A$1:$R$1,0)),"")</f>
        <v/>
      </c>
      <c r="K938" s="23" t="str">
        <f>IFERROR(INDEX(vdata_regressors!$A$1:$L$2000,MATCH($A938,vdata_regressors!$A$2:$A$2000,0)+1,MATCH(K$2,vdata_regressors!$A$1:$R$1,0)),"")</f>
        <v/>
      </c>
      <c r="L938" s="23" t="str">
        <f>IFERROR(INDEX(vdata_regressors!$A$1:$L$2000,MATCH($A938,vdata_regressors!$A$2:$A$2000,0)+1,MATCH(L$2,vdata_regressors!$A$1:$R$1,0)),"")</f>
        <v/>
      </c>
      <c r="M938" s="23" t="str">
        <f>IFERROR(VLOOKUP(A938,vdata_hours!$A$2:$B$1000,2,FALSE),"")</f>
        <v/>
      </c>
    </row>
    <row r="939" spans="1:13" x14ac:dyDescent="0.25">
      <c r="A939" s="23" t="str">
        <f>IF(vdata_hours!A938=0,"",vdata_hours!A938)</f>
        <v/>
      </c>
      <c r="B939" s="23" t="str">
        <f>IFERROR(INDEX(vdata_regressors!$A$1:$L$2000,MATCH($A939,vdata_regressors!$A$2:$A$2000,0)+1,MATCH(B$2,vdata_regressors!$A$1:$R$1,0)),"")</f>
        <v/>
      </c>
      <c r="C939" s="23" t="str">
        <f>IFERROR(INDEX(vdata_regressors!$A$1:$L$2000,MATCH($A939,vdata_regressors!$A$2:$A$2000,0)+1,MATCH(C$2,vdata_regressors!$A$1:$R$1,0)),"")</f>
        <v/>
      </c>
      <c r="D939" s="23" t="str">
        <f>IFERROR(INDEX(vdata_regressors!$A$1:$L$2000,MATCH($A939,vdata_regressors!$A$2:$A$2000,0)+1,MATCH(D$2,vdata_regressors!$A$1:$R$1,0)),"")</f>
        <v/>
      </c>
      <c r="E939" s="23" t="str">
        <f>IFERROR(INDEX(vdata_regressors!$A$1:$L$2000,MATCH($A939,vdata_regressors!$A$2:$A$2000,0)+1,MATCH(E$2,vdata_regressors!$A$1:$R$1,0)),"")</f>
        <v/>
      </c>
      <c r="F939" s="23" t="str">
        <f>IFERROR(INDEX(vdata_regressors!$A$1:$L$2000,MATCH($A939,vdata_regressors!$A$2:$A$2000,0)+1,MATCH(F$2,vdata_regressors!$A$1:$R$1,0)),"")</f>
        <v/>
      </c>
      <c r="G939" s="23" t="str">
        <f>IFERROR(INDEX(vdata_regressors!$A$1:$L$2000,MATCH($A939,vdata_regressors!$A$2:$A$2000,0)+1,MATCH(G$2,vdata_regressors!$A$1:$R$1,0)),"")</f>
        <v/>
      </c>
      <c r="H939" s="23" t="str">
        <f>IFERROR(INDEX(vdata_regressors!$A$1:$L$2000,MATCH($A939,vdata_regressors!$A$2:$A$2000,0)+1,MATCH(H$2,vdata_regressors!$A$1:$R$1,0)),"")</f>
        <v/>
      </c>
      <c r="I939" s="23" t="str">
        <f>IFERROR(INDEX(vdata_regressors!$A$1:$L$2000,MATCH($A939,vdata_regressors!$A$2:$A$2000,0)+1,MATCH(I$2,vdata_regressors!$A$1:$R$1,0)),"")</f>
        <v/>
      </c>
      <c r="J939" s="23" t="str">
        <f>IFERROR(INDEX(vdata_regressors!$A$1:$L$2000,MATCH($A939,vdata_regressors!$A$2:$A$2000,0)+1,MATCH(J$2,vdata_regressors!$A$1:$R$1,0)),"")</f>
        <v/>
      </c>
      <c r="K939" s="23" t="str">
        <f>IFERROR(INDEX(vdata_regressors!$A$1:$L$2000,MATCH($A939,vdata_regressors!$A$2:$A$2000,0)+1,MATCH(K$2,vdata_regressors!$A$1:$R$1,0)),"")</f>
        <v/>
      </c>
      <c r="L939" s="23" t="str">
        <f>IFERROR(INDEX(vdata_regressors!$A$1:$L$2000,MATCH($A939,vdata_regressors!$A$2:$A$2000,0)+1,MATCH(L$2,vdata_regressors!$A$1:$R$1,0)),"")</f>
        <v/>
      </c>
      <c r="M939" s="23" t="str">
        <f>IFERROR(VLOOKUP(A939,vdata_hours!$A$2:$B$1000,2,FALSE),"")</f>
        <v/>
      </c>
    </row>
    <row r="940" spans="1:13" x14ac:dyDescent="0.25">
      <c r="A940" s="23" t="str">
        <f>IF(vdata_hours!A939=0,"",vdata_hours!A939)</f>
        <v/>
      </c>
      <c r="B940" s="23" t="str">
        <f>IFERROR(INDEX(vdata_regressors!$A$1:$L$2000,MATCH($A940,vdata_regressors!$A$2:$A$2000,0)+1,MATCH(B$2,vdata_regressors!$A$1:$R$1,0)),"")</f>
        <v/>
      </c>
      <c r="C940" s="23" t="str">
        <f>IFERROR(INDEX(vdata_regressors!$A$1:$L$2000,MATCH($A940,vdata_regressors!$A$2:$A$2000,0)+1,MATCH(C$2,vdata_regressors!$A$1:$R$1,0)),"")</f>
        <v/>
      </c>
      <c r="D940" s="23" t="str">
        <f>IFERROR(INDEX(vdata_regressors!$A$1:$L$2000,MATCH($A940,vdata_regressors!$A$2:$A$2000,0)+1,MATCH(D$2,vdata_regressors!$A$1:$R$1,0)),"")</f>
        <v/>
      </c>
      <c r="E940" s="23" t="str">
        <f>IFERROR(INDEX(vdata_regressors!$A$1:$L$2000,MATCH($A940,vdata_regressors!$A$2:$A$2000,0)+1,MATCH(E$2,vdata_regressors!$A$1:$R$1,0)),"")</f>
        <v/>
      </c>
      <c r="F940" s="23" t="str">
        <f>IFERROR(INDEX(vdata_regressors!$A$1:$L$2000,MATCH($A940,vdata_regressors!$A$2:$A$2000,0)+1,MATCH(F$2,vdata_regressors!$A$1:$R$1,0)),"")</f>
        <v/>
      </c>
      <c r="G940" s="23" t="str">
        <f>IFERROR(INDEX(vdata_regressors!$A$1:$L$2000,MATCH($A940,vdata_regressors!$A$2:$A$2000,0)+1,MATCH(G$2,vdata_regressors!$A$1:$R$1,0)),"")</f>
        <v/>
      </c>
      <c r="H940" s="23" t="str">
        <f>IFERROR(INDEX(vdata_regressors!$A$1:$L$2000,MATCH($A940,vdata_regressors!$A$2:$A$2000,0)+1,MATCH(H$2,vdata_regressors!$A$1:$R$1,0)),"")</f>
        <v/>
      </c>
      <c r="I940" s="23" t="str">
        <f>IFERROR(INDEX(vdata_regressors!$A$1:$L$2000,MATCH($A940,vdata_regressors!$A$2:$A$2000,0)+1,MATCH(I$2,vdata_regressors!$A$1:$R$1,0)),"")</f>
        <v/>
      </c>
      <c r="J940" s="23" t="str">
        <f>IFERROR(INDEX(vdata_regressors!$A$1:$L$2000,MATCH($A940,vdata_regressors!$A$2:$A$2000,0)+1,MATCH(J$2,vdata_regressors!$A$1:$R$1,0)),"")</f>
        <v/>
      </c>
      <c r="K940" s="23" t="str">
        <f>IFERROR(INDEX(vdata_regressors!$A$1:$L$2000,MATCH($A940,vdata_regressors!$A$2:$A$2000,0)+1,MATCH(K$2,vdata_regressors!$A$1:$R$1,0)),"")</f>
        <v/>
      </c>
      <c r="L940" s="23" t="str">
        <f>IFERROR(INDEX(vdata_regressors!$A$1:$L$2000,MATCH($A940,vdata_regressors!$A$2:$A$2000,0)+1,MATCH(L$2,vdata_regressors!$A$1:$R$1,0)),"")</f>
        <v/>
      </c>
      <c r="M940" s="23" t="str">
        <f>IFERROR(VLOOKUP(A940,vdata_hours!$A$2:$B$1000,2,FALSE),"")</f>
        <v/>
      </c>
    </row>
    <row r="941" spans="1:13" x14ac:dyDescent="0.25">
      <c r="A941" s="23" t="str">
        <f>IF(vdata_hours!A940=0,"",vdata_hours!A940)</f>
        <v/>
      </c>
      <c r="B941" s="23" t="str">
        <f>IFERROR(INDEX(vdata_regressors!$A$1:$L$2000,MATCH($A941,vdata_regressors!$A$2:$A$2000,0)+1,MATCH(B$2,vdata_regressors!$A$1:$R$1,0)),"")</f>
        <v/>
      </c>
      <c r="C941" s="23" t="str">
        <f>IFERROR(INDEX(vdata_regressors!$A$1:$L$2000,MATCH($A941,vdata_regressors!$A$2:$A$2000,0)+1,MATCH(C$2,vdata_regressors!$A$1:$R$1,0)),"")</f>
        <v/>
      </c>
      <c r="D941" s="23" t="str">
        <f>IFERROR(INDEX(vdata_regressors!$A$1:$L$2000,MATCH($A941,vdata_regressors!$A$2:$A$2000,0)+1,MATCH(D$2,vdata_regressors!$A$1:$R$1,0)),"")</f>
        <v/>
      </c>
      <c r="E941" s="23" t="str">
        <f>IFERROR(INDEX(vdata_regressors!$A$1:$L$2000,MATCH($A941,vdata_regressors!$A$2:$A$2000,0)+1,MATCH(E$2,vdata_regressors!$A$1:$R$1,0)),"")</f>
        <v/>
      </c>
      <c r="F941" s="23" t="str">
        <f>IFERROR(INDEX(vdata_regressors!$A$1:$L$2000,MATCH($A941,vdata_regressors!$A$2:$A$2000,0)+1,MATCH(F$2,vdata_regressors!$A$1:$R$1,0)),"")</f>
        <v/>
      </c>
      <c r="G941" s="23" t="str">
        <f>IFERROR(INDEX(vdata_regressors!$A$1:$L$2000,MATCH($A941,vdata_regressors!$A$2:$A$2000,0)+1,MATCH(G$2,vdata_regressors!$A$1:$R$1,0)),"")</f>
        <v/>
      </c>
      <c r="H941" s="23" t="str">
        <f>IFERROR(INDEX(vdata_regressors!$A$1:$L$2000,MATCH($A941,vdata_regressors!$A$2:$A$2000,0)+1,MATCH(H$2,vdata_regressors!$A$1:$R$1,0)),"")</f>
        <v/>
      </c>
      <c r="I941" s="23" t="str">
        <f>IFERROR(INDEX(vdata_regressors!$A$1:$L$2000,MATCH($A941,vdata_regressors!$A$2:$A$2000,0)+1,MATCH(I$2,vdata_regressors!$A$1:$R$1,0)),"")</f>
        <v/>
      </c>
      <c r="J941" s="23" t="str">
        <f>IFERROR(INDEX(vdata_regressors!$A$1:$L$2000,MATCH($A941,vdata_regressors!$A$2:$A$2000,0)+1,MATCH(J$2,vdata_regressors!$A$1:$R$1,0)),"")</f>
        <v/>
      </c>
      <c r="K941" s="23" t="str">
        <f>IFERROR(INDEX(vdata_regressors!$A$1:$L$2000,MATCH($A941,vdata_regressors!$A$2:$A$2000,0)+1,MATCH(K$2,vdata_regressors!$A$1:$R$1,0)),"")</f>
        <v/>
      </c>
      <c r="L941" s="23" t="str">
        <f>IFERROR(INDEX(vdata_regressors!$A$1:$L$2000,MATCH($A941,vdata_regressors!$A$2:$A$2000,0)+1,MATCH(L$2,vdata_regressors!$A$1:$R$1,0)),"")</f>
        <v/>
      </c>
      <c r="M941" s="23" t="str">
        <f>IFERROR(VLOOKUP(A941,vdata_hours!$A$2:$B$1000,2,FALSE),"")</f>
        <v/>
      </c>
    </row>
    <row r="942" spans="1:13" x14ac:dyDescent="0.25">
      <c r="A942" s="23" t="str">
        <f>IF(vdata_hours!A941=0,"",vdata_hours!A941)</f>
        <v/>
      </c>
      <c r="B942" s="23" t="str">
        <f>IFERROR(INDEX(vdata_regressors!$A$1:$L$2000,MATCH($A942,vdata_regressors!$A$2:$A$2000,0)+1,MATCH(B$2,vdata_regressors!$A$1:$R$1,0)),"")</f>
        <v/>
      </c>
      <c r="C942" s="23" t="str">
        <f>IFERROR(INDEX(vdata_regressors!$A$1:$L$2000,MATCH($A942,vdata_regressors!$A$2:$A$2000,0)+1,MATCH(C$2,vdata_regressors!$A$1:$R$1,0)),"")</f>
        <v/>
      </c>
      <c r="D942" s="23" t="str">
        <f>IFERROR(INDEX(vdata_regressors!$A$1:$L$2000,MATCH($A942,vdata_regressors!$A$2:$A$2000,0)+1,MATCH(D$2,vdata_regressors!$A$1:$R$1,0)),"")</f>
        <v/>
      </c>
      <c r="E942" s="23" t="str">
        <f>IFERROR(INDEX(vdata_regressors!$A$1:$L$2000,MATCH($A942,vdata_regressors!$A$2:$A$2000,0)+1,MATCH(E$2,vdata_regressors!$A$1:$R$1,0)),"")</f>
        <v/>
      </c>
      <c r="F942" s="23" t="str">
        <f>IFERROR(INDEX(vdata_regressors!$A$1:$L$2000,MATCH($A942,vdata_regressors!$A$2:$A$2000,0)+1,MATCH(F$2,vdata_regressors!$A$1:$R$1,0)),"")</f>
        <v/>
      </c>
      <c r="G942" s="23" t="str">
        <f>IFERROR(INDEX(vdata_regressors!$A$1:$L$2000,MATCH($A942,vdata_regressors!$A$2:$A$2000,0)+1,MATCH(G$2,vdata_regressors!$A$1:$R$1,0)),"")</f>
        <v/>
      </c>
      <c r="H942" s="23" t="str">
        <f>IFERROR(INDEX(vdata_regressors!$A$1:$L$2000,MATCH($A942,vdata_regressors!$A$2:$A$2000,0)+1,MATCH(H$2,vdata_regressors!$A$1:$R$1,0)),"")</f>
        <v/>
      </c>
      <c r="I942" s="23" t="str">
        <f>IFERROR(INDEX(vdata_regressors!$A$1:$L$2000,MATCH($A942,vdata_regressors!$A$2:$A$2000,0)+1,MATCH(I$2,vdata_regressors!$A$1:$R$1,0)),"")</f>
        <v/>
      </c>
      <c r="J942" s="23" t="str">
        <f>IFERROR(INDEX(vdata_regressors!$A$1:$L$2000,MATCH($A942,vdata_regressors!$A$2:$A$2000,0)+1,MATCH(J$2,vdata_regressors!$A$1:$R$1,0)),"")</f>
        <v/>
      </c>
      <c r="K942" s="23" t="str">
        <f>IFERROR(INDEX(vdata_regressors!$A$1:$L$2000,MATCH($A942,vdata_regressors!$A$2:$A$2000,0)+1,MATCH(K$2,vdata_regressors!$A$1:$R$1,0)),"")</f>
        <v/>
      </c>
      <c r="L942" s="23" t="str">
        <f>IFERROR(INDEX(vdata_regressors!$A$1:$L$2000,MATCH($A942,vdata_regressors!$A$2:$A$2000,0)+1,MATCH(L$2,vdata_regressors!$A$1:$R$1,0)),"")</f>
        <v/>
      </c>
      <c r="M942" s="23" t="str">
        <f>IFERROR(VLOOKUP(A942,vdata_hours!$A$2:$B$1000,2,FALSE),"")</f>
        <v/>
      </c>
    </row>
    <row r="943" spans="1:13" x14ac:dyDescent="0.25">
      <c r="A943" s="23" t="str">
        <f>IF(vdata_hours!A942=0,"",vdata_hours!A942)</f>
        <v/>
      </c>
      <c r="B943" s="23" t="str">
        <f>IFERROR(INDEX(vdata_regressors!$A$1:$L$2000,MATCH($A943,vdata_regressors!$A$2:$A$2000,0)+1,MATCH(B$2,vdata_regressors!$A$1:$R$1,0)),"")</f>
        <v/>
      </c>
      <c r="C943" s="23" t="str">
        <f>IFERROR(INDEX(vdata_regressors!$A$1:$L$2000,MATCH($A943,vdata_regressors!$A$2:$A$2000,0)+1,MATCH(C$2,vdata_regressors!$A$1:$R$1,0)),"")</f>
        <v/>
      </c>
      <c r="D943" s="23" t="str">
        <f>IFERROR(INDEX(vdata_regressors!$A$1:$L$2000,MATCH($A943,vdata_regressors!$A$2:$A$2000,0)+1,MATCH(D$2,vdata_regressors!$A$1:$R$1,0)),"")</f>
        <v/>
      </c>
      <c r="E943" s="23" t="str">
        <f>IFERROR(INDEX(vdata_regressors!$A$1:$L$2000,MATCH($A943,vdata_regressors!$A$2:$A$2000,0)+1,MATCH(E$2,vdata_regressors!$A$1:$R$1,0)),"")</f>
        <v/>
      </c>
      <c r="F943" s="23" t="str">
        <f>IFERROR(INDEX(vdata_regressors!$A$1:$L$2000,MATCH($A943,vdata_regressors!$A$2:$A$2000,0)+1,MATCH(F$2,vdata_regressors!$A$1:$R$1,0)),"")</f>
        <v/>
      </c>
      <c r="G943" s="23" t="str">
        <f>IFERROR(INDEX(vdata_regressors!$A$1:$L$2000,MATCH($A943,vdata_regressors!$A$2:$A$2000,0)+1,MATCH(G$2,vdata_regressors!$A$1:$R$1,0)),"")</f>
        <v/>
      </c>
      <c r="H943" s="23" t="str">
        <f>IFERROR(INDEX(vdata_regressors!$A$1:$L$2000,MATCH($A943,vdata_regressors!$A$2:$A$2000,0)+1,MATCH(H$2,vdata_regressors!$A$1:$R$1,0)),"")</f>
        <v/>
      </c>
      <c r="I943" s="23" t="str">
        <f>IFERROR(INDEX(vdata_regressors!$A$1:$L$2000,MATCH($A943,vdata_regressors!$A$2:$A$2000,0)+1,MATCH(I$2,vdata_regressors!$A$1:$R$1,0)),"")</f>
        <v/>
      </c>
      <c r="J943" s="23" t="str">
        <f>IFERROR(INDEX(vdata_regressors!$A$1:$L$2000,MATCH($A943,vdata_regressors!$A$2:$A$2000,0)+1,MATCH(J$2,vdata_regressors!$A$1:$R$1,0)),"")</f>
        <v/>
      </c>
      <c r="K943" s="23" t="str">
        <f>IFERROR(INDEX(vdata_regressors!$A$1:$L$2000,MATCH($A943,vdata_regressors!$A$2:$A$2000,0)+1,MATCH(K$2,vdata_regressors!$A$1:$R$1,0)),"")</f>
        <v/>
      </c>
      <c r="L943" s="23" t="str">
        <f>IFERROR(INDEX(vdata_regressors!$A$1:$L$2000,MATCH($A943,vdata_regressors!$A$2:$A$2000,0)+1,MATCH(L$2,vdata_regressors!$A$1:$R$1,0)),"")</f>
        <v/>
      </c>
      <c r="M943" s="23" t="str">
        <f>IFERROR(VLOOKUP(A943,vdata_hours!$A$2:$B$1000,2,FALSE),"")</f>
        <v/>
      </c>
    </row>
    <row r="944" spans="1:13" x14ac:dyDescent="0.25">
      <c r="A944" s="23" t="str">
        <f>IF(vdata_hours!A943=0,"",vdata_hours!A943)</f>
        <v/>
      </c>
      <c r="B944" s="23" t="str">
        <f>IFERROR(INDEX(vdata_regressors!$A$1:$L$2000,MATCH($A944,vdata_regressors!$A$2:$A$2000,0)+1,MATCH(B$2,vdata_regressors!$A$1:$R$1,0)),"")</f>
        <v/>
      </c>
      <c r="C944" s="23" t="str">
        <f>IFERROR(INDEX(vdata_regressors!$A$1:$L$2000,MATCH($A944,vdata_regressors!$A$2:$A$2000,0)+1,MATCH(C$2,vdata_regressors!$A$1:$R$1,0)),"")</f>
        <v/>
      </c>
      <c r="D944" s="23" t="str">
        <f>IFERROR(INDEX(vdata_regressors!$A$1:$L$2000,MATCH($A944,vdata_regressors!$A$2:$A$2000,0)+1,MATCH(D$2,vdata_regressors!$A$1:$R$1,0)),"")</f>
        <v/>
      </c>
      <c r="E944" s="23" t="str">
        <f>IFERROR(INDEX(vdata_regressors!$A$1:$L$2000,MATCH($A944,vdata_regressors!$A$2:$A$2000,0)+1,MATCH(E$2,vdata_regressors!$A$1:$R$1,0)),"")</f>
        <v/>
      </c>
      <c r="F944" s="23" t="str">
        <f>IFERROR(INDEX(vdata_regressors!$A$1:$L$2000,MATCH($A944,vdata_regressors!$A$2:$A$2000,0)+1,MATCH(F$2,vdata_regressors!$A$1:$R$1,0)),"")</f>
        <v/>
      </c>
      <c r="G944" s="23" t="str">
        <f>IFERROR(INDEX(vdata_regressors!$A$1:$L$2000,MATCH($A944,vdata_regressors!$A$2:$A$2000,0)+1,MATCH(G$2,vdata_regressors!$A$1:$R$1,0)),"")</f>
        <v/>
      </c>
      <c r="H944" s="23" t="str">
        <f>IFERROR(INDEX(vdata_regressors!$A$1:$L$2000,MATCH($A944,vdata_regressors!$A$2:$A$2000,0)+1,MATCH(H$2,vdata_regressors!$A$1:$R$1,0)),"")</f>
        <v/>
      </c>
      <c r="I944" s="23" t="str">
        <f>IFERROR(INDEX(vdata_regressors!$A$1:$L$2000,MATCH($A944,vdata_regressors!$A$2:$A$2000,0)+1,MATCH(I$2,vdata_regressors!$A$1:$R$1,0)),"")</f>
        <v/>
      </c>
      <c r="J944" s="23" t="str">
        <f>IFERROR(INDEX(vdata_regressors!$A$1:$L$2000,MATCH($A944,vdata_regressors!$A$2:$A$2000,0)+1,MATCH(J$2,vdata_regressors!$A$1:$R$1,0)),"")</f>
        <v/>
      </c>
      <c r="K944" s="23" t="str">
        <f>IFERROR(INDEX(vdata_regressors!$A$1:$L$2000,MATCH($A944,vdata_regressors!$A$2:$A$2000,0)+1,MATCH(K$2,vdata_regressors!$A$1:$R$1,0)),"")</f>
        <v/>
      </c>
      <c r="L944" s="23" t="str">
        <f>IFERROR(INDEX(vdata_regressors!$A$1:$L$2000,MATCH($A944,vdata_regressors!$A$2:$A$2000,0)+1,MATCH(L$2,vdata_regressors!$A$1:$R$1,0)),"")</f>
        <v/>
      </c>
      <c r="M944" s="23" t="str">
        <f>IFERROR(VLOOKUP(A944,vdata_hours!$A$2:$B$1000,2,FALSE),"")</f>
        <v/>
      </c>
    </row>
    <row r="945" spans="1:13" x14ac:dyDescent="0.25">
      <c r="A945" s="23" t="str">
        <f>IF(vdata_hours!A944=0,"",vdata_hours!A944)</f>
        <v/>
      </c>
      <c r="B945" s="23" t="str">
        <f>IFERROR(INDEX(vdata_regressors!$A$1:$L$2000,MATCH($A945,vdata_regressors!$A$2:$A$2000,0)+1,MATCH(B$2,vdata_regressors!$A$1:$R$1,0)),"")</f>
        <v/>
      </c>
      <c r="C945" s="23" t="str">
        <f>IFERROR(INDEX(vdata_regressors!$A$1:$L$2000,MATCH($A945,vdata_regressors!$A$2:$A$2000,0)+1,MATCH(C$2,vdata_regressors!$A$1:$R$1,0)),"")</f>
        <v/>
      </c>
      <c r="D945" s="23" t="str">
        <f>IFERROR(INDEX(vdata_regressors!$A$1:$L$2000,MATCH($A945,vdata_regressors!$A$2:$A$2000,0)+1,MATCH(D$2,vdata_regressors!$A$1:$R$1,0)),"")</f>
        <v/>
      </c>
      <c r="E945" s="23" t="str">
        <f>IFERROR(INDEX(vdata_regressors!$A$1:$L$2000,MATCH($A945,vdata_regressors!$A$2:$A$2000,0)+1,MATCH(E$2,vdata_regressors!$A$1:$R$1,0)),"")</f>
        <v/>
      </c>
      <c r="F945" s="23" t="str">
        <f>IFERROR(INDEX(vdata_regressors!$A$1:$L$2000,MATCH($A945,vdata_regressors!$A$2:$A$2000,0)+1,MATCH(F$2,vdata_regressors!$A$1:$R$1,0)),"")</f>
        <v/>
      </c>
      <c r="G945" s="23" t="str">
        <f>IFERROR(INDEX(vdata_regressors!$A$1:$L$2000,MATCH($A945,vdata_regressors!$A$2:$A$2000,0)+1,MATCH(G$2,vdata_regressors!$A$1:$R$1,0)),"")</f>
        <v/>
      </c>
      <c r="H945" s="23" t="str">
        <f>IFERROR(INDEX(vdata_regressors!$A$1:$L$2000,MATCH($A945,vdata_regressors!$A$2:$A$2000,0)+1,MATCH(H$2,vdata_regressors!$A$1:$R$1,0)),"")</f>
        <v/>
      </c>
      <c r="I945" s="23" t="str">
        <f>IFERROR(INDEX(vdata_regressors!$A$1:$L$2000,MATCH($A945,vdata_regressors!$A$2:$A$2000,0)+1,MATCH(I$2,vdata_regressors!$A$1:$R$1,0)),"")</f>
        <v/>
      </c>
      <c r="J945" s="23" t="str">
        <f>IFERROR(INDEX(vdata_regressors!$A$1:$L$2000,MATCH($A945,vdata_regressors!$A$2:$A$2000,0)+1,MATCH(J$2,vdata_regressors!$A$1:$R$1,0)),"")</f>
        <v/>
      </c>
      <c r="K945" s="23" t="str">
        <f>IFERROR(INDEX(vdata_regressors!$A$1:$L$2000,MATCH($A945,vdata_regressors!$A$2:$A$2000,0)+1,MATCH(K$2,vdata_regressors!$A$1:$R$1,0)),"")</f>
        <v/>
      </c>
      <c r="L945" s="23" t="str">
        <f>IFERROR(INDEX(vdata_regressors!$A$1:$L$2000,MATCH($A945,vdata_regressors!$A$2:$A$2000,0)+1,MATCH(L$2,vdata_regressors!$A$1:$R$1,0)),"")</f>
        <v/>
      </c>
      <c r="M945" s="23" t="str">
        <f>IFERROR(VLOOKUP(A945,vdata_hours!$A$2:$B$1000,2,FALSE),"")</f>
        <v/>
      </c>
    </row>
    <row r="946" spans="1:13" x14ac:dyDescent="0.25">
      <c r="A946" s="23" t="str">
        <f>IF(vdata_hours!A945=0,"",vdata_hours!A945)</f>
        <v/>
      </c>
      <c r="B946" s="23" t="str">
        <f>IFERROR(INDEX(vdata_regressors!$A$1:$L$2000,MATCH($A946,vdata_regressors!$A$2:$A$2000,0)+1,MATCH(B$2,vdata_regressors!$A$1:$R$1,0)),"")</f>
        <v/>
      </c>
      <c r="C946" s="23" t="str">
        <f>IFERROR(INDEX(vdata_regressors!$A$1:$L$2000,MATCH($A946,vdata_regressors!$A$2:$A$2000,0)+1,MATCH(C$2,vdata_regressors!$A$1:$R$1,0)),"")</f>
        <v/>
      </c>
      <c r="D946" s="23" t="str">
        <f>IFERROR(INDEX(vdata_regressors!$A$1:$L$2000,MATCH($A946,vdata_regressors!$A$2:$A$2000,0)+1,MATCH(D$2,vdata_regressors!$A$1:$R$1,0)),"")</f>
        <v/>
      </c>
      <c r="E946" s="23" t="str">
        <f>IFERROR(INDEX(vdata_regressors!$A$1:$L$2000,MATCH($A946,vdata_regressors!$A$2:$A$2000,0)+1,MATCH(E$2,vdata_regressors!$A$1:$R$1,0)),"")</f>
        <v/>
      </c>
      <c r="F946" s="23" t="str">
        <f>IFERROR(INDEX(vdata_regressors!$A$1:$L$2000,MATCH($A946,vdata_regressors!$A$2:$A$2000,0)+1,MATCH(F$2,vdata_regressors!$A$1:$R$1,0)),"")</f>
        <v/>
      </c>
      <c r="G946" s="23" t="str">
        <f>IFERROR(INDEX(vdata_regressors!$A$1:$L$2000,MATCH($A946,vdata_regressors!$A$2:$A$2000,0)+1,MATCH(G$2,vdata_regressors!$A$1:$R$1,0)),"")</f>
        <v/>
      </c>
      <c r="H946" s="23" t="str">
        <f>IFERROR(INDEX(vdata_regressors!$A$1:$L$2000,MATCH($A946,vdata_regressors!$A$2:$A$2000,0)+1,MATCH(H$2,vdata_regressors!$A$1:$R$1,0)),"")</f>
        <v/>
      </c>
      <c r="I946" s="23" t="str">
        <f>IFERROR(INDEX(vdata_regressors!$A$1:$L$2000,MATCH($A946,vdata_regressors!$A$2:$A$2000,0)+1,MATCH(I$2,vdata_regressors!$A$1:$R$1,0)),"")</f>
        <v/>
      </c>
      <c r="J946" s="23" t="str">
        <f>IFERROR(INDEX(vdata_regressors!$A$1:$L$2000,MATCH($A946,vdata_regressors!$A$2:$A$2000,0)+1,MATCH(J$2,vdata_regressors!$A$1:$R$1,0)),"")</f>
        <v/>
      </c>
      <c r="K946" s="23" t="str">
        <f>IFERROR(INDEX(vdata_regressors!$A$1:$L$2000,MATCH($A946,vdata_regressors!$A$2:$A$2000,0)+1,MATCH(K$2,vdata_regressors!$A$1:$R$1,0)),"")</f>
        <v/>
      </c>
      <c r="L946" s="23" t="str">
        <f>IFERROR(INDEX(vdata_regressors!$A$1:$L$2000,MATCH($A946,vdata_regressors!$A$2:$A$2000,0)+1,MATCH(L$2,vdata_regressors!$A$1:$R$1,0)),"")</f>
        <v/>
      </c>
      <c r="M946" s="23" t="str">
        <f>IFERROR(VLOOKUP(A946,vdata_hours!$A$2:$B$1000,2,FALSE),"")</f>
        <v/>
      </c>
    </row>
    <row r="947" spans="1:13" x14ac:dyDescent="0.25">
      <c r="A947" s="23" t="str">
        <f>IF(vdata_hours!A946=0,"",vdata_hours!A946)</f>
        <v/>
      </c>
      <c r="B947" s="23" t="str">
        <f>IFERROR(INDEX(vdata_regressors!$A$1:$L$2000,MATCH($A947,vdata_regressors!$A$2:$A$2000,0)+1,MATCH(B$2,vdata_regressors!$A$1:$R$1,0)),"")</f>
        <v/>
      </c>
      <c r="C947" s="23" t="str">
        <f>IFERROR(INDEX(vdata_regressors!$A$1:$L$2000,MATCH($A947,vdata_regressors!$A$2:$A$2000,0)+1,MATCH(C$2,vdata_regressors!$A$1:$R$1,0)),"")</f>
        <v/>
      </c>
      <c r="D947" s="23" t="str">
        <f>IFERROR(INDEX(vdata_regressors!$A$1:$L$2000,MATCH($A947,vdata_regressors!$A$2:$A$2000,0)+1,MATCH(D$2,vdata_regressors!$A$1:$R$1,0)),"")</f>
        <v/>
      </c>
      <c r="E947" s="23" t="str">
        <f>IFERROR(INDEX(vdata_regressors!$A$1:$L$2000,MATCH($A947,vdata_regressors!$A$2:$A$2000,0)+1,MATCH(E$2,vdata_regressors!$A$1:$R$1,0)),"")</f>
        <v/>
      </c>
      <c r="F947" s="23" t="str">
        <f>IFERROR(INDEX(vdata_regressors!$A$1:$L$2000,MATCH($A947,vdata_regressors!$A$2:$A$2000,0)+1,MATCH(F$2,vdata_regressors!$A$1:$R$1,0)),"")</f>
        <v/>
      </c>
      <c r="G947" s="23" t="str">
        <f>IFERROR(INDEX(vdata_regressors!$A$1:$L$2000,MATCH($A947,vdata_regressors!$A$2:$A$2000,0)+1,MATCH(G$2,vdata_regressors!$A$1:$R$1,0)),"")</f>
        <v/>
      </c>
      <c r="H947" s="23" t="str">
        <f>IFERROR(INDEX(vdata_regressors!$A$1:$L$2000,MATCH($A947,vdata_regressors!$A$2:$A$2000,0)+1,MATCH(H$2,vdata_regressors!$A$1:$R$1,0)),"")</f>
        <v/>
      </c>
      <c r="I947" s="23" t="str">
        <f>IFERROR(INDEX(vdata_regressors!$A$1:$L$2000,MATCH($A947,vdata_regressors!$A$2:$A$2000,0)+1,MATCH(I$2,vdata_regressors!$A$1:$R$1,0)),"")</f>
        <v/>
      </c>
      <c r="J947" s="23" t="str">
        <f>IFERROR(INDEX(vdata_regressors!$A$1:$L$2000,MATCH($A947,vdata_regressors!$A$2:$A$2000,0)+1,MATCH(J$2,vdata_regressors!$A$1:$R$1,0)),"")</f>
        <v/>
      </c>
      <c r="K947" s="23" t="str">
        <f>IFERROR(INDEX(vdata_regressors!$A$1:$L$2000,MATCH($A947,vdata_regressors!$A$2:$A$2000,0)+1,MATCH(K$2,vdata_regressors!$A$1:$R$1,0)),"")</f>
        <v/>
      </c>
      <c r="L947" s="23" t="str">
        <f>IFERROR(INDEX(vdata_regressors!$A$1:$L$2000,MATCH($A947,vdata_regressors!$A$2:$A$2000,0)+1,MATCH(L$2,vdata_regressors!$A$1:$R$1,0)),"")</f>
        <v/>
      </c>
      <c r="M947" s="23" t="str">
        <f>IFERROR(VLOOKUP(A947,vdata_hours!$A$2:$B$1000,2,FALSE),"")</f>
        <v/>
      </c>
    </row>
    <row r="948" spans="1:13" x14ac:dyDescent="0.25">
      <c r="A948" s="23" t="str">
        <f>IF(vdata_hours!A947=0,"",vdata_hours!A947)</f>
        <v/>
      </c>
      <c r="B948" s="23" t="str">
        <f>IFERROR(INDEX(vdata_regressors!$A$1:$L$2000,MATCH($A948,vdata_regressors!$A$2:$A$2000,0)+1,MATCH(B$2,vdata_regressors!$A$1:$R$1,0)),"")</f>
        <v/>
      </c>
      <c r="C948" s="23" t="str">
        <f>IFERROR(INDEX(vdata_regressors!$A$1:$L$2000,MATCH($A948,vdata_regressors!$A$2:$A$2000,0)+1,MATCH(C$2,vdata_regressors!$A$1:$R$1,0)),"")</f>
        <v/>
      </c>
      <c r="D948" s="23" t="str">
        <f>IFERROR(INDEX(vdata_regressors!$A$1:$L$2000,MATCH($A948,vdata_regressors!$A$2:$A$2000,0)+1,MATCH(D$2,vdata_regressors!$A$1:$R$1,0)),"")</f>
        <v/>
      </c>
      <c r="E948" s="23" t="str">
        <f>IFERROR(INDEX(vdata_regressors!$A$1:$L$2000,MATCH($A948,vdata_regressors!$A$2:$A$2000,0)+1,MATCH(E$2,vdata_regressors!$A$1:$R$1,0)),"")</f>
        <v/>
      </c>
      <c r="F948" s="23" t="str">
        <f>IFERROR(INDEX(vdata_regressors!$A$1:$L$2000,MATCH($A948,vdata_regressors!$A$2:$A$2000,0)+1,MATCH(F$2,vdata_regressors!$A$1:$R$1,0)),"")</f>
        <v/>
      </c>
      <c r="G948" s="23" t="str">
        <f>IFERROR(INDEX(vdata_regressors!$A$1:$L$2000,MATCH($A948,vdata_regressors!$A$2:$A$2000,0)+1,MATCH(G$2,vdata_regressors!$A$1:$R$1,0)),"")</f>
        <v/>
      </c>
      <c r="H948" s="23" t="str">
        <f>IFERROR(INDEX(vdata_regressors!$A$1:$L$2000,MATCH($A948,vdata_regressors!$A$2:$A$2000,0)+1,MATCH(H$2,vdata_regressors!$A$1:$R$1,0)),"")</f>
        <v/>
      </c>
      <c r="I948" s="23" t="str">
        <f>IFERROR(INDEX(vdata_regressors!$A$1:$L$2000,MATCH($A948,vdata_regressors!$A$2:$A$2000,0)+1,MATCH(I$2,vdata_regressors!$A$1:$R$1,0)),"")</f>
        <v/>
      </c>
      <c r="J948" s="23" t="str">
        <f>IFERROR(INDEX(vdata_regressors!$A$1:$L$2000,MATCH($A948,vdata_regressors!$A$2:$A$2000,0)+1,MATCH(J$2,vdata_regressors!$A$1:$R$1,0)),"")</f>
        <v/>
      </c>
      <c r="K948" s="23" t="str">
        <f>IFERROR(INDEX(vdata_regressors!$A$1:$L$2000,MATCH($A948,vdata_regressors!$A$2:$A$2000,0)+1,MATCH(K$2,vdata_regressors!$A$1:$R$1,0)),"")</f>
        <v/>
      </c>
      <c r="L948" s="23" t="str">
        <f>IFERROR(INDEX(vdata_regressors!$A$1:$L$2000,MATCH($A948,vdata_regressors!$A$2:$A$2000,0)+1,MATCH(L$2,vdata_regressors!$A$1:$R$1,0)),"")</f>
        <v/>
      </c>
      <c r="M948" s="23" t="str">
        <f>IFERROR(VLOOKUP(A948,vdata_hours!$A$2:$B$1000,2,FALSE),"")</f>
        <v/>
      </c>
    </row>
    <row r="949" spans="1:13" x14ac:dyDescent="0.25">
      <c r="A949" s="23" t="str">
        <f>IF(vdata_hours!A948=0,"",vdata_hours!A948)</f>
        <v/>
      </c>
      <c r="B949" s="23" t="str">
        <f>IFERROR(INDEX(vdata_regressors!$A$1:$L$2000,MATCH($A949,vdata_regressors!$A$2:$A$2000,0)+1,MATCH(B$2,vdata_regressors!$A$1:$R$1,0)),"")</f>
        <v/>
      </c>
      <c r="C949" s="23" t="str">
        <f>IFERROR(INDEX(vdata_regressors!$A$1:$L$2000,MATCH($A949,vdata_regressors!$A$2:$A$2000,0)+1,MATCH(C$2,vdata_regressors!$A$1:$R$1,0)),"")</f>
        <v/>
      </c>
      <c r="D949" s="23" t="str">
        <f>IFERROR(INDEX(vdata_regressors!$A$1:$L$2000,MATCH($A949,vdata_regressors!$A$2:$A$2000,0)+1,MATCH(D$2,vdata_regressors!$A$1:$R$1,0)),"")</f>
        <v/>
      </c>
      <c r="E949" s="23" t="str">
        <f>IFERROR(INDEX(vdata_regressors!$A$1:$L$2000,MATCH($A949,vdata_regressors!$A$2:$A$2000,0)+1,MATCH(E$2,vdata_regressors!$A$1:$R$1,0)),"")</f>
        <v/>
      </c>
      <c r="F949" s="23" t="str">
        <f>IFERROR(INDEX(vdata_regressors!$A$1:$L$2000,MATCH($A949,vdata_regressors!$A$2:$A$2000,0)+1,MATCH(F$2,vdata_regressors!$A$1:$R$1,0)),"")</f>
        <v/>
      </c>
      <c r="G949" s="23" t="str">
        <f>IFERROR(INDEX(vdata_regressors!$A$1:$L$2000,MATCH($A949,vdata_regressors!$A$2:$A$2000,0)+1,MATCH(G$2,vdata_regressors!$A$1:$R$1,0)),"")</f>
        <v/>
      </c>
      <c r="H949" s="23" t="str">
        <f>IFERROR(INDEX(vdata_regressors!$A$1:$L$2000,MATCH($A949,vdata_regressors!$A$2:$A$2000,0)+1,MATCH(H$2,vdata_regressors!$A$1:$R$1,0)),"")</f>
        <v/>
      </c>
      <c r="I949" s="23" t="str">
        <f>IFERROR(INDEX(vdata_regressors!$A$1:$L$2000,MATCH($A949,vdata_regressors!$A$2:$A$2000,0)+1,MATCH(I$2,vdata_regressors!$A$1:$R$1,0)),"")</f>
        <v/>
      </c>
      <c r="J949" s="23" t="str">
        <f>IFERROR(INDEX(vdata_regressors!$A$1:$L$2000,MATCH($A949,vdata_regressors!$A$2:$A$2000,0)+1,MATCH(J$2,vdata_regressors!$A$1:$R$1,0)),"")</f>
        <v/>
      </c>
      <c r="K949" s="23" t="str">
        <f>IFERROR(INDEX(vdata_regressors!$A$1:$L$2000,MATCH($A949,vdata_regressors!$A$2:$A$2000,0)+1,MATCH(K$2,vdata_regressors!$A$1:$R$1,0)),"")</f>
        <v/>
      </c>
      <c r="L949" s="23" t="str">
        <f>IFERROR(INDEX(vdata_regressors!$A$1:$L$2000,MATCH($A949,vdata_regressors!$A$2:$A$2000,0)+1,MATCH(L$2,vdata_regressors!$A$1:$R$1,0)),"")</f>
        <v/>
      </c>
      <c r="M949" s="23" t="str">
        <f>IFERROR(VLOOKUP(A949,vdata_hours!$A$2:$B$1000,2,FALSE),"")</f>
        <v/>
      </c>
    </row>
    <row r="950" spans="1:13" x14ac:dyDescent="0.25">
      <c r="A950" s="23" t="str">
        <f>IF(vdata_hours!A949=0,"",vdata_hours!A949)</f>
        <v/>
      </c>
      <c r="B950" s="23" t="str">
        <f>IFERROR(INDEX(vdata_regressors!$A$1:$L$2000,MATCH($A950,vdata_regressors!$A$2:$A$2000,0)+1,MATCH(B$2,vdata_regressors!$A$1:$R$1,0)),"")</f>
        <v/>
      </c>
      <c r="C950" s="23" t="str">
        <f>IFERROR(INDEX(vdata_regressors!$A$1:$L$2000,MATCH($A950,vdata_regressors!$A$2:$A$2000,0)+1,MATCH(C$2,vdata_regressors!$A$1:$R$1,0)),"")</f>
        <v/>
      </c>
      <c r="D950" s="23" t="str">
        <f>IFERROR(INDEX(vdata_regressors!$A$1:$L$2000,MATCH($A950,vdata_regressors!$A$2:$A$2000,0)+1,MATCH(D$2,vdata_regressors!$A$1:$R$1,0)),"")</f>
        <v/>
      </c>
      <c r="E950" s="23" t="str">
        <f>IFERROR(INDEX(vdata_regressors!$A$1:$L$2000,MATCH($A950,vdata_regressors!$A$2:$A$2000,0)+1,MATCH(E$2,vdata_regressors!$A$1:$R$1,0)),"")</f>
        <v/>
      </c>
      <c r="F950" s="23" t="str">
        <f>IFERROR(INDEX(vdata_regressors!$A$1:$L$2000,MATCH($A950,vdata_regressors!$A$2:$A$2000,0)+1,MATCH(F$2,vdata_regressors!$A$1:$R$1,0)),"")</f>
        <v/>
      </c>
      <c r="G950" s="23" t="str">
        <f>IFERROR(INDEX(vdata_regressors!$A$1:$L$2000,MATCH($A950,vdata_regressors!$A$2:$A$2000,0)+1,MATCH(G$2,vdata_regressors!$A$1:$R$1,0)),"")</f>
        <v/>
      </c>
      <c r="H950" s="23" t="str">
        <f>IFERROR(INDEX(vdata_regressors!$A$1:$L$2000,MATCH($A950,vdata_regressors!$A$2:$A$2000,0)+1,MATCH(H$2,vdata_regressors!$A$1:$R$1,0)),"")</f>
        <v/>
      </c>
      <c r="I950" s="23" t="str">
        <f>IFERROR(INDEX(vdata_regressors!$A$1:$L$2000,MATCH($A950,vdata_regressors!$A$2:$A$2000,0)+1,MATCH(I$2,vdata_regressors!$A$1:$R$1,0)),"")</f>
        <v/>
      </c>
      <c r="J950" s="23" t="str">
        <f>IFERROR(INDEX(vdata_regressors!$A$1:$L$2000,MATCH($A950,vdata_regressors!$A$2:$A$2000,0)+1,MATCH(J$2,vdata_regressors!$A$1:$R$1,0)),"")</f>
        <v/>
      </c>
      <c r="K950" s="23" t="str">
        <f>IFERROR(INDEX(vdata_regressors!$A$1:$L$2000,MATCH($A950,vdata_regressors!$A$2:$A$2000,0)+1,MATCH(K$2,vdata_regressors!$A$1:$R$1,0)),"")</f>
        <v/>
      </c>
      <c r="L950" s="23" t="str">
        <f>IFERROR(INDEX(vdata_regressors!$A$1:$L$2000,MATCH($A950,vdata_regressors!$A$2:$A$2000,0)+1,MATCH(L$2,vdata_regressors!$A$1:$R$1,0)),"")</f>
        <v/>
      </c>
      <c r="M950" s="23" t="str">
        <f>IFERROR(VLOOKUP(A950,vdata_hours!$A$2:$B$1000,2,FALSE),"")</f>
        <v/>
      </c>
    </row>
    <row r="951" spans="1:13" x14ac:dyDescent="0.25">
      <c r="A951" s="23" t="str">
        <f>IF(vdata_hours!A950=0,"",vdata_hours!A950)</f>
        <v/>
      </c>
      <c r="B951" s="23" t="str">
        <f>IFERROR(INDEX(vdata_regressors!$A$1:$L$2000,MATCH($A951,vdata_regressors!$A$2:$A$2000,0)+1,MATCH(B$2,vdata_regressors!$A$1:$R$1,0)),"")</f>
        <v/>
      </c>
      <c r="C951" s="23" t="str">
        <f>IFERROR(INDEX(vdata_regressors!$A$1:$L$2000,MATCH($A951,vdata_regressors!$A$2:$A$2000,0)+1,MATCH(C$2,vdata_regressors!$A$1:$R$1,0)),"")</f>
        <v/>
      </c>
      <c r="D951" s="23" t="str">
        <f>IFERROR(INDEX(vdata_regressors!$A$1:$L$2000,MATCH($A951,vdata_regressors!$A$2:$A$2000,0)+1,MATCH(D$2,vdata_regressors!$A$1:$R$1,0)),"")</f>
        <v/>
      </c>
      <c r="E951" s="23" t="str">
        <f>IFERROR(INDEX(vdata_regressors!$A$1:$L$2000,MATCH($A951,vdata_regressors!$A$2:$A$2000,0)+1,MATCH(E$2,vdata_regressors!$A$1:$R$1,0)),"")</f>
        <v/>
      </c>
      <c r="F951" s="23" t="str">
        <f>IFERROR(INDEX(vdata_regressors!$A$1:$L$2000,MATCH($A951,vdata_regressors!$A$2:$A$2000,0)+1,MATCH(F$2,vdata_regressors!$A$1:$R$1,0)),"")</f>
        <v/>
      </c>
      <c r="G951" s="23" t="str">
        <f>IFERROR(INDEX(vdata_regressors!$A$1:$L$2000,MATCH($A951,vdata_regressors!$A$2:$A$2000,0)+1,MATCH(G$2,vdata_regressors!$A$1:$R$1,0)),"")</f>
        <v/>
      </c>
      <c r="H951" s="23" t="str">
        <f>IFERROR(INDEX(vdata_regressors!$A$1:$L$2000,MATCH($A951,vdata_regressors!$A$2:$A$2000,0)+1,MATCH(H$2,vdata_regressors!$A$1:$R$1,0)),"")</f>
        <v/>
      </c>
      <c r="I951" s="23" t="str">
        <f>IFERROR(INDEX(vdata_regressors!$A$1:$L$2000,MATCH($A951,vdata_regressors!$A$2:$A$2000,0)+1,MATCH(I$2,vdata_regressors!$A$1:$R$1,0)),"")</f>
        <v/>
      </c>
      <c r="J951" s="23" t="str">
        <f>IFERROR(INDEX(vdata_regressors!$A$1:$L$2000,MATCH($A951,vdata_regressors!$A$2:$A$2000,0)+1,MATCH(J$2,vdata_regressors!$A$1:$R$1,0)),"")</f>
        <v/>
      </c>
      <c r="K951" s="23" t="str">
        <f>IFERROR(INDEX(vdata_regressors!$A$1:$L$2000,MATCH($A951,vdata_regressors!$A$2:$A$2000,0)+1,MATCH(K$2,vdata_regressors!$A$1:$R$1,0)),"")</f>
        <v/>
      </c>
      <c r="L951" s="23" t="str">
        <f>IFERROR(INDEX(vdata_regressors!$A$1:$L$2000,MATCH($A951,vdata_regressors!$A$2:$A$2000,0)+1,MATCH(L$2,vdata_regressors!$A$1:$R$1,0)),"")</f>
        <v/>
      </c>
      <c r="M951" s="23" t="str">
        <f>IFERROR(VLOOKUP(A951,vdata_hours!$A$2:$B$1000,2,FALSE),"")</f>
        <v/>
      </c>
    </row>
    <row r="952" spans="1:13" x14ac:dyDescent="0.25">
      <c r="A952" s="23" t="str">
        <f>IF(vdata_hours!A951=0,"",vdata_hours!A951)</f>
        <v/>
      </c>
      <c r="B952" s="23" t="str">
        <f>IFERROR(INDEX(vdata_regressors!$A$1:$L$2000,MATCH($A952,vdata_regressors!$A$2:$A$2000,0)+1,MATCH(B$2,vdata_regressors!$A$1:$R$1,0)),"")</f>
        <v/>
      </c>
      <c r="C952" s="23" t="str">
        <f>IFERROR(INDEX(vdata_regressors!$A$1:$L$2000,MATCH($A952,vdata_regressors!$A$2:$A$2000,0)+1,MATCH(C$2,vdata_regressors!$A$1:$R$1,0)),"")</f>
        <v/>
      </c>
      <c r="D952" s="23" t="str">
        <f>IFERROR(INDEX(vdata_regressors!$A$1:$L$2000,MATCH($A952,vdata_regressors!$A$2:$A$2000,0)+1,MATCH(D$2,vdata_regressors!$A$1:$R$1,0)),"")</f>
        <v/>
      </c>
      <c r="E952" s="23" t="str">
        <f>IFERROR(INDEX(vdata_regressors!$A$1:$L$2000,MATCH($A952,vdata_regressors!$A$2:$A$2000,0)+1,MATCH(E$2,vdata_regressors!$A$1:$R$1,0)),"")</f>
        <v/>
      </c>
      <c r="F952" s="23" t="str">
        <f>IFERROR(INDEX(vdata_regressors!$A$1:$L$2000,MATCH($A952,vdata_regressors!$A$2:$A$2000,0)+1,MATCH(F$2,vdata_regressors!$A$1:$R$1,0)),"")</f>
        <v/>
      </c>
      <c r="G952" s="23" t="str">
        <f>IFERROR(INDEX(vdata_regressors!$A$1:$L$2000,MATCH($A952,vdata_regressors!$A$2:$A$2000,0)+1,MATCH(G$2,vdata_regressors!$A$1:$R$1,0)),"")</f>
        <v/>
      </c>
      <c r="H952" s="23" t="str">
        <f>IFERROR(INDEX(vdata_regressors!$A$1:$L$2000,MATCH($A952,vdata_regressors!$A$2:$A$2000,0)+1,MATCH(H$2,vdata_regressors!$A$1:$R$1,0)),"")</f>
        <v/>
      </c>
      <c r="I952" s="23" t="str">
        <f>IFERROR(INDEX(vdata_regressors!$A$1:$L$2000,MATCH($A952,vdata_regressors!$A$2:$A$2000,0)+1,MATCH(I$2,vdata_regressors!$A$1:$R$1,0)),"")</f>
        <v/>
      </c>
      <c r="J952" s="23" t="str">
        <f>IFERROR(INDEX(vdata_regressors!$A$1:$L$2000,MATCH($A952,vdata_regressors!$A$2:$A$2000,0)+1,MATCH(J$2,vdata_regressors!$A$1:$R$1,0)),"")</f>
        <v/>
      </c>
      <c r="K952" s="23" t="str">
        <f>IFERROR(INDEX(vdata_regressors!$A$1:$L$2000,MATCH($A952,vdata_regressors!$A$2:$A$2000,0)+1,MATCH(K$2,vdata_regressors!$A$1:$R$1,0)),"")</f>
        <v/>
      </c>
      <c r="L952" s="23" t="str">
        <f>IFERROR(INDEX(vdata_regressors!$A$1:$L$2000,MATCH($A952,vdata_regressors!$A$2:$A$2000,0)+1,MATCH(L$2,vdata_regressors!$A$1:$R$1,0)),"")</f>
        <v/>
      </c>
      <c r="M952" s="23" t="str">
        <f>IFERROR(VLOOKUP(A952,vdata_hours!$A$2:$B$1000,2,FALSE),"")</f>
        <v/>
      </c>
    </row>
    <row r="953" spans="1:13" x14ac:dyDescent="0.25">
      <c r="A953" s="23" t="str">
        <f>IF(vdata_hours!A952=0,"",vdata_hours!A952)</f>
        <v/>
      </c>
      <c r="B953" s="23" t="str">
        <f>IFERROR(INDEX(vdata_regressors!$A$1:$L$2000,MATCH($A953,vdata_regressors!$A$2:$A$2000,0)+1,MATCH(B$2,vdata_regressors!$A$1:$R$1,0)),"")</f>
        <v/>
      </c>
      <c r="C953" s="23" t="str">
        <f>IFERROR(INDEX(vdata_regressors!$A$1:$L$2000,MATCH($A953,vdata_regressors!$A$2:$A$2000,0)+1,MATCH(C$2,vdata_regressors!$A$1:$R$1,0)),"")</f>
        <v/>
      </c>
      <c r="D953" s="23" t="str">
        <f>IFERROR(INDEX(vdata_regressors!$A$1:$L$2000,MATCH($A953,vdata_regressors!$A$2:$A$2000,0)+1,MATCH(D$2,vdata_regressors!$A$1:$R$1,0)),"")</f>
        <v/>
      </c>
      <c r="E953" s="23" t="str">
        <f>IFERROR(INDEX(vdata_regressors!$A$1:$L$2000,MATCH($A953,vdata_regressors!$A$2:$A$2000,0)+1,MATCH(E$2,vdata_regressors!$A$1:$R$1,0)),"")</f>
        <v/>
      </c>
      <c r="F953" s="23" t="str">
        <f>IFERROR(INDEX(vdata_regressors!$A$1:$L$2000,MATCH($A953,vdata_regressors!$A$2:$A$2000,0)+1,MATCH(F$2,vdata_regressors!$A$1:$R$1,0)),"")</f>
        <v/>
      </c>
      <c r="G953" s="23" t="str">
        <f>IFERROR(INDEX(vdata_regressors!$A$1:$L$2000,MATCH($A953,vdata_regressors!$A$2:$A$2000,0)+1,MATCH(G$2,vdata_regressors!$A$1:$R$1,0)),"")</f>
        <v/>
      </c>
      <c r="H953" s="23" t="str">
        <f>IFERROR(INDEX(vdata_regressors!$A$1:$L$2000,MATCH($A953,vdata_regressors!$A$2:$A$2000,0)+1,MATCH(H$2,vdata_regressors!$A$1:$R$1,0)),"")</f>
        <v/>
      </c>
      <c r="I953" s="23" t="str">
        <f>IFERROR(INDEX(vdata_regressors!$A$1:$L$2000,MATCH($A953,vdata_regressors!$A$2:$A$2000,0)+1,MATCH(I$2,vdata_regressors!$A$1:$R$1,0)),"")</f>
        <v/>
      </c>
      <c r="J953" s="23" t="str">
        <f>IFERROR(INDEX(vdata_regressors!$A$1:$L$2000,MATCH($A953,vdata_regressors!$A$2:$A$2000,0)+1,MATCH(J$2,vdata_regressors!$A$1:$R$1,0)),"")</f>
        <v/>
      </c>
      <c r="K953" s="23" t="str">
        <f>IFERROR(INDEX(vdata_regressors!$A$1:$L$2000,MATCH($A953,vdata_regressors!$A$2:$A$2000,0)+1,MATCH(K$2,vdata_regressors!$A$1:$R$1,0)),"")</f>
        <v/>
      </c>
      <c r="L953" s="23" t="str">
        <f>IFERROR(INDEX(vdata_regressors!$A$1:$L$2000,MATCH($A953,vdata_regressors!$A$2:$A$2000,0)+1,MATCH(L$2,vdata_regressors!$A$1:$R$1,0)),"")</f>
        <v/>
      </c>
      <c r="M953" s="23" t="str">
        <f>IFERROR(VLOOKUP(A953,vdata_hours!$A$2:$B$1000,2,FALSE),"")</f>
        <v/>
      </c>
    </row>
    <row r="954" spans="1:13" x14ac:dyDescent="0.25">
      <c r="A954" s="23" t="str">
        <f>IF(vdata_hours!A953=0,"",vdata_hours!A953)</f>
        <v/>
      </c>
      <c r="B954" s="23" t="str">
        <f>IFERROR(INDEX(vdata_regressors!$A$1:$L$2000,MATCH($A954,vdata_regressors!$A$2:$A$2000,0)+1,MATCH(B$2,vdata_regressors!$A$1:$R$1,0)),"")</f>
        <v/>
      </c>
      <c r="C954" s="23" t="str">
        <f>IFERROR(INDEX(vdata_regressors!$A$1:$L$2000,MATCH($A954,vdata_regressors!$A$2:$A$2000,0)+1,MATCH(C$2,vdata_regressors!$A$1:$R$1,0)),"")</f>
        <v/>
      </c>
      <c r="D954" s="23" t="str">
        <f>IFERROR(INDEX(vdata_regressors!$A$1:$L$2000,MATCH($A954,vdata_regressors!$A$2:$A$2000,0)+1,MATCH(D$2,vdata_regressors!$A$1:$R$1,0)),"")</f>
        <v/>
      </c>
      <c r="E954" s="23" t="str">
        <f>IFERROR(INDEX(vdata_regressors!$A$1:$L$2000,MATCH($A954,vdata_regressors!$A$2:$A$2000,0)+1,MATCH(E$2,vdata_regressors!$A$1:$R$1,0)),"")</f>
        <v/>
      </c>
      <c r="F954" s="23" t="str">
        <f>IFERROR(INDEX(vdata_regressors!$A$1:$L$2000,MATCH($A954,vdata_regressors!$A$2:$A$2000,0)+1,MATCH(F$2,vdata_regressors!$A$1:$R$1,0)),"")</f>
        <v/>
      </c>
      <c r="G954" s="23" t="str">
        <f>IFERROR(INDEX(vdata_regressors!$A$1:$L$2000,MATCH($A954,vdata_regressors!$A$2:$A$2000,0)+1,MATCH(G$2,vdata_regressors!$A$1:$R$1,0)),"")</f>
        <v/>
      </c>
      <c r="H954" s="23" t="str">
        <f>IFERROR(INDEX(vdata_regressors!$A$1:$L$2000,MATCH($A954,vdata_regressors!$A$2:$A$2000,0)+1,MATCH(H$2,vdata_regressors!$A$1:$R$1,0)),"")</f>
        <v/>
      </c>
      <c r="I954" s="23" t="str">
        <f>IFERROR(INDEX(vdata_regressors!$A$1:$L$2000,MATCH($A954,vdata_regressors!$A$2:$A$2000,0)+1,MATCH(I$2,vdata_regressors!$A$1:$R$1,0)),"")</f>
        <v/>
      </c>
      <c r="J954" s="23" t="str">
        <f>IFERROR(INDEX(vdata_regressors!$A$1:$L$2000,MATCH($A954,vdata_regressors!$A$2:$A$2000,0)+1,MATCH(J$2,vdata_regressors!$A$1:$R$1,0)),"")</f>
        <v/>
      </c>
      <c r="K954" s="23" t="str">
        <f>IFERROR(INDEX(vdata_regressors!$A$1:$L$2000,MATCH($A954,vdata_regressors!$A$2:$A$2000,0)+1,MATCH(K$2,vdata_regressors!$A$1:$R$1,0)),"")</f>
        <v/>
      </c>
      <c r="L954" s="23" t="str">
        <f>IFERROR(INDEX(vdata_regressors!$A$1:$L$2000,MATCH($A954,vdata_regressors!$A$2:$A$2000,0)+1,MATCH(L$2,vdata_regressors!$A$1:$R$1,0)),"")</f>
        <v/>
      </c>
      <c r="M954" s="23" t="str">
        <f>IFERROR(VLOOKUP(A954,vdata_hours!$A$2:$B$1000,2,FALSE),"")</f>
        <v/>
      </c>
    </row>
    <row r="955" spans="1:13" x14ac:dyDescent="0.25">
      <c r="A955" s="23" t="str">
        <f>IF(vdata_hours!A954=0,"",vdata_hours!A954)</f>
        <v/>
      </c>
      <c r="B955" s="23" t="str">
        <f>IFERROR(INDEX(vdata_regressors!$A$1:$L$2000,MATCH($A955,vdata_regressors!$A$2:$A$2000,0)+1,MATCH(B$2,vdata_regressors!$A$1:$R$1,0)),"")</f>
        <v/>
      </c>
      <c r="C955" s="23" t="str">
        <f>IFERROR(INDEX(vdata_regressors!$A$1:$L$2000,MATCH($A955,vdata_regressors!$A$2:$A$2000,0)+1,MATCH(C$2,vdata_regressors!$A$1:$R$1,0)),"")</f>
        <v/>
      </c>
      <c r="D955" s="23" t="str">
        <f>IFERROR(INDEX(vdata_regressors!$A$1:$L$2000,MATCH($A955,vdata_regressors!$A$2:$A$2000,0)+1,MATCH(D$2,vdata_regressors!$A$1:$R$1,0)),"")</f>
        <v/>
      </c>
      <c r="E955" s="23" t="str">
        <f>IFERROR(INDEX(vdata_regressors!$A$1:$L$2000,MATCH($A955,vdata_regressors!$A$2:$A$2000,0)+1,MATCH(E$2,vdata_regressors!$A$1:$R$1,0)),"")</f>
        <v/>
      </c>
      <c r="F955" s="23" t="str">
        <f>IFERROR(INDEX(vdata_regressors!$A$1:$L$2000,MATCH($A955,vdata_regressors!$A$2:$A$2000,0)+1,MATCH(F$2,vdata_regressors!$A$1:$R$1,0)),"")</f>
        <v/>
      </c>
      <c r="G955" s="23" t="str">
        <f>IFERROR(INDEX(vdata_regressors!$A$1:$L$2000,MATCH($A955,vdata_regressors!$A$2:$A$2000,0)+1,MATCH(G$2,vdata_regressors!$A$1:$R$1,0)),"")</f>
        <v/>
      </c>
      <c r="H955" s="23" t="str">
        <f>IFERROR(INDEX(vdata_regressors!$A$1:$L$2000,MATCH($A955,vdata_regressors!$A$2:$A$2000,0)+1,MATCH(H$2,vdata_regressors!$A$1:$R$1,0)),"")</f>
        <v/>
      </c>
      <c r="I955" s="23" t="str">
        <f>IFERROR(INDEX(vdata_regressors!$A$1:$L$2000,MATCH($A955,vdata_regressors!$A$2:$A$2000,0)+1,MATCH(I$2,vdata_regressors!$A$1:$R$1,0)),"")</f>
        <v/>
      </c>
      <c r="J955" s="23" t="str">
        <f>IFERROR(INDEX(vdata_regressors!$A$1:$L$2000,MATCH($A955,vdata_regressors!$A$2:$A$2000,0)+1,MATCH(J$2,vdata_regressors!$A$1:$R$1,0)),"")</f>
        <v/>
      </c>
      <c r="K955" s="23" t="str">
        <f>IFERROR(INDEX(vdata_regressors!$A$1:$L$2000,MATCH($A955,vdata_regressors!$A$2:$A$2000,0)+1,MATCH(K$2,vdata_regressors!$A$1:$R$1,0)),"")</f>
        <v/>
      </c>
      <c r="L955" s="23" t="str">
        <f>IFERROR(INDEX(vdata_regressors!$A$1:$L$2000,MATCH($A955,vdata_regressors!$A$2:$A$2000,0)+1,MATCH(L$2,vdata_regressors!$A$1:$R$1,0)),"")</f>
        <v/>
      </c>
      <c r="M955" s="23" t="str">
        <f>IFERROR(VLOOKUP(A955,vdata_hours!$A$2:$B$1000,2,FALSE),"")</f>
        <v/>
      </c>
    </row>
    <row r="956" spans="1:13" x14ac:dyDescent="0.25">
      <c r="A956" s="23" t="str">
        <f>IF(vdata_hours!A955=0,"",vdata_hours!A955)</f>
        <v/>
      </c>
      <c r="B956" s="23" t="str">
        <f>IFERROR(INDEX(vdata_regressors!$A$1:$L$2000,MATCH($A956,vdata_regressors!$A$2:$A$2000,0)+1,MATCH(B$2,vdata_regressors!$A$1:$R$1,0)),"")</f>
        <v/>
      </c>
      <c r="C956" s="23" t="str">
        <f>IFERROR(INDEX(vdata_regressors!$A$1:$L$2000,MATCH($A956,vdata_regressors!$A$2:$A$2000,0)+1,MATCH(C$2,vdata_regressors!$A$1:$R$1,0)),"")</f>
        <v/>
      </c>
      <c r="D956" s="23" t="str">
        <f>IFERROR(INDEX(vdata_regressors!$A$1:$L$2000,MATCH($A956,vdata_regressors!$A$2:$A$2000,0)+1,MATCH(D$2,vdata_regressors!$A$1:$R$1,0)),"")</f>
        <v/>
      </c>
      <c r="E956" s="23" t="str">
        <f>IFERROR(INDEX(vdata_regressors!$A$1:$L$2000,MATCH($A956,vdata_regressors!$A$2:$A$2000,0)+1,MATCH(E$2,vdata_regressors!$A$1:$R$1,0)),"")</f>
        <v/>
      </c>
      <c r="F956" s="23" t="str">
        <f>IFERROR(INDEX(vdata_regressors!$A$1:$L$2000,MATCH($A956,vdata_regressors!$A$2:$A$2000,0)+1,MATCH(F$2,vdata_regressors!$A$1:$R$1,0)),"")</f>
        <v/>
      </c>
      <c r="G956" s="23" t="str">
        <f>IFERROR(INDEX(vdata_regressors!$A$1:$L$2000,MATCH($A956,vdata_regressors!$A$2:$A$2000,0)+1,MATCH(G$2,vdata_regressors!$A$1:$R$1,0)),"")</f>
        <v/>
      </c>
      <c r="H956" s="23" t="str">
        <f>IFERROR(INDEX(vdata_regressors!$A$1:$L$2000,MATCH($A956,vdata_regressors!$A$2:$A$2000,0)+1,MATCH(H$2,vdata_regressors!$A$1:$R$1,0)),"")</f>
        <v/>
      </c>
      <c r="I956" s="23" t="str">
        <f>IFERROR(INDEX(vdata_regressors!$A$1:$L$2000,MATCH($A956,vdata_regressors!$A$2:$A$2000,0)+1,MATCH(I$2,vdata_regressors!$A$1:$R$1,0)),"")</f>
        <v/>
      </c>
      <c r="J956" s="23" t="str">
        <f>IFERROR(INDEX(vdata_regressors!$A$1:$L$2000,MATCH($A956,vdata_regressors!$A$2:$A$2000,0)+1,MATCH(J$2,vdata_regressors!$A$1:$R$1,0)),"")</f>
        <v/>
      </c>
      <c r="K956" s="23" t="str">
        <f>IFERROR(INDEX(vdata_regressors!$A$1:$L$2000,MATCH($A956,vdata_regressors!$A$2:$A$2000,0)+1,MATCH(K$2,vdata_regressors!$A$1:$R$1,0)),"")</f>
        <v/>
      </c>
      <c r="L956" s="23" t="str">
        <f>IFERROR(INDEX(vdata_regressors!$A$1:$L$2000,MATCH($A956,vdata_regressors!$A$2:$A$2000,0)+1,MATCH(L$2,vdata_regressors!$A$1:$R$1,0)),"")</f>
        <v/>
      </c>
      <c r="M956" s="23" t="str">
        <f>IFERROR(VLOOKUP(A956,vdata_hours!$A$2:$B$1000,2,FALSE),"")</f>
        <v/>
      </c>
    </row>
    <row r="957" spans="1:13" x14ac:dyDescent="0.25">
      <c r="A957" s="23" t="str">
        <f>IF(vdata_hours!A956=0,"",vdata_hours!A956)</f>
        <v/>
      </c>
      <c r="B957" s="23" t="str">
        <f>IFERROR(INDEX(vdata_regressors!$A$1:$L$2000,MATCH($A957,vdata_regressors!$A$2:$A$2000,0)+1,MATCH(B$2,vdata_regressors!$A$1:$R$1,0)),"")</f>
        <v/>
      </c>
      <c r="C957" s="23" t="str">
        <f>IFERROR(INDEX(vdata_regressors!$A$1:$L$2000,MATCH($A957,vdata_regressors!$A$2:$A$2000,0)+1,MATCH(C$2,vdata_regressors!$A$1:$R$1,0)),"")</f>
        <v/>
      </c>
      <c r="D957" s="23" t="str">
        <f>IFERROR(INDEX(vdata_regressors!$A$1:$L$2000,MATCH($A957,vdata_regressors!$A$2:$A$2000,0)+1,MATCH(D$2,vdata_regressors!$A$1:$R$1,0)),"")</f>
        <v/>
      </c>
      <c r="E957" s="23" t="str">
        <f>IFERROR(INDEX(vdata_regressors!$A$1:$L$2000,MATCH($A957,vdata_regressors!$A$2:$A$2000,0)+1,MATCH(E$2,vdata_regressors!$A$1:$R$1,0)),"")</f>
        <v/>
      </c>
      <c r="F957" s="23" t="str">
        <f>IFERROR(INDEX(vdata_regressors!$A$1:$L$2000,MATCH($A957,vdata_regressors!$A$2:$A$2000,0)+1,MATCH(F$2,vdata_regressors!$A$1:$R$1,0)),"")</f>
        <v/>
      </c>
      <c r="G957" s="23" t="str">
        <f>IFERROR(INDEX(vdata_regressors!$A$1:$L$2000,MATCH($A957,vdata_regressors!$A$2:$A$2000,0)+1,MATCH(G$2,vdata_regressors!$A$1:$R$1,0)),"")</f>
        <v/>
      </c>
      <c r="H957" s="23" t="str">
        <f>IFERROR(INDEX(vdata_regressors!$A$1:$L$2000,MATCH($A957,vdata_regressors!$A$2:$A$2000,0)+1,MATCH(H$2,vdata_regressors!$A$1:$R$1,0)),"")</f>
        <v/>
      </c>
      <c r="I957" s="23" t="str">
        <f>IFERROR(INDEX(vdata_regressors!$A$1:$L$2000,MATCH($A957,vdata_regressors!$A$2:$A$2000,0)+1,MATCH(I$2,vdata_regressors!$A$1:$R$1,0)),"")</f>
        <v/>
      </c>
      <c r="J957" s="23" t="str">
        <f>IFERROR(INDEX(vdata_regressors!$A$1:$L$2000,MATCH($A957,vdata_regressors!$A$2:$A$2000,0)+1,MATCH(J$2,vdata_regressors!$A$1:$R$1,0)),"")</f>
        <v/>
      </c>
      <c r="K957" s="23" t="str">
        <f>IFERROR(INDEX(vdata_regressors!$A$1:$L$2000,MATCH($A957,vdata_regressors!$A$2:$A$2000,0)+1,MATCH(K$2,vdata_regressors!$A$1:$R$1,0)),"")</f>
        <v/>
      </c>
      <c r="L957" s="23" t="str">
        <f>IFERROR(INDEX(vdata_regressors!$A$1:$L$2000,MATCH($A957,vdata_regressors!$A$2:$A$2000,0)+1,MATCH(L$2,vdata_regressors!$A$1:$R$1,0)),"")</f>
        <v/>
      </c>
      <c r="M957" s="23" t="str">
        <f>IFERROR(VLOOKUP(A957,vdata_hours!$A$2:$B$1000,2,FALSE),"")</f>
        <v/>
      </c>
    </row>
    <row r="958" spans="1:13" x14ac:dyDescent="0.25">
      <c r="A958" s="23" t="str">
        <f>IF(vdata_hours!A957=0,"",vdata_hours!A957)</f>
        <v/>
      </c>
      <c r="B958" s="23" t="str">
        <f>IFERROR(INDEX(vdata_regressors!$A$1:$L$2000,MATCH($A958,vdata_regressors!$A$2:$A$2000,0)+1,MATCH(B$2,vdata_regressors!$A$1:$R$1,0)),"")</f>
        <v/>
      </c>
      <c r="C958" s="23" t="str">
        <f>IFERROR(INDEX(vdata_regressors!$A$1:$L$2000,MATCH($A958,vdata_regressors!$A$2:$A$2000,0)+1,MATCH(C$2,vdata_regressors!$A$1:$R$1,0)),"")</f>
        <v/>
      </c>
      <c r="D958" s="23" t="str">
        <f>IFERROR(INDEX(vdata_regressors!$A$1:$L$2000,MATCH($A958,vdata_regressors!$A$2:$A$2000,0)+1,MATCH(D$2,vdata_regressors!$A$1:$R$1,0)),"")</f>
        <v/>
      </c>
      <c r="E958" s="23" t="str">
        <f>IFERROR(INDEX(vdata_regressors!$A$1:$L$2000,MATCH($A958,vdata_regressors!$A$2:$A$2000,0)+1,MATCH(E$2,vdata_regressors!$A$1:$R$1,0)),"")</f>
        <v/>
      </c>
      <c r="F958" s="23" t="str">
        <f>IFERROR(INDEX(vdata_regressors!$A$1:$L$2000,MATCH($A958,vdata_regressors!$A$2:$A$2000,0)+1,MATCH(F$2,vdata_regressors!$A$1:$R$1,0)),"")</f>
        <v/>
      </c>
      <c r="G958" s="23" t="str">
        <f>IFERROR(INDEX(vdata_regressors!$A$1:$L$2000,MATCH($A958,vdata_regressors!$A$2:$A$2000,0)+1,MATCH(G$2,vdata_regressors!$A$1:$R$1,0)),"")</f>
        <v/>
      </c>
      <c r="H958" s="23" t="str">
        <f>IFERROR(INDEX(vdata_regressors!$A$1:$L$2000,MATCH($A958,vdata_regressors!$A$2:$A$2000,0)+1,MATCH(H$2,vdata_regressors!$A$1:$R$1,0)),"")</f>
        <v/>
      </c>
      <c r="I958" s="23" t="str">
        <f>IFERROR(INDEX(vdata_regressors!$A$1:$L$2000,MATCH($A958,vdata_regressors!$A$2:$A$2000,0)+1,MATCH(I$2,vdata_regressors!$A$1:$R$1,0)),"")</f>
        <v/>
      </c>
      <c r="J958" s="23" t="str">
        <f>IFERROR(INDEX(vdata_regressors!$A$1:$L$2000,MATCH($A958,vdata_regressors!$A$2:$A$2000,0)+1,MATCH(J$2,vdata_regressors!$A$1:$R$1,0)),"")</f>
        <v/>
      </c>
      <c r="K958" s="23" t="str">
        <f>IFERROR(INDEX(vdata_regressors!$A$1:$L$2000,MATCH($A958,vdata_regressors!$A$2:$A$2000,0)+1,MATCH(K$2,vdata_regressors!$A$1:$R$1,0)),"")</f>
        <v/>
      </c>
      <c r="L958" s="23" t="str">
        <f>IFERROR(INDEX(vdata_regressors!$A$1:$L$2000,MATCH($A958,vdata_regressors!$A$2:$A$2000,0)+1,MATCH(L$2,vdata_regressors!$A$1:$R$1,0)),"")</f>
        <v/>
      </c>
      <c r="M958" s="23" t="str">
        <f>IFERROR(VLOOKUP(A958,vdata_hours!$A$2:$B$1000,2,FALSE),"")</f>
        <v/>
      </c>
    </row>
    <row r="959" spans="1:13" x14ac:dyDescent="0.25">
      <c r="A959" s="23" t="str">
        <f>IF(vdata_hours!A958=0,"",vdata_hours!A958)</f>
        <v/>
      </c>
      <c r="B959" s="23" t="str">
        <f>IFERROR(INDEX(vdata_regressors!$A$1:$L$2000,MATCH($A959,vdata_regressors!$A$2:$A$2000,0)+1,MATCH(B$2,vdata_regressors!$A$1:$R$1,0)),"")</f>
        <v/>
      </c>
      <c r="C959" s="23" t="str">
        <f>IFERROR(INDEX(vdata_regressors!$A$1:$L$2000,MATCH($A959,vdata_regressors!$A$2:$A$2000,0)+1,MATCH(C$2,vdata_regressors!$A$1:$R$1,0)),"")</f>
        <v/>
      </c>
      <c r="D959" s="23" t="str">
        <f>IFERROR(INDEX(vdata_regressors!$A$1:$L$2000,MATCH($A959,vdata_regressors!$A$2:$A$2000,0)+1,MATCH(D$2,vdata_regressors!$A$1:$R$1,0)),"")</f>
        <v/>
      </c>
      <c r="E959" s="23" t="str">
        <f>IFERROR(INDEX(vdata_regressors!$A$1:$L$2000,MATCH($A959,vdata_regressors!$A$2:$A$2000,0)+1,MATCH(E$2,vdata_regressors!$A$1:$R$1,0)),"")</f>
        <v/>
      </c>
      <c r="F959" s="23" t="str">
        <f>IFERROR(INDEX(vdata_regressors!$A$1:$L$2000,MATCH($A959,vdata_regressors!$A$2:$A$2000,0)+1,MATCH(F$2,vdata_regressors!$A$1:$R$1,0)),"")</f>
        <v/>
      </c>
      <c r="G959" s="23" t="str">
        <f>IFERROR(INDEX(vdata_regressors!$A$1:$L$2000,MATCH($A959,vdata_regressors!$A$2:$A$2000,0)+1,MATCH(G$2,vdata_regressors!$A$1:$R$1,0)),"")</f>
        <v/>
      </c>
      <c r="H959" s="23" t="str">
        <f>IFERROR(INDEX(vdata_regressors!$A$1:$L$2000,MATCH($A959,vdata_regressors!$A$2:$A$2000,0)+1,MATCH(H$2,vdata_regressors!$A$1:$R$1,0)),"")</f>
        <v/>
      </c>
      <c r="I959" s="23" t="str">
        <f>IFERROR(INDEX(vdata_regressors!$A$1:$L$2000,MATCH($A959,vdata_regressors!$A$2:$A$2000,0)+1,MATCH(I$2,vdata_regressors!$A$1:$R$1,0)),"")</f>
        <v/>
      </c>
      <c r="J959" s="23" t="str">
        <f>IFERROR(INDEX(vdata_regressors!$A$1:$L$2000,MATCH($A959,vdata_regressors!$A$2:$A$2000,0)+1,MATCH(J$2,vdata_regressors!$A$1:$R$1,0)),"")</f>
        <v/>
      </c>
      <c r="K959" s="23" t="str">
        <f>IFERROR(INDEX(vdata_regressors!$A$1:$L$2000,MATCH($A959,vdata_regressors!$A$2:$A$2000,0)+1,MATCH(K$2,vdata_regressors!$A$1:$R$1,0)),"")</f>
        <v/>
      </c>
      <c r="L959" s="23" t="str">
        <f>IFERROR(INDEX(vdata_regressors!$A$1:$L$2000,MATCH($A959,vdata_regressors!$A$2:$A$2000,0)+1,MATCH(L$2,vdata_regressors!$A$1:$R$1,0)),"")</f>
        <v/>
      </c>
      <c r="M959" s="23" t="str">
        <f>IFERROR(VLOOKUP(A959,vdata_hours!$A$2:$B$1000,2,FALSE),"")</f>
        <v/>
      </c>
    </row>
    <row r="960" spans="1:13" x14ac:dyDescent="0.25">
      <c r="A960" s="23" t="str">
        <f>IF(vdata_hours!A959=0,"",vdata_hours!A959)</f>
        <v/>
      </c>
      <c r="B960" s="23" t="str">
        <f>IFERROR(INDEX(vdata_regressors!$A$1:$L$2000,MATCH($A960,vdata_regressors!$A$2:$A$2000,0)+1,MATCH(B$2,vdata_regressors!$A$1:$R$1,0)),"")</f>
        <v/>
      </c>
      <c r="C960" s="23" t="str">
        <f>IFERROR(INDEX(vdata_regressors!$A$1:$L$2000,MATCH($A960,vdata_regressors!$A$2:$A$2000,0)+1,MATCH(C$2,vdata_regressors!$A$1:$R$1,0)),"")</f>
        <v/>
      </c>
      <c r="D960" s="23" t="str">
        <f>IFERROR(INDEX(vdata_regressors!$A$1:$L$2000,MATCH($A960,vdata_regressors!$A$2:$A$2000,0)+1,MATCH(D$2,vdata_regressors!$A$1:$R$1,0)),"")</f>
        <v/>
      </c>
      <c r="E960" s="23" t="str">
        <f>IFERROR(INDEX(vdata_regressors!$A$1:$L$2000,MATCH($A960,vdata_regressors!$A$2:$A$2000,0)+1,MATCH(E$2,vdata_regressors!$A$1:$R$1,0)),"")</f>
        <v/>
      </c>
      <c r="F960" s="23" t="str">
        <f>IFERROR(INDEX(vdata_regressors!$A$1:$L$2000,MATCH($A960,vdata_regressors!$A$2:$A$2000,0)+1,MATCH(F$2,vdata_regressors!$A$1:$R$1,0)),"")</f>
        <v/>
      </c>
      <c r="G960" s="23" t="str">
        <f>IFERROR(INDEX(vdata_regressors!$A$1:$L$2000,MATCH($A960,vdata_regressors!$A$2:$A$2000,0)+1,MATCH(G$2,vdata_regressors!$A$1:$R$1,0)),"")</f>
        <v/>
      </c>
      <c r="H960" s="23" t="str">
        <f>IFERROR(INDEX(vdata_regressors!$A$1:$L$2000,MATCH($A960,vdata_regressors!$A$2:$A$2000,0)+1,MATCH(H$2,vdata_regressors!$A$1:$R$1,0)),"")</f>
        <v/>
      </c>
      <c r="I960" s="23" t="str">
        <f>IFERROR(INDEX(vdata_regressors!$A$1:$L$2000,MATCH($A960,vdata_regressors!$A$2:$A$2000,0)+1,MATCH(I$2,vdata_regressors!$A$1:$R$1,0)),"")</f>
        <v/>
      </c>
      <c r="J960" s="23" t="str">
        <f>IFERROR(INDEX(vdata_regressors!$A$1:$L$2000,MATCH($A960,vdata_regressors!$A$2:$A$2000,0)+1,MATCH(J$2,vdata_regressors!$A$1:$R$1,0)),"")</f>
        <v/>
      </c>
      <c r="K960" s="23" t="str">
        <f>IFERROR(INDEX(vdata_regressors!$A$1:$L$2000,MATCH($A960,vdata_regressors!$A$2:$A$2000,0)+1,MATCH(K$2,vdata_regressors!$A$1:$R$1,0)),"")</f>
        <v/>
      </c>
      <c r="L960" s="23" t="str">
        <f>IFERROR(INDEX(vdata_regressors!$A$1:$L$2000,MATCH($A960,vdata_regressors!$A$2:$A$2000,0)+1,MATCH(L$2,vdata_regressors!$A$1:$R$1,0)),"")</f>
        <v/>
      </c>
      <c r="M960" s="23" t="str">
        <f>IFERROR(VLOOKUP(A960,vdata_hours!$A$2:$B$1000,2,FALSE),"")</f>
        <v/>
      </c>
    </row>
    <row r="961" spans="1:13" x14ac:dyDescent="0.25">
      <c r="A961" s="23" t="str">
        <f>IF(vdata_hours!A960=0,"",vdata_hours!A960)</f>
        <v/>
      </c>
      <c r="B961" s="23" t="str">
        <f>IFERROR(INDEX(vdata_regressors!$A$1:$L$2000,MATCH($A961,vdata_regressors!$A$2:$A$2000,0)+1,MATCH(B$2,vdata_regressors!$A$1:$R$1,0)),"")</f>
        <v/>
      </c>
      <c r="C961" s="23" t="str">
        <f>IFERROR(INDEX(vdata_regressors!$A$1:$L$2000,MATCH($A961,vdata_regressors!$A$2:$A$2000,0)+1,MATCH(C$2,vdata_regressors!$A$1:$R$1,0)),"")</f>
        <v/>
      </c>
      <c r="D961" s="23" t="str">
        <f>IFERROR(INDEX(vdata_regressors!$A$1:$L$2000,MATCH($A961,vdata_regressors!$A$2:$A$2000,0)+1,MATCH(D$2,vdata_regressors!$A$1:$R$1,0)),"")</f>
        <v/>
      </c>
      <c r="E961" s="23" t="str">
        <f>IFERROR(INDEX(vdata_regressors!$A$1:$L$2000,MATCH($A961,vdata_regressors!$A$2:$A$2000,0)+1,MATCH(E$2,vdata_regressors!$A$1:$R$1,0)),"")</f>
        <v/>
      </c>
      <c r="F961" s="23" t="str">
        <f>IFERROR(INDEX(vdata_regressors!$A$1:$L$2000,MATCH($A961,vdata_regressors!$A$2:$A$2000,0)+1,MATCH(F$2,vdata_regressors!$A$1:$R$1,0)),"")</f>
        <v/>
      </c>
      <c r="G961" s="23" t="str">
        <f>IFERROR(INDEX(vdata_regressors!$A$1:$L$2000,MATCH($A961,vdata_regressors!$A$2:$A$2000,0)+1,MATCH(G$2,vdata_regressors!$A$1:$R$1,0)),"")</f>
        <v/>
      </c>
      <c r="H961" s="23" t="str">
        <f>IFERROR(INDEX(vdata_regressors!$A$1:$L$2000,MATCH($A961,vdata_regressors!$A$2:$A$2000,0)+1,MATCH(H$2,vdata_regressors!$A$1:$R$1,0)),"")</f>
        <v/>
      </c>
      <c r="I961" s="23" t="str">
        <f>IFERROR(INDEX(vdata_regressors!$A$1:$L$2000,MATCH($A961,vdata_regressors!$A$2:$A$2000,0)+1,MATCH(I$2,vdata_regressors!$A$1:$R$1,0)),"")</f>
        <v/>
      </c>
      <c r="J961" s="23" t="str">
        <f>IFERROR(INDEX(vdata_regressors!$A$1:$L$2000,MATCH($A961,vdata_regressors!$A$2:$A$2000,0)+1,MATCH(J$2,vdata_regressors!$A$1:$R$1,0)),"")</f>
        <v/>
      </c>
      <c r="K961" s="23" t="str">
        <f>IFERROR(INDEX(vdata_regressors!$A$1:$L$2000,MATCH($A961,vdata_regressors!$A$2:$A$2000,0)+1,MATCH(K$2,vdata_regressors!$A$1:$R$1,0)),"")</f>
        <v/>
      </c>
      <c r="L961" s="23" t="str">
        <f>IFERROR(INDEX(vdata_regressors!$A$1:$L$2000,MATCH($A961,vdata_regressors!$A$2:$A$2000,0)+1,MATCH(L$2,vdata_regressors!$A$1:$R$1,0)),"")</f>
        <v/>
      </c>
      <c r="M961" s="23" t="str">
        <f>IFERROR(VLOOKUP(A961,vdata_hours!$A$2:$B$1000,2,FALSE),"")</f>
        <v/>
      </c>
    </row>
    <row r="962" spans="1:13" x14ac:dyDescent="0.25">
      <c r="A962" s="23" t="str">
        <f>IF(vdata_hours!A961=0,"",vdata_hours!A961)</f>
        <v/>
      </c>
      <c r="B962" s="23" t="str">
        <f>IFERROR(INDEX(vdata_regressors!$A$1:$L$2000,MATCH($A962,vdata_regressors!$A$2:$A$2000,0)+1,MATCH(B$2,vdata_regressors!$A$1:$R$1,0)),"")</f>
        <v/>
      </c>
      <c r="C962" s="23" t="str">
        <f>IFERROR(INDEX(vdata_regressors!$A$1:$L$2000,MATCH($A962,vdata_regressors!$A$2:$A$2000,0)+1,MATCH(C$2,vdata_regressors!$A$1:$R$1,0)),"")</f>
        <v/>
      </c>
      <c r="D962" s="23" t="str">
        <f>IFERROR(INDEX(vdata_regressors!$A$1:$L$2000,MATCH($A962,vdata_regressors!$A$2:$A$2000,0)+1,MATCH(D$2,vdata_regressors!$A$1:$R$1,0)),"")</f>
        <v/>
      </c>
      <c r="E962" s="23" t="str">
        <f>IFERROR(INDEX(vdata_regressors!$A$1:$L$2000,MATCH($A962,vdata_regressors!$A$2:$A$2000,0)+1,MATCH(E$2,vdata_regressors!$A$1:$R$1,0)),"")</f>
        <v/>
      </c>
      <c r="F962" s="23" t="str">
        <f>IFERROR(INDEX(vdata_regressors!$A$1:$L$2000,MATCH($A962,vdata_regressors!$A$2:$A$2000,0)+1,MATCH(F$2,vdata_regressors!$A$1:$R$1,0)),"")</f>
        <v/>
      </c>
      <c r="G962" s="23" t="str">
        <f>IFERROR(INDEX(vdata_regressors!$A$1:$L$2000,MATCH($A962,vdata_regressors!$A$2:$A$2000,0)+1,MATCH(G$2,vdata_regressors!$A$1:$R$1,0)),"")</f>
        <v/>
      </c>
      <c r="H962" s="23" t="str">
        <f>IFERROR(INDEX(vdata_regressors!$A$1:$L$2000,MATCH($A962,vdata_regressors!$A$2:$A$2000,0)+1,MATCH(H$2,vdata_regressors!$A$1:$R$1,0)),"")</f>
        <v/>
      </c>
      <c r="I962" s="23" t="str">
        <f>IFERROR(INDEX(vdata_regressors!$A$1:$L$2000,MATCH($A962,vdata_regressors!$A$2:$A$2000,0)+1,MATCH(I$2,vdata_regressors!$A$1:$R$1,0)),"")</f>
        <v/>
      </c>
      <c r="J962" s="23" t="str">
        <f>IFERROR(INDEX(vdata_regressors!$A$1:$L$2000,MATCH($A962,vdata_regressors!$A$2:$A$2000,0)+1,MATCH(J$2,vdata_regressors!$A$1:$R$1,0)),"")</f>
        <v/>
      </c>
      <c r="K962" s="23" t="str">
        <f>IFERROR(INDEX(vdata_regressors!$A$1:$L$2000,MATCH($A962,vdata_regressors!$A$2:$A$2000,0)+1,MATCH(K$2,vdata_regressors!$A$1:$R$1,0)),"")</f>
        <v/>
      </c>
      <c r="L962" s="23" t="str">
        <f>IFERROR(INDEX(vdata_regressors!$A$1:$L$2000,MATCH($A962,vdata_regressors!$A$2:$A$2000,0)+1,MATCH(L$2,vdata_regressors!$A$1:$R$1,0)),"")</f>
        <v/>
      </c>
      <c r="M962" s="23" t="str">
        <f>IFERROR(VLOOKUP(A962,vdata_hours!$A$2:$B$1000,2,FALSE),"")</f>
        <v/>
      </c>
    </row>
    <row r="963" spans="1:13" x14ac:dyDescent="0.25">
      <c r="A963" s="23" t="str">
        <f>IF(vdata_hours!A962=0,"",vdata_hours!A962)</f>
        <v/>
      </c>
      <c r="B963" s="23" t="str">
        <f>IFERROR(INDEX(vdata_regressors!$A$1:$L$2000,MATCH($A963,vdata_regressors!$A$2:$A$2000,0)+1,MATCH(B$2,vdata_regressors!$A$1:$R$1,0)),"")</f>
        <v/>
      </c>
      <c r="C963" s="23" t="str">
        <f>IFERROR(INDEX(vdata_regressors!$A$1:$L$2000,MATCH($A963,vdata_regressors!$A$2:$A$2000,0)+1,MATCH(C$2,vdata_regressors!$A$1:$R$1,0)),"")</f>
        <v/>
      </c>
      <c r="D963" s="23" t="str">
        <f>IFERROR(INDEX(vdata_regressors!$A$1:$L$2000,MATCH($A963,vdata_regressors!$A$2:$A$2000,0)+1,MATCH(D$2,vdata_regressors!$A$1:$R$1,0)),"")</f>
        <v/>
      </c>
      <c r="E963" s="23" t="str">
        <f>IFERROR(INDEX(vdata_regressors!$A$1:$L$2000,MATCH($A963,vdata_regressors!$A$2:$A$2000,0)+1,MATCH(E$2,vdata_regressors!$A$1:$R$1,0)),"")</f>
        <v/>
      </c>
      <c r="F963" s="23" t="str">
        <f>IFERROR(INDEX(vdata_regressors!$A$1:$L$2000,MATCH($A963,vdata_regressors!$A$2:$A$2000,0)+1,MATCH(F$2,vdata_regressors!$A$1:$R$1,0)),"")</f>
        <v/>
      </c>
      <c r="G963" s="23" t="str">
        <f>IFERROR(INDEX(vdata_regressors!$A$1:$L$2000,MATCH($A963,vdata_regressors!$A$2:$A$2000,0)+1,MATCH(G$2,vdata_regressors!$A$1:$R$1,0)),"")</f>
        <v/>
      </c>
      <c r="H963" s="23" t="str">
        <f>IFERROR(INDEX(vdata_regressors!$A$1:$L$2000,MATCH($A963,vdata_regressors!$A$2:$A$2000,0)+1,MATCH(H$2,vdata_regressors!$A$1:$R$1,0)),"")</f>
        <v/>
      </c>
      <c r="I963" s="23" t="str">
        <f>IFERROR(INDEX(vdata_regressors!$A$1:$L$2000,MATCH($A963,vdata_regressors!$A$2:$A$2000,0)+1,MATCH(I$2,vdata_regressors!$A$1:$R$1,0)),"")</f>
        <v/>
      </c>
      <c r="J963" s="23" t="str">
        <f>IFERROR(INDEX(vdata_regressors!$A$1:$L$2000,MATCH($A963,vdata_regressors!$A$2:$A$2000,0)+1,MATCH(J$2,vdata_regressors!$A$1:$R$1,0)),"")</f>
        <v/>
      </c>
      <c r="K963" s="23" t="str">
        <f>IFERROR(INDEX(vdata_regressors!$A$1:$L$2000,MATCH($A963,vdata_regressors!$A$2:$A$2000,0)+1,MATCH(K$2,vdata_regressors!$A$1:$R$1,0)),"")</f>
        <v/>
      </c>
      <c r="L963" s="23" t="str">
        <f>IFERROR(INDEX(vdata_regressors!$A$1:$L$2000,MATCH($A963,vdata_regressors!$A$2:$A$2000,0)+1,MATCH(L$2,vdata_regressors!$A$1:$R$1,0)),"")</f>
        <v/>
      </c>
      <c r="M963" s="23" t="str">
        <f>IFERROR(VLOOKUP(A963,vdata_hours!$A$2:$B$1000,2,FALSE),"")</f>
        <v/>
      </c>
    </row>
    <row r="964" spans="1:13" x14ac:dyDescent="0.25">
      <c r="A964" s="23" t="str">
        <f>IF(vdata_hours!A963=0,"",vdata_hours!A963)</f>
        <v/>
      </c>
      <c r="B964" s="23" t="str">
        <f>IFERROR(INDEX(vdata_regressors!$A$1:$L$2000,MATCH($A964,vdata_regressors!$A$2:$A$2000,0)+1,MATCH(B$2,vdata_regressors!$A$1:$R$1,0)),"")</f>
        <v/>
      </c>
      <c r="C964" s="23" t="str">
        <f>IFERROR(INDEX(vdata_regressors!$A$1:$L$2000,MATCH($A964,vdata_regressors!$A$2:$A$2000,0)+1,MATCH(C$2,vdata_regressors!$A$1:$R$1,0)),"")</f>
        <v/>
      </c>
      <c r="D964" s="23" t="str">
        <f>IFERROR(INDEX(vdata_regressors!$A$1:$L$2000,MATCH($A964,vdata_regressors!$A$2:$A$2000,0)+1,MATCH(D$2,vdata_regressors!$A$1:$R$1,0)),"")</f>
        <v/>
      </c>
      <c r="E964" s="23" t="str">
        <f>IFERROR(INDEX(vdata_regressors!$A$1:$L$2000,MATCH($A964,vdata_regressors!$A$2:$A$2000,0)+1,MATCH(E$2,vdata_regressors!$A$1:$R$1,0)),"")</f>
        <v/>
      </c>
      <c r="F964" s="23" t="str">
        <f>IFERROR(INDEX(vdata_regressors!$A$1:$L$2000,MATCH($A964,vdata_regressors!$A$2:$A$2000,0)+1,MATCH(F$2,vdata_regressors!$A$1:$R$1,0)),"")</f>
        <v/>
      </c>
      <c r="G964" s="23" t="str">
        <f>IFERROR(INDEX(vdata_regressors!$A$1:$L$2000,MATCH($A964,vdata_regressors!$A$2:$A$2000,0)+1,MATCH(G$2,vdata_regressors!$A$1:$R$1,0)),"")</f>
        <v/>
      </c>
      <c r="H964" s="23" t="str">
        <f>IFERROR(INDEX(vdata_regressors!$A$1:$L$2000,MATCH($A964,vdata_regressors!$A$2:$A$2000,0)+1,MATCH(H$2,vdata_regressors!$A$1:$R$1,0)),"")</f>
        <v/>
      </c>
      <c r="I964" s="23" t="str">
        <f>IFERROR(INDEX(vdata_regressors!$A$1:$L$2000,MATCH($A964,vdata_regressors!$A$2:$A$2000,0)+1,MATCH(I$2,vdata_regressors!$A$1:$R$1,0)),"")</f>
        <v/>
      </c>
      <c r="J964" s="23" t="str">
        <f>IFERROR(INDEX(vdata_regressors!$A$1:$L$2000,MATCH($A964,vdata_regressors!$A$2:$A$2000,0)+1,MATCH(J$2,vdata_regressors!$A$1:$R$1,0)),"")</f>
        <v/>
      </c>
      <c r="K964" s="23" t="str">
        <f>IFERROR(INDEX(vdata_regressors!$A$1:$L$2000,MATCH($A964,vdata_regressors!$A$2:$A$2000,0)+1,MATCH(K$2,vdata_regressors!$A$1:$R$1,0)),"")</f>
        <v/>
      </c>
      <c r="L964" s="23" t="str">
        <f>IFERROR(INDEX(vdata_regressors!$A$1:$L$2000,MATCH($A964,vdata_regressors!$A$2:$A$2000,0)+1,MATCH(L$2,vdata_regressors!$A$1:$R$1,0)),"")</f>
        <v/>
      </c>
      <c r="M964" s="23" t="str">
        <f>IFERROR(VLOOKUP(A964,vdata_hours!$A$2:$B$1000,2,FALSE),"")</f>
        <v/>
      </c>
    </row>
    <row r="965" spans="1:13" x14ac:dyDescent="0.25">
      <c r="A965" s="23" t="str">
        <f>IF(vdata_hours!A964=0,"",vdata_hours!A964)</f>
        <v/>
      </c>
      <c r="B965" s="23" t="str">
        <f>IFERROR(INDEX(vdata_regressors!$A$1:$L$2000,MATCH($A965,vdata_regressors!$A$2:$A$2000,0)+1,MATCH(B$2,vdata_regressors!$A$1:$R$1,0)),"")</f>
        <v/>
      </c>
      <c r="C965" s="23" t="str">
        <f>IFERROR(INDEX(vdata_regressors!$A$1:$L$2000,MATCH($A965,vdata_regressors!$A$2:$A$2000,0)+1,MATCH(C$2,vdata_regressors!$A$1:$R$1,0)),"")</f>
        <v/>
      </c>
      <c r="D965" s="23" t="str">
        <f>IFERROR(INDEX(vdata_regressors!$A$1:$L$2000,MATCH($A965,vdata_regressors!$A$2:$A$2000,0)+1,MATCH(D$2,vdata_regressors!$A$1:$R$1,0)),"")</f>
        <v/>
      </c>
      <c r="E965" s="23" t="str">
        <f>IFERROR(INDEX(vdata_regressors!$A$1:$L$2000,MATCH($A965,vdata_regressors!$A$2:$A$2000,0)+1,MATCH(E$2,vdata_regressors!$A$1:$R$1,0)),"")</f>
        <v/>
      </c>
      <c r="F965" s="23" t="str">
        <f>IFERROR(INDEX(vdata_regressors!$A$1:$L$2000,MATCH($A965,vdata_regressors!$A$2:$A$2000,0)+1,MATCH(F$2,vdata_regressors!$A$1:$R$1,0)),"")</f>
        <v/>
      </c>
      <c r="G965" s="23" t="str">
        <f>IFERROR(INDEX(vdata_regressors!$A$1:$L$2000,MATCH($A965,vdata_regressors!$A$2:$A$2000,0)+1,MATCH(G$2,vdata_regressors!$A$1:$R$1,0)),"")</f>
        <v/>
      </c>
      <c r="H965" s="23" t="str">
        <f>IFERROR(INDEX(vdata_regressors!$A$1:$L$2000,MATCH($A965,vdata_regressors!$A$2:$A$2000,0)+1,MATCH(H$2,vdata_regressors!$A$1:$R$1,0)),"")</f>
        <v/>
      </c>
      <c r="I965" s="23" t="str">
        <f>IFERROR(INDEX(vdata_regressors!$A$1:$L$2000,MATCH($A965,vdata_regressors!$A$2:$A$2000,0)+1,MATCH(I$2,vdata_regressors!$A$1:$R$1,0)),"")</f>
        <v/>
      </c>
      <c r="J965" s="23" t="str">
        <f>IFERROR(INDEX(vdata_regressors!$A$1:$L$2000,MATCH($A965,vdata_regressors!$A$2:$A$2000,0)+1,MATCH(J$2,vdata_regressors!$A$1:$R$1,0)),"")</f>
        <v/>
      </c>
      <c r="K965" s="23" t="str">
        <f>IFERROR(INDEX(vdata_regressors!$A$1:$L$2000,MATCH($A965,vdata_regressors!$A$2:$A$2000,0)+1,MATCH(K$2,vdata_regressors!$A$1:$R$1,0)),"")</f>
        <v/>
      </c>
      <c r="L965" s="23" t="str">
        <f>IFERROR(INDEX(vdata_regressors!$A$1:$L$2000,MATCH($A965,vdata_regressors!$A$2:$A$2000,0)+1,MATCH(L$2,vdata_regressors!$A$1:$R$1,0)),"")</f>
        <v/>
      </c>
      <c r="M965" s="23" t="str">
        <f>IFERROR(VLOOKUP(A965,vdata_hours!$A$2:$B$1000,2,FALSE),"")</f>
        <v/>
      </c>
    </row>
    <row r="966" spans="1:13" x14ac:dyDescent="0.25">
      <c r="A966" s="23" t="str">
        <f>IF(vdata_hours!A965=0,"",vdata_hours!A965)</f>
        <v/>
      </c>
      <c r="B966" s="23" t="str">
        <f>IFERROR(INDEX(vdata_regressors!$A$1:$L$2000,MATCH($A966,vdata_regressors!$A$2:$A$2000,0)+1,MATCH(B$2,vdata_regressors!$A$1:$R$1,0)),"")</f>
        <v/>
      </c>
      <c r="C966" s="23" t="str">
        <f>IFERROR(INDEX(vdata_regressors!$A$1:$L$2000,MATCH($A966,vdata_regressors!$A$2:$A$2000,0)+1,MATCH(C$2,vdata_regressors!$A$1:$R$1,0)),"")</f>
        <v/>
      </c>
      <c r="D966" s="23" t="str">
        <f>IFERROR(INDEX(vdata_regressors!$A$1:$L$2000,MATCH($A966,vdata_regressors!$A$2:$A$2000,0)+1,MATCH(D$2,vdata_regressors!$A$1:$R$1,0)),"")</f>
        <v/>
      </c>
      <c r="E966" s="23" t="str">
        <f>IFERROR(INDEX(vdata_regressors!$A$1:$L$2000,MATCH($A966,vdata_regressors!$A$2:$A$2000,0)+1,MATCH(E$2,vdata_regressors!$A$1:$R$1,0)),"")</f>
        <v/>
      </c>
      <c r="F966" s="23" t="str">
        <f>IFERROR(INDEX(vdata_regressors!$A$1:$L$2000,MATCH($A966,vdata_regressors!$A$2:$A$2000,0)+1,MATCH(F$2,vdata_regressors!$A$1:$R$1,0)),"")</f>
        <v/>
      </c>
      <c r="G966" s="23" t="str">
        <f>IFERROR(INDEX(vdata_regressors!$A$1:$L$2000,MATCH($A966,vdata_regressors!$A$2:$A$2000,0)+1,MATCH(G$2,vdata_regressors!$A$1:$R$1,0)),"")</f>
        <v/>
      </c>
      <c r="H966" s="23" t="str">
        <f>IFERROR(INDEX(vdata_regressors!$A$1:$L$2000,MATCH($A966,vdata_regressors!$A$2:$A$2000,0)+1,MATCH(H$2,vdata_regressors!$A$1:$R$1,0)),"")</f>
        <v/>
      </c>
      <c r="I966" s="23" t="str">
        <f>IFERROR(INDEX(vdata_regressors!$A$1:$L$2000,MATCH($A966,vdata_regressors!$A$2:$A$2000,0)+1,MATCH(I$2,vdata_regressors!$A$1:$R$1,0)),"")</f>
        <v/>
      </c>
      <c r="J966" s="23" t="str">
        <f>IFERROR(INDEX(vdata_regressors!$A$1:$L$2000,MATCH($A966,vdata_regressors!$A$2:$A$2000,0)+1,MATCH(J$2,vdata_regressors!$A$1:$R$1,0)),"")</f>
        <v/>
      </c>
      <c r="K966" s="23" t="str">
        <f>IFERROR(INDEX(vdata_regressors!$A$1:$L$2000,MATCH($A966,vdata_regressors!$A$2:$A$2000,0)+1,MATCH(K$2,vdata_regressors!$A$1:$R$1,0)),"")</f>
        <v/>
      </c>
      <c r="L966" s="23" t="str">
        <f>IFERROR(INDEX(vdata_regressors!$A$1:$L$2000,MATCH($A966,vdata_regressors!$A$2:$A$2000,0)+1,MATCH(L$2,vdata_regressors!$A$1:$R$1,0)),"")</f>
        <v/>
      </c>
      <c r="M966" s="23" t="str">
        <f>IFERROR(VLOOKUP(A966,vdata_hours!$A$2:$B$1000,2,FALSE),"")</f>
        <v/>
      </c>
    </row>
    <row r="967" spans="1:13" x14ac:dyDescent="0.25">
      <c r="A967" s="23" t="str">
        <f>IF(vdata_hours!A966=0,"",vdata_hours!A966)</f>
        <v/>
      </c>
      <c r="B967" s="23" t="str">
        <f>IFERROR(INDEX(vdata_regressors!$A$1:$L$2000,MATCH($A967,vdata_regressors!$A$2:$A$2000,0)+1,MATCH(B$2,vdata_regressors!$A$1:$R$1,0)),"")</f>
        <v/>
      </c>
      <c r="C967" s="23" t="str">
        <f>IFERROR(INDEX(vdata_regressors!$A$1:$L$2000,MATCH($A967,vdata_regressors!$A$2:$A$2000,0)+1,MATCH(C$2,vdata_regressors!$A$1:$R$1,0)),"")</f>
        <v/>
      </c>
      <c r="D967" s="23" t="str">
        <f>IFERROR(INDEX(vdata_regressors!$A$1:$L$2000,MATCH($A967,vdata_regressors!$A$2:$A$2000,0)+1,MATCH(D$2,vdata_regressors!$A$1:$R$1,0)),"")</f>
        <v/>
      </c>
      <c r="E967" s="23" t="str">
        <f>IFERROR(INDEX(vdata_regressors!$A$1:$L$2000,MATCH($A967,vdata_regressors!$A$2:$A$2000,0)+1,MATCH(E$2,vdata_regressors!$A$1:$R$1,0)),"")</f>
        <v/>
      </c>
      <c r="F967" s="23" t="str">
        <f>IFERROR(INDEX(vdata_regressors!$A$1:$L$2000,MATCH($A967,vdata_regressors!$A$2:$A$2000,0)+1,MATCH(F$2,vdata_regressors!$A$1:$R$1,0)),"")</f>
        <v/>
      </c>
      <c r="G967" s="23" t="str">
        <f>IFERROR(INDEX(vdata_regressors!$A$1:$L$2000,MATCH($A967,vdata_regressors!$A$2:$A$2000,0)+1,MATCH(G$2,vdata_regressors!$A$1:$R$1,0)),"")</f>
        <v/>
      </c>
      <c r="H967" s="23" t="str">
        <f>IFERROR(INDEX(vdata_regressors!$A$1:$L$2000,MATCH($A967,vdata_regressors!$A$2:$A$2000,0)+1,MATCH(H$2,vdata_regressors!$A$1:$R$1,0)),"")</f>
        <v/>
      </c>
      <c r="I967" s="23" t="str">
        <f>IFERROR(INDEX(vdata_regressors!$A$1:$L$2000,MATCH($A967,vdata_regressors!$A$2:$A$2000,0)+1,MATCH(I$2,vdata_regressors!$A$1:$R$1,0)),"")</f>
        <v/>
      </c>
      <c r="J967" s="23" t="str">
        <f>IFERROR(INDEX(vdata_regressors!$A$1:$L$2000,MATCH($A967,vdata_regressors!$A$2:$A$2000,0)+1,MATCH(J$2,vdata_regressors!$A$1:$R$1,0)),"")</f>
        <v/>
      </c>
      <c r="K967" s="23" t="str">
        <f>IFERROR(INDEX(vdata_regressors!$A$1:$L$2000,MATCH($A967,vdata_regressors!$A$2:$A$2000,0)+1,MATCH(K$2,vdata_regressors!$A$1:$R$1,0)),"")</f>
        <v/>
      </c>
      <c r="L967" s="23" t="str">
        <f>IFERROR(INDEX(vdata_regressors!$A$1:$L$2000,MATCH($A967,vdata_regressors!$A$2:$A$2000,0)+1,MATCH(L$2,vdata_regressors!$A$1:$R$1,0)),"")</f>
        <v/>
      </c>
      <c r="M967" s="23" t="str">
        <f>IFERROR(VLOOKUP(A967,vdata_hours!$A$2:$B$1000,2,FALSE),"")</f>
        <v/>
      </c>
    </row>
    <row r="968" spans="1:13" x14ac:dyDescent="0.25">
      <c r="A968" s="23" t="str">
        <f>IF(vdata_hours!A967=0,"",vdata_hours!A967)</f>
        <v/>
      </c>
      <c r="B968" s="23" t="str">
        <f>IFERROR(INDEX(vdata_regressors!$A$1:$L$2000,MATCH($A968,vdata_regressors!$A$2:$A$2000,0)+1,MATCH(B$2,vdata_regressors!$A$1:$R$1,0)),"")</f>
        <v/>
      </c>
      <c r="C968" s="23" t="str">
        <f>IFERROR(INDEX(vdata_regressors!$A$1:$L$2000,MATCH($A968,vdata_regressors!$A$2:$A$2000,0)+1,MATCH(C$2,vdata_regressors!$A$1:$R$1,0)),"")</f>
        <v/>
      </c>
      <c r="D968" s="23" t="str">
        <f>IFERROR(INDEX(vdata_regressors!$A$1:$L$2000,MATCH($A968,vdata_regressors!$A$2:$A$2000,0)+1,MATCH(D$2,vdata_regressors!$A$1:$R$1,0)),"")</f>
        <v/>
      </c>
      <c r="E968" s="23" t="str">
        <f>IFERROR(INDEX(vdata_regressors!$A$1:$L$2000,MATCH($A968,vdata_regressors!$A$2:$A$2000,0)+1,MATCH(E$2,vdata_regressors!$A$1:$R$1,0)),"")</f>
        <v/>
      </c>
      <c r="F968" s="23" t="str">
        <f>IFERROR(INDEX(vdata_regressors!$A$1:$L$2000,MATCH($A968,vdata_regressors!$A$2:$A$2000,0)+1,MATCH(F$2,vdata_regressors!$A$1:$R$1,0)),"")</f>
        <v/>
      </c>
      <c r="G968" s="23" t="str">
        <f>IFERROR(INDEX(vdata_regressors!$A$1:$L$2000,MATCH($A968,vdata_regressors!$A$2:$A$2000,0)+1,MATCH(G$2,vdata_regressors!$A$1:$R$1,0)),"")</f>
        <v/>
      </c>
      <c r="H968" s="23" t="str">
        <f>IFERROR(INDEX(vdata_regressors!$A$1:$L$2000,MATCH($A968,vdata_regressors!$A$2:$A$2000,0)+1,MATCH(H$2,vdata_regressors!$A$1:$R$1,0)),"")</f>
        <v/>
      </c>
      <c r="I968" s="23" t="str">
        <f>IFERROR(INDEX(vdata_regressors!$A$1:$L$2000,MATCH($A968,vdata_regressors!$A$2:$A$2000,0)+1,MATCH(I$2,vdata_regressors!$A$1:$R$1,0)),"")</f>
        <v/>
      </c>
      <c r="J968" s="23" t="str">
        <f>IFERROR(INDEX(vdata_regressors!$A$1:$L$2000,MATCH($A968,vdata_regressors!$A$2:$A$2000,0)+1,MATCH(J$2,vdata_regressors!$A$1:$R$1,0)),"")</f>
        <v/>
      </c>
      <c r="K968" s="23" t="str">
        <f>IFERROR(INDEX(vdata_regressors!$A$1:$L$2000,MATCH($A968,vdata_regressors!$A$2:$A$2000,0)+1,MATCH(K$2,vdata_regressors!$A$1:$R$1,0)),"")</f>
        <v/>
      </c>
      <c r="L968" s="23" t="str">
        <f>IFERROR(INDEX(vdata_regressors!$A$1:$L$2000,MATCH($A968,vdata_regressors!$A$2:$A$2000,0)+1,MATCH(L$2,vdata_regressors!$A$1:$R$1,0)),"")</f>
        <v/>
      </c>
      <c r="M968" s="23" t="str">
        <f>IFERROR(VLOOKUP(A968,vdata_hours!$A$2:$B$1000,2,FALSE),"")</f>
        <v/>
      </c>
    </row>
    <row r="969" spans="1:13" x14ac:dyDescent="0.25">
      <c r="A969" s="23" t="str">
        <f>IF(vdata_hours!A968=0,"",vdata_hours!A968)</f>
        <v/>
      </c>
      <c r="B969" s="23" t="str">
        <f>IFERROR(INDEX(vdata_regressors!$A$1:$L$2000,MATCH($A969,vdata_regressors!$A$2:$A$2000,0)+1,MATCH(B$2,vdata_regressors!$A$1:$R$1,0)),"")</f>
        <v/>
      </c>
      <c r="C969" s="23" t="str">
        <f>IFERROR(INDEX(vdata_regressors!$A$1:$L$2000,MATCH($A969,vdata_regressors!$A$2:$A$2000,0)+1,MATCH(C$2,vdata_regressors!$A$1:$R$1,0)),"")</f>
        <v/>
      </c>
      <c r="D969" s="23" t="str">
        <f>IFERROR(INDEX(vdata_regressors!$A$1:$L$2000,MATCH($A969,vdata_regressors!$A$2:$A$2000,0)+1,MATCH(D$2,vdata_regressors!$A$1:$R$1,0)),"")</f>
        <v/>
      </c>
      <c r="E969" s="23" t="str">
        <f>IFERROR(INDEX(vdata_regressors!$A$1:$L$2000,MATCH($A969,vdata_regressors!$A$2:$A$2000,0)+1,MATCH(E$2,vdata_regressors!$A$1:$R$1,0)),"")</f>
        <v/>
      </c>
      <c r="F969" s="23" t="str">
        <f>IFERROR(INDEX(vdata_regressors!$A$1:$L$2000,MATCH($A969,vdata_regressors!$A$2:$A$2000,0)+1,MATCH(F$2,vdata_regressors!$A$1:$R$1,0)),"")</f>
        <v/>
      </c>
      <c r="G969" s="23" t="str">
        <f>IFERROR(INDEX(vdata_regressors!$A$1:$L$2000,MATCH($A969,vdata_regressors!$A$2:$A$2000,0)+1,MATCH(G$2,vdata_regressors!$A$1:$R$1,0)),"")</f>
        <v/>
      </c>
      <c r="H969" s="23" t="str">
        <f>IFERROR(INDEX(vdata_regressors!$A$1:$L$2000,MATCH($A969,vdata_regressors!$A$2:$A$2000,0)+1,MATCH(H$2,vdata_regressors!$A$1:$R$1,0)),"")</f>
        <v/>
      </c>
      <c r="I969" s="23" t="str">
        <f>IFERROR(INDEX(vdata_regressors!$A$1:$L$2000,MATCH($A969,vdata_regressors!$A$2:$A$2000,0)+1,MATCH(I$2,vdata_regressors!$A$1:$R$1,0)),"")</f>
        <v/>
      </c>
      <c r="J969" s="23" t="str">
        <f>IFERROR(INDEX(vdata_regressors!$A$1:$L$2000,MATCH($A969,vdata_regressors!$A$2:$A$2000,0)+1,MATCH(J$2,vdata_regressors!$A$1:$R$1,0)),"")</f>
        <v/>
      </c>
      <c r="K969" s="23" t="str">
        <f>IFERROR(INDEX(vdata_regressors!$A$1:$L$2000,MATCH($A969,vdata_regressors!$A$2:$A$2000,0)+1,MATCH(K$2,vdata_regressors!$A$1:$R$1,0)),"")</f>
        <v/>
      </c>
      <c r="L969" s="23" t="str">
        <f>IFERROR(INDEX(vdata_regressors!$A$1:$L$2000,MATCH($A969,vdata_regressors!$A$2:$A$2000,0)+1,MATCH(L$2,vdata_regressors!$A$1:$R$1,0)),"")</f>
        <v/>
      </c>
      <c r="M969" s="23" t="str">
        <f>IFERROR(VLOOKUP(A969,vdata_hours!$A$2:$B$1000,2,FALSE),"")</f>
        <v/>
      </c>
    </row>
    <row r="970" spans="1:13" x14ac:dyDescent="0.25">
      <c r="A970" s="23" t="str">
        <f>IF(vdata_hours!A969=0,"",vdata_hours!A969)</f>
        <v/>
      </c>
      <c r="B970" s="23" t="str">
        <f>IFERROR(INDEX(vdata_regressors!$A$1:$L$2000,MATCH($A970,vdata_regressors!$A$2:$A$2000,0)+1,MATCH(B$2,vdata_regressors!$A$1:$R$1,0)),"")</f>
        <v/>
      </c>
      <c r="C970" s="23" t="str">
        <f>IFERROR(INDEX(vdata_regressors!$A$1:$L$2000,MATCH($A970,vdata_regressors!$A$2:$A$2000,0)+1,MATCH(C$2,vdata_regressors!$A$1:$R$1,0)),"")</f>
        <v/>
      </c>
      <c r="D970" s="23" t="str">
        <f>IFERROR(INDEX(vdata_regressors!$A$1:$L$2000,MATCH($A970,vdata_regressors!$A$2:$A$2000,0)+1,MATCH(D$2,vdata_regressors!$A$1:$R$1,0)),"")</f>
        <v/>
      </c>
      <c r="E970" s="23" t="str">
        <f>IFERROR(INDEX(vdata_regressors!$A$1:$L$2000,MATCH($A970,vdata_regressors!$A$2:$A$2000,0)+1,MATCH(E$2,vdata_regressors!$A$1:$R$1,0)),"")</f>
        <v/>
      </c>
      <c r="F970" s="23" t="str">
        <f>IFERROR(INDEX(vdata_regressors!$A$1:$L$2000,MATCH($A970,vdata_regressors!$A$2:$A$2000,0)+1,MATCH(F$2,vdata_regressors!$A$1:$R$1,0)),"")</f>
        <v/>
      </c>
      <c r="G970" s="23" t="str">
        <f>IFERROR(INDEX(vdata_regressors!$A$1:$L$2000,MATCH($A970,vdata_regressors!$A$2:$A$2000,0)+1,MATCH(G$2,vdata_regressors!$A$1:$R$1,0)),"")</f>
        <v/>
      </c>
      <c r="H970" s="23" t="str">
        <f>IFERROR(INDEX(vdata_regressors!$A$1:$L$2000,MATCH($A970,vdata_regressors!$A$2:$A$2000,0)+1,MATCH(H$2,vdata_regressors!$A$1:$R$1,0)),"")</f>
        <v/>
      </c>
      <c r="I970" s="23" t="str">
        <f>IFERROR(INDEX(vdata_regressors!$A$1:$L$2000,MATCH($A970,vdata_regressors!$A$2:$A$2000,0)+1,MATCH(I$2,vdata_regressors!$A$1:$R$1,0)),"")</f>
        <v/>
      </c>
      <c r="J970" s="23" t="str">
        <f>IFERROR(INDEX(vdata_regressors!$A$1:$L$2000,MATCH($A970,vdata_regressors!$A$2:$A$2000,0)+1,MATCH(J$2,vdata_regressors!$A$1:$R$1,0)),"")</f>
        <v/>
      </c>
      <c r="K970" s="23" t="str">
        <f>IFERROR(INDEX(vdata_regressors!$A$1:$L$2000,MATCH($A970,vdata_regressors!$A$2:$A$2000,0)+1,MATCH(K$2,vdata_regressors!$A$1:$R$1,0)),"")</f>
        <v/>
      </c>
      <c r="L970" s="23" t="str">
        <f>IFERROR(INDEX(vdata_regressors!$A$1:$L$2000,MATCH($A970,vdata_regressors!$A$2:$A$2000,0)+1,MATCH(L$2,vdata_regressors!$A$1:$R$1,0)),"")</f>
        <v/>
      </c>
      <c r="M970" s="23" t="str">
        <f>IFERROR(VLOOKUP(A970,vdata_hours!$A$2:$B$1000,2,FALSE),"")</f>
        <v/>
      </c>
    </row>
    <row r="971" spans="1:13" x14ac:dyDescent="0.25">
      <c r="A971" s="23" t="str">
        <f>IF(vdata_hours!A970=0,"",vdata_hours!A970)</f>
        <v/>
      </c>
      <c r="B971" s="23" t="str">
        <f>IFERROR(INDEX(vdata_regressors!$A$1:$L$2000,MATCH($A971,vdata_regressors!$A$2:$A$2000,0)+1,MATCH(B$2,vdata_regressors!$A$1:$R$1,0)),"")</f>
        <v/>
      </c>
      <c r="C971" s="23" t="str">
        <f>IFERROR(INDEX(vdata_regressors!$A$1:$L$2000,MATCH($A971,vdata_regressors!$A$2:$A$2000,0)+1,MATCH(C$2,vdata_regressors!$A$1:$R$1,0)),"")</f>
        <v/>
      </c>
      <c r="D971" s="23" t="str">
        <f>IFERROR(INDEX(vdata_regressors!$A$1:$L$2000,MATCH($A971,vdata_regressors!$A$2:$A$2000,0)+1,MATCH(D$2,vdata_regressors!$A$1:$R$1,0)),"")</f>
        <v/>
      </c>
      <c r="E971" s="23" t="str">
        <f>IFERROR(INDEX(vdata_regressors!$A$1:$L$2000,MATCH($A971,vdata_regressors!$A$2:$A$2000,0)+1,MATCH(E$2,vdata_regressors!$A$1:$R$1,0)),"")</f>
        <v/>
      </c>
      <c r="F971" s="23" t="str">
        <f>IFERROR(INDEX(vdata_regressors!$A$1:$L$2000,MATCH($A971,vdata_regressors!$A$2:$A$2000,0)+1,MATCH(F$2,vdata_regressors!$A$1:$R$1,0)),"")</f>
        <v/>
      </c>
      <c r="G971" s="23" t="str">
        <f>IFERROR(INDEX(vdata_regressors!$A$1:$L$2000,MATCH($A971,vdata_regressors!$A$2:$A$2000,0)+1,MATCH(G$2,vdata_regressors!$A$1:$R$1,0)),"")</f>
        <v/>
      </c>
      <c r="H971" s="23" t="str">
        <f>IFERROR(INDEX(vdata_regressors!$A$1:$L$2000,MATCH($A971,vdata_regressors!$A$2:$A$2000,0)+1,MATCH(H$2,vdata_regressors!$A$1:$R$1,0)),"")</f>
        <v/>
      </c>
      <c r="I971" s="23" t="str">
        <f>IFERROR(INDEX(vdata_regressors!$A$1:$L$2000,MATCH($A971,vdata_regressors!$A$2:$A$2000,0)+1,MATCH(I$2,vdata_regressors!$A$1:$R$1,0)),"")</f>
        <v/>
      </c>
      <c r="J971" s="23" t="str">
        <f>IFERROR(INDEX(vdata_regressors!$A$1:$L$2000,MATCH($A971,vdata_regressors!$A$2:$A$2000,0)+1,MATCH(J$2,vdata_regressors!$A$1:$R$1,0)),"")</f>
        <v/>
      </c>
      <c r="K971" s="23" t="str">
        <f>IFERROR(INDEX(vdata_regressors!$A$1:$L$2000,MATCH($A971,vdata_regressors!$A$2:$A$2000,0)+1,MATCH(K$2,vdata_regressors!$A$1:$R$1,0)),"")</f>
        <v/>
      </c>
      <c r="L971" s="23" t="str">
        <f>IFERROR(INDEX(vdata_regressors!$A$1:$L$2000,MATCH($A971,vdata_regressors!$A$2:$A$2000,0)+1,MATCH(L$2,vdata_regressors!$A$1:$R$1,0)),"")</f>
        <v/>
      </c>
      <c r="M971" s="23" t="str">
        <f>IFERROR(VLOOKUP(A971,vdata_hours!$A$2:$B$1000,2,FALSE),"")</f>
        <v/>
      </c>
    </row>
    <row r="972" spans="1:13" x14ac:dyDescent="0.25">
      <c r="A972" s="23" t="str">
        <f>IF(vdata_hours!A971=0,"",vdata_hours!A971)</f>
        <v/>
      </c>
      <c r="B972" s="23" t="str">
        <f>IFERROR(INDEX(vdata_regressors!$A$1:$L$2000,MATCH($A972,vdata_regressors!$A$2:$A$2000,0)+1,MATCH(B$2,vdata_regressors!$A$1:$R$1,0)),"")</f>
        <v/>
      </c>
      <c r="C972" s="23" t="str">
        <f>IFERROR(INDEX(vdata_regressors!$A$1:$L$2000,MATCH($A972,vdata_regressors!$A$2:$A$2000,0)+1,MATCH(C$2,vdata_regressors!$A$1:$R$1,0)),"")</f>
        <v/>
      </c>
      <c r="D972" s="23" t="str">
        <f>IFERROR(INDEX(vdata_regressors!$A$1:$L$2000,MATCH($A972,vdata_regressors!$A$2:$A$2000,0)+1,MATCH(D$2,vdata_regressors!$A$1:$R$1,0)),"")</f>
        <v/>
      </c>
      <c r="E972" s="23" t="str">
        <f>IFERROR(INDEX(vdata_regressors!$A$1:$L$2000,MATCH($A972,vdata_regressors!$A$2:$A$2000,0)+1,MATCH(E$2,vdata_regressors!$A$1:$R$1,0)),"")</f>
        <v/>
      </c>
      <c r="F972" s="23" t="str">
        <f>IFERROR(INDEX(vdata_regressors!$A$1:$L$2000,MATCH($A972,vdata_regressors!$A$2:$A$2000,0)+1,MATCH(F$2,vdata_regressors!$A$1:$R$1,0)),"")</f>
        <v/>
      </c>
      <c r="G972" s="23" t="str">
        <f>IFERROR(INDEX(vdata_regressors!$A$1:$L$2000,MATCH($A972,vdata_regressors!$A$2:$A$2000,0)+1,MATCH(G$2,vdata_regressors!$A$1:$R$1,0)),"")</f>
        <v/>
      </c>
      <c r="H972" s="23" t="str">
        <f>IFERROR(INDEX(vdata_regressors!$A$1:$L$2000,MATCH($A972,vdata_regressors!$A$2:$A$2000,0)+1,MATCH(H$2,vdata_regressors!$A$1:$R$1,0)),"")</f>
        <v/>
      </c>
      <c r="I972" s="23" t="str">
        <f>IFERROR(INDEX(vdata_regressors!$A$1:$L$2000,MATCH($A972,vdata_regressors!$A$2:$A$2000,0)+1,MATCH(I$2,vdata_regressors!$A$1:$R$1,0)),"")</f>
        <v/>
      </c>
      <c r="J972" s="23" t="str">
        <f>IFERROR(INDEX(vdata_regressors!$A$1:$L$2000,MATCH($A972,vdata_regressors!$A$2:$A$2000,0)+1,MATCH(J$2,vdata_regressors!$A$1:$R$1,0)),"")</f>
        <v/>
      </c>
      <c r="K972" s="23" t="str">
        <f>IFERROR(INDEX(vdata_regressors!$A$1:$L$2000,MATCH($A972,vdata_regressors!$A$2:$A$2000,0)+1,MATCH(K$2,vdata_regressors!$A$1:$R$1,0)),"")</f>
        <v/>
      </c>
      <c r="L972" s="23" t="str">
        <f>IFERROR(INDEX(vdata_regressors!$A$1:$L$2000,MATCH($A972,vdata_regressors!$A$2:$A$2000,0)+1,MATCH(L$2,vdata_regressors!$A$1:$R$1,0)),"")</f>
        <v/>
      </c>
      <c r="M972" s="23" t="str">
        <f>IFERROR(VLOOKUP(A972,vdata_hours!$A$2:$B$1000,2,FALSE),"")</f>
        <v/>
      </c>
    </row>
    <row r="973" spans="1:13" x14ac:dyDescent="0.25">
      <c r="A973" s="23" t="str">
        <f>IF(vdata_hours!A972=0,"",vdata_hours!A972)</f>
        <v/>
      </c>
      <c r="B973" s="23" t="str">
        <f>IFERROR(INDEX(vdata_regressors!$A$1:$L$2000,MATCH($A973,vdata_regressors!$A$2:$A$2000,0)+1,MATCH(B$2,vdata_regressors!$A$1:$R$1,0)),"")</f>
        <v/>
      </c>
      <c r="C973" s="23" t="str">
        <f>IFERROR(INDEX(vdata_regressors!$A$1:$L$2000,MATCH($A973,vdata_regressors!$A$2:$A$2000,0)+1,MATCH(C$2,vdata_regressors!$A$1:$R$1,0)),"")</f>
        <v/>
      </c>
      <c r="D973" s="23" t="str">
        <f>IFERROR(INDEX(vdata_regressors!$A$1:$L$2000,MATCH($A973,vdata_regressors!$A$2:$A$2000,0)+1,MATCH(D$2,vdata_regressors!$A$1:$R$1,0)),"")</f>
        <v/>
      </c>
      <c r="E973" s="23" t="str">
        <f>IFERROR(INDEX(vdata_regressors!$A$1:$L$2000,MATCH($A973,vdata_regressors!$A$2:$A$2000,0)+1,MATCH(E$2,vdata_regressors!$A$1:$R$1,0)),"")</f>
        <v/>
      </c>
      <c r="F973" s="23" t="str">
        <f>IFERROR(INDEX(vdata_regressors!$A$1:$L$2000,MATCH($A973,vdata_regressors!$A$2:$A$2000,0)+1,MATCH(F$2,vdata_regressors!$A$1:$R$1,0)),"")</f>
        <v/>
      </c>
      <c r="G973" s="23" t="str">
        <f>IFERROR(INDEX(vdata_regressors!$A$1:$L$2000,MATCH($A973,vdata_regressors!$A$2:$A$2000,0)+1,MATCH(G$2,vdata_regressors!$A$1:$R$1,0)),"")</f>
        <v/>
      </c>
      <c r="H973" s="23" t="str">
        <f>IFERROR(INDEX(vdata_regressors!$A$1:$L$2000,MATCH($A973,vdata_regressors!$A$2:$A$2000,0)+1,MATCH(H$2,vdata_regressors!$A$1:$R$1,0)),"")</f>
        <v/>
      </c>
      <c r="I973" s="23" t="str">
        <f>IFERROR(INDEX(vdata_regressors!$A$1:$L$2000,MATCH($A973,vdata_regressors!$A$2:$A$2000,0)+1,MATCH(I$2,vdata_regressors!$A$1:$R$1,0)),"")</f>
        <v/>
      </c>
      <c r="J973" s="23" t="str">
        <f>IFERROR(INDEX(vdata_regressors!$A$1:$L$2000,MATCH($A973,vdata_regressors!$A$2:$A$2000,0)+1,MATCH(J$2,vdata_regressors!$A$1:$R$1,0)),"")</f>
        <v/>
      </c>
      <c r="K973" s="23" t="str">
        <f>IFERROR(INDEX(vdata_regressors!$A$1:$L$2000,MATCH($A973,vdata_regressors!$A$2:$A$2000,0)+1,MATCH(K$2,vdata_regressors!$A$1:$R$1,0)),"")</f>
        <v/>
      </c>
      <c r="L973" s="23" t="str">
        <f>IFERROR(INDEX(vdata_regressors!$A$1:$L$2000,MATCH($A973,vdata_regressors!$A$2:$A$2000,0)+1,MATCH(L$2,vdata_regressors!$A$1:$R$1,0)),"")</f>
        <v/>
      </c>
      <c r="M973" s="23" t="str">
        <f>IFERROR(VLOOKUP(A973,vdata_hours!$A$2:$B$1000,2,FALSE),"")</f>
        <v/>
      </c>
    </row>
    <row r="974" spans="1:13" x14ac:dyDescent="0.25">
      <c r="A974" s="23" t="str">
        <f>IF(vdata_hours!A973=0,"",vdata_hours!A973)</f>
        <v/>
      </c>
      <c r="B974" s="23" t="str">
        <f>IFERROR(INDEX(vdata_regressors!$A$1:$L$2000,MATCH($A974,vdata_regressors!$A$2:$A$2000,0)+1,MATCH(B$2,vdata_regressors!$A$1:$R$1,0)),"")</f>
        <v/>
      </c>
      <c r="C974" s="23" t="str">
        <f>IFERROR(INDEX(vdata_regressors!$A$1:$L$2000,MATCH($A974,vdata_regressors!$A$2:$A$2000,0)+1,MATCH(C$2,vdata_regressors!$A$1:$R$1,0)),"")</f>
        <v/>
      </c>
      <c r="D974" s="23" t="str">
        <f>IFERROR(INDEX(vdata_regressors!$A$1:$L$2000,MATCH($A974,vdata_regressors!$A$2:$A$2000,0)+1,MATCH(D$2,vdata_regressors!$A$1:$R$1,0)),"")</f>
        <v/>
      </c>
      <c r="E974" s="23" t="str">
        <f>IFERROR(INDEX(vdata_regressors!$A$1:$L$2000,MATCH($A974,vdata_regressors!$A$2:$A$2000,0)+1,MATCH(E$2,vdata_regressors!$A$1:$R$1,0)),"")</f>
        <v/>
      </c>
      <c r="F974" s="23" t="str">
        <f>IFERROR(INDEX(vdata_regressors!$A$1:$L$2000,MATCH($A974,vdata_regressors!$A$2:$A$2000,0)+1,MATCH(F$2,vdata_regressors!$A$1:$R$1,0)),"")</f>
        <v/>
      </c>
      <c r="G974" s="23" t="str">
        <f>IFERROR(INDEX(vdata_regressors!$A$1:$L$2000,MATCH($A974,vdata_regressors!$A$2:$A$2000,0)+1,MATCH(G$2,vdata_regressors!$A$1:$R$1,0)),"")</f>
        <v/>
      </c>
      <c r="H974" s="23" t="str">
        <f>IFERROR(INDEX(vdata_regressors!$A$1:$L$2000,MATCH($A974,vdata_regressors!$A$2:$A$2000,0)+1,MATCH(H$2,vdata_regressors!$A$1:$R$1,0)),"")</f>
        <v/>
      </c>
      <c r="I974" s="23" t="str">
        <f>IFERROR(INDEX(vdata_regressors!$A$1:$L$2000,MATCH($A974,vdata_regressors!$A$2:$A$2000,0)+1,MATCH(I$2,vdata_regressors!$A$1:$R$1,0)),"")</f>
        <v/>
      </c>
      <c r="J974" s="23" t="str">
        <f>IFERROR(INDEX(vdata_regressors!$A$1:$L$2000,MATCH($A974,vdata_regressors!$A$2:$A$2000,0)+1,MATCH(J$2,vdata_regressors!$A$1:$R$1,0)),"")</f>
        <v/>
      </c>
      <c r="K974" s="23" t="str">
        <f>IFERROR(INDEX(vdata_regressors!$A$1:$L$2000,MATCH($A974,vdata_regressors!$A$2:$A$2000,0)+1,MATCH(K$2,vdata_regressors!$A$1:$R$1,0)),"")</f>
        <v/>
      </c>
      <c r="L974" s="23" t="str">
        <f>IFERROR(INDEX(vdata_regressors!$A$1:$L$2000,MATCH($A974,vdata_regressors!$A$2:$A$2000,0)+1,MATCH(L$2,vdata_regressors!$A$1:$R$1,0)),"")</f>
        <v/>
      </c>
      <c r="M974" s="23" t="str">
        <f>IFERROR(VLOOKUP(A974,vdata_hours!$A$2:$B$1000,2,FALSE),"")</f>
        <v/>
      </c>
    </row>
    <row r="975" spans="1:13" x14ac:dyDescent="0.25">
      <c r="A975" s="23" t="str">
        <f>IF(vdata_hours!A974=0,"",vdata_hours!A974)</f>
        <v/>
      </c>
      <c r="B975" s="23" t="str">
        <f>IFERROR(INDEX(vdata_regressors!$A$1:$L$2000,MATCH($A975,vdata_regressors!$A$2:$A$2000,0)+1,MATCH(B$2,vdata_regressors!$A$1:$R$1,0)),"")</f>
        <v/>
      </c>
      <c r="C975" s="23" t="str">
        <f>IFERROR(INDEX(vdata_regressors!$A$1:$L$2000,MATCH($A975,vdata_regressors!$A$2:$A$2000,0)+1,MATCH(C$2,vdata_regressors!$A$1:$R$1,0)),"")</f>
        <v/>
      </c>
      <c r="D975" s="23" t="str">
        <f>IFERROR(INDEX(vdata_regressors!$A$1:$L$2000,MATCH($A975,vdata_regressors!$A$2:$A$2000,0)+1,MATCH(D$2,vdata_regressors!$A$1:$R$1,0)),"")</f>
        <v/>
      </c>
      <c r="E975" s="23" t="str">
        <f>IFERROR(INDEX(vdata_regressors!$A$1:$L$2000,MATCH($A975,vdata_regressors!$A$2:$A$2000,0)+1,MATCH(E$2,vdata_regressors!$A$1:$R$1,0)),"")</f>
        <v/>
      </c>
      <c r="F975" s="23" t="str">
        <f>IFERROR(INDEX(vdata_regressors!$A$1:$L$2000,MATCH($A975,vdata_regressors!$A$2:$A$2000,0)+1,MATCH(F$2,vdata_regressors!$A$1:$R$1,0)),"")</f>
        <v/>
      </c>
      <c r="G975" s="23" t="str">
        <f>IFERROR(INDEX(vdata_regressors!$A$1:$L$2000,MATCH($A975,vdata_regressors!$A$2:$A$2000,0)+1,MATCH(G$2,vdata_regressors!$A$1:$R$1,0)),"")</f>
        <v/>
      </c>
      <c r="H975" s="23" t="str">
        <f>IFERROR(INDEX(vdata_regressors!$A$1:$L$2000,MATCH($A975,vdata_regressors!$A$2:$A$2000,0)+1,MATCH(H$2,vdata_regressors!$A$1:$R$1,0)),"")</f>
        <v/>
      </c>
      <c r="I975" s="23" t="str">
        <f>IFERROR(INDEX(vdata_regressors!$A$1:$L$2000,MATCH($A975,vdata_regressors!$A$2:$A$2000,0)+1,MATCH(I$2,vdata_regressors!$A$1:$R$1,0)),"")</f>
        <v/>
      </c>
      <c r="J975" s="23" t="str">
        <f>IFERROR(INDEX(vdata_regressors!$A$1:$L$2000,MATCH($A975,vdata_regressors!$A$2:$A$2000,0)+1,MATCH(J$2,vdata_regressors!$A$1:$R$1,0)),"")</f>
        <v/>
      </c>
      <c r="K975" s="23" t="str">
        <f>IFERROR(INDEX(vdata_regressors!$A$1:$L$2000,MATCH($A975,vdata_regressors!$A$2:$A$2000,0)+1,MATCH(K$2,vdata_regressors!$A$1:$R$1,0)),"")</f>
        <v/>
      </c>
      <c r="L975" s="23" t="str">
        <f>IFERROR(INDEX(vdata_regressors!$A$1:$L$2000,MATCH($A975,vdata_regressors!$A$2:$A$2000,0)+1,MATCH(L$2,vdata_regressors!$A$1:$R$1,0)),"")</f>
        <v/>
      </c>
      <c r="M975" s="23" t="str">
        <f>IFERROR(VLOOKUP(A975,vdata_hours!$A$2:$B$1000,2,FALSE),"")</f>
        <v/>
      </c>
    </row>
    <row r="976" spans="1:13" x14ac:dyDescent="0.25">
      <c r="A976" s="23" t="str">
        <f>IF(vdata_hours!A975=0,"",vdata_hours!A975)</f>
        <v/>
      </c>
      <c r="B976" s="23" t="str">
        <f>IFERROR(INDEX(vdata_regressors!$A$1:$L$2000,MATCH($A976,vdata_regressors!$A$2:$A$2000,0)+1,MATCH(B$2,vdata_regressors!$A$1:$R$1,0)),"")</f>
        <v/>
      </c>
      <c r="C976" s="23" t="str">
        <f>IFERROR(INDEX(vdata_regressors!$A$1:$L$2000,MATCH($A976,vdata_regressors!$A$2:$A$2000,0)+1,MATCH(C$2,vdata_regressors!$A$1:$R$1,0)),"")</f>
        <v/>
      </c>
      <c r="D976" s="23" t="str">
        <f>IFERROR(INDEX(vdata_regressors!$A$1:$L$2000,MATCH($A976,vdata_regressors!$A$2:$A$2000,0)+1,MATCH(D$2,vdata_regressors!$A$1:$R$1,0)),"")</f>
        <v/>
      </c>
      <c r="E976" s="23" t="str">
        <f>IFERROR(INDEX(vdata_regressors!$A$1:$L$2000,MATCH($A976,vdata_regressors!$A$2:$A$2000,0)+1,MATCH(E$2,vdata_regressors!$A$1:$R$1,0)),"")</f>
        <v/>
      </c>
      <c r="F976" s="23" t="str">
        <f>IFERROR(INDEX(vdata_regressors!$A$1:$L$2000,MATCH($A976,vdata_regressors!$A$2:$A$2000,0)+1,MATCH(F$2,vdata_regressors!$A$1:$R$1,0)),"")</f>
        <v/>
      </c>
      <c r="G976" s="23" t="str">
        <f>IFERROR(INDEX(vdata_regressors!$A$1:$L$2000,MATCH($A976,vdata_regressors!$A$2:$A$2000,0)+1,MATCH(G$2,vdata_regressors!$A$1:$R$1,0)),"")</f>
        <v/>
      </c>
      <c r="H976" s="23" t="str">
        <f>IFERROR(INDEX(vdata_regressors!$A$1:$L$2000,MATCH($A976,vdata_regressors!$A$2:$A$2000,0)+1,MATCH(H$2,vdata_regressors!$A$1:$R$1,0)),"")</f>
        <v/>
      </c>
      <c r="I976" s="23" t="str">
        <f>IFERROR(INDEX(vdata_regressors!$A$1:$L$2000,MATCH($A976,vdata_regressors!$A$2:$A$2000,0)+1,MATCH(I$2,vdata_regressors!$A$1:$R$1,0)),"")</f>
        <v/>
      </c>
      <c r="J976" s="23" t="str">
        <f>IFERROR(INDEX(vdata_regressors!$A$1:$L$2000,MATCH($A976,vdata_regressors!$A$2:$A$2000,0)+1,MATCH(J$2,vdata_regressors!$A$1:$R$1,0)),"")</f>
        <v/>
      </c>
      <c r="K976" s="23" t="str">
        <f>IFERROR(INDEX(vdata_regressors!$A$1:$L$2000,MATCH($A976,vdata_regressors!$A$2:$A$2000,0)+1,MATCH(K$2,vdata_regressors!$A$1:$R$1,0)),"")</f>
        <v/>
      </c>
      <c r="L976" s="23" t="str">
        <f>IFERROR(INDEX(vdata_regressors!$A$1:$L$2000,MATCH($A976,vdata_regressors!$A$2:$A$2000,0)+1,MATCH(L$2,vdata_regressors!$A$1:$R$1,0)),"")</f>
        <v/>
      </c>
      <c r="M976" s="23" t="str">
        <f>IFERROR(VLOOKUP(A976,vdata_hours!$A$2:$B$1000,2,FALSE),"")</f>
        <v/>
      </c>
    </row>
    <row r="977" spans="1:13" x14ac:dyDescent="0.25">
      <c r="A977" s="23" t="str">
        <f>IF(vdata_hours!A976=0,"",vdata_hours!A976)</f>
        <v/>
      </c>
      <c r="B977" s="23" t="str">
        <f>IFERROR(INDEX(vdata_regressors!$A$1:$L$2000,MATCH($A977,vdata_regressors!$A$2:$A$2000,0)+1,MATCH(B$2,vdata_regressors!$A$1:$R$1,0)),"")</f>
        <v/>
      </c>
      <c r="C977" s="23" t="str">
        <f>IFERROR(INDEX(vdata_regressors!$A$1:$L$2000,MATCH($A977,vdata_regressors!$A$2:$A$2000,0)+1,MATCH(C$2,vdata_regressors!$A$1:$R$1,0)),"")</f>
        <v/>
      </c>
      <c r="D977" s="23" t="str">
        <f>IFERROR(INDEX(vdata_regressors!$A$1:$L$2000,MATCH($A977,vdata_regressors!$A$2:$A$2000,0)+1,MATCH(D$2,vdata_regressors!$A$1:$R$1,0)),"")</f>
        <v/>
      </c>
      <c r="E977" s="23" t="str">
        <f>IFERROR(INDEX(vdata_regressors!$A$1:$L$2000,MATCH($A977,vdata_regressors!$A$2:$A$2000,0)+1,MATCH(E$2,vdata_regressors!$A$1:$R$1,0)),"")</f>
        <v/>
      </c>
      <c r="F977" s="23" t="str">
        <f>IFERROR(INDEX(vdata_regressors!$A$1:$L$2000,MATCH($A977,vdata_regressors!$A$2:$A$2000,0)+1,MATCH(F$2,vdata_regressors!$A$1:$R$1,0)),"")</f>
        <v/>
      </c>
      <c r="G977" s="23" t="str">
        <f>IFERROR(INDEX(vdata_regressors!$A$1:$L$2000,MATCH($A977,vdata_regressors!$A$2:$A$2000,0)+1,MATCH(G$2,vdata_regressors!$A$1:$R$1,0)),"")</f>
        <v/>
      </c>
      <c r="H977" s="23" t="str">
        <f>IFERROR(INDEX(vdata_regressors!$A$1:$L$2000,MATCH($A977,vdata_regressors!$A$2:$A$2000,0)+1,MATCH(H$2,vdata_regressors!$A$1:$R$1,0)),"")</f>
        <v/>
      </c>
      <c r="I977" s="23" t="str">
        <f>IFERROR(INDEX(vdata_regressors!$A$1:$L$2000,MATCH($A977,vdata_regressors!$A$2:$A$2000,0)+1,MATCH(I$2,vdata_regressors!$A$1:$R$1,0)),"")</f>
        <v/>
      </c>
      <c r="J977" s="23" t="str">
        <f>IFERROR(INDEX(vdata_regressors!$A$1:$L$2000,MATCH($A977,vdata_regressors!$A$2:$A$2000,0)+1,MATCH(J$2,vdata_regressors!$A$1:$R$1,0)),"")</f>
        <v/>
      </c>
      <c r="K977" s="23" t="str">
        <f>IFERROR(INDEX(vdata_regressors!$A$1:$L$2000,MATCH($A977,vdata_regressors!$A$2:$A$2000,0)+1,MATCH(K$2,vdata_regressors!$A$1:$R$1,0)),"")</f>
        <v/>
      </c>
      <c r="L977" s="23" t="str">
        <f>IFERROR(INDEX(vdata_regressors!$A$1:$L$2000,MATCH($A977,vdata_regressors!$A$2:$A$2000,0)+1,MATCH(L$2,vdata_regressors!$A$1:$R$1,0)),"")</f>
        <v/>
      </c>
      <c r="M977" s="23" t="str">
        <f>IFERROR(VLOOKUP(A977,vdata_hours!$A$2:$B$1000,2,FALSE),"")</f>
        <v/>
      </c>
    </row>
    <row r="978" spans="1:13" x14ac:dyDescent="0.25">
      <c r="A978" s="23" t="str">
        <f>IF(vdata_hours!A977=0,"",vdata_hours!A977)</f>
        <v/>
      </c>
      <c r="B978" s="23" t="str">
        <f>IFERROR(INDEX(vdata_regressors!$A$1:$L$2000,MATCH($A978,vdata_regressors!$A$2:$A$2000,0)+1,MATCH(B$2,vdata_regressors!$A$1:$R$1,0)),"")</f>
        <v/>
      </c>
      <c r="C978" s="23" t="str">
        <f>IFERROR(INDEX(vdata_regressors!$A$1:$L$2000,MATCH($A978,vdata_regressors!$A$2:$A$2000,0)+1,MATCH(C$2,vdata_regressors!$A$1:$R$1,0)),"")</f>
        <v/>
      </c>
      <c r="D978" s="23" t="str">
        <f>IFERROR(INDEX(vdata_regressors!$A$1:$L$2000,MATCH($A978,vdata_regressors!$A$2:$A$2000,0)+1,MATCH(D$2,vdata_regressors!$A$1:$R$1,0)),"")</f>
        <v/>
      </c>
      <c r="E978" s="23" t="str">
        <f>IFERROR(INDEX(vdata_regressors!$A$1:$L$2000,MATCH($A978,vdata_regressors!$A$2:$A$2000,0)+1,MATCH(E$2,vdata_regressors!$A$1:$R$1,0)),"")</f>
        <v/>
      </c>
      <c r="F978" s="23" t="str">
        <f>IFERROR(INDEX(vdata_regressors!$A$1:$L$2000,MATCH($A978,vdata_regressors!$A$2:$A$2000,0)+1,MATCH(F$2,vdata_regressors!$A$1:$R$1,0)),"")</f>
        <v/>
      </c>
      <c r="G978" s="23" t="str">
        <f>IFERROR(INDEX(vdata_regressors!$A$1:$L$2000,MATCH($A978,vdata_regressors!$A$2:$A$2000,0)+1,MATCH(G$2,vdata_regressors!$A$1:$R$1,0)),"")</f>
        <v/>
      </c>
      <c r="H978" s="23" t="str">
        <f>IFERROR(INDEX(vdata_regressors!$A$1:$L$2000,MATCH($A978,vdata_regressors!$A$2:$A$2000,0)+1,MATCH(H$2,vdata_regressors!$A$1:$R$1,0)),"")</f>
        <v/>
      </c>
      <c r="I978" s="23" t="str">
        <f>IFERROR(INDEX(vdata_regressors!$A$1:$L$2000,MATCH($A978,vdata_regressors!$A$2:$A$2000,0)+1,MATCH(I$2,vdata_regressors!$A$1:$R$1,0)),"")</f>
        <v/>
      </c>
      <c r="J978" s="23" t="str">
        <f>IFERROR(INDEX(vdata_regressors!$A$1:$L$2000,MATCH($A978,vdata_regressors!$A$2:$A$2000,0)+1,MATCH(J$2,vdata_regressors!$A$1:$R$1,0)),"")</f>
        <v/>
      </c>
      <c r="K978" s="23" t="str">
        <f>IFERROR(INDEX(vdata_regressors!$A$1:$L$2000,MATCH($A978,vdata_regressors!$A$2:$A$2000,0)+1,MATCH(K$2,vdata_regressors!$A$1:$R$1,0)),"")</f>
        <v/>
      </c>
      <c r="L978" s="23" t="str">
        <f>IFERROR(INDEX(vdata_regressors!$A$1:$L$2000,MATCH($A978,vdata_regressors!$A$2:$A$2000,0)+1,MATCH(L$2,vdata_regressors!$A$1:$R$1,0)),"")</f>
        <v/>
      </c>
      <c r="M978" s="23" t="str">
        <f>IFERROR(VLOOKUP(A978,vdata_hours!$A$2:$B$1000,2,FALSE),"")</f>
        <v/>
      </c>
    </row>
    <row r="979" spans="1:13" x14ac:dyDescent="0.25">
      <c r="A979" s="23" t="str">
        <f>IF(vdata_hours!A978=0,"",vdata_hours!A978)</f>
        <v/>
      </c>
      <c r="B979" s="23" t="str">
        <f>IFERROR(INDEX(vdata_regressors!$A$1:$L$2000,MATCH($A979,vdata_regressors!$A$2:$A$2000,0)+1,MATCH(B$2,vdata_regressors!$A$1:$R$1,0)),"")</f>
        <v/>
      </c>
      <c r="C979" s="23" t="str">
        <f>IFERROR(INDEX(vdata_regressors!$A$1:$L$2000,MATCH($A979,vdata_regressors!$A$2:$A$2000,0)+1,MATCH(C$2,vdata_regressors!$A$1:$R$1,0)),"")</f>
        <v/>
      </c>
      <c r="D979" s="23" t="str">
        <f>IFERROR(INDEX(vdata_regressors!$A$1:$L$2000,MATCH($A979,vdata_regressors!$A$2:$A$2000,0)+1,MATCH(D$2,vdata_regressors!$A$1:$R$1,0)),"")</f>
        <v/>
      </c>
      <c r="E979" s="23" t="str">
        <f>IFERROR(INDEX(vdata_regressors!$A$1:$L$2000,MATCH($A979,vdata_regressors!$A$2:$A$2000,0)+1,MATCH(E$2,vdata_regressors!$A$1:$R$1,0)),"")</f>
        <v/>
      </c>
      <c r="F979" s="23" t="str">
        <f>IFERROR(INDEX(vdata_regressors!$A$1:$L$2000,MATCH($A979,vdata_regressors!$A$2:$A$2000,0)+1,MATCH(F$2,vdata_regressors!$A$1:$R$1,0)),"")</f>
        <v/>
      </c>
      <c r="G979" s="23" t="str">
        <f>IFERROR(INDEX(vdata_regressors!$A$1:$L$2000,MATCH($A979,vdata_regressors!$A$2:$A$2000,0)+1,MATCH(G$2,vdata_regressors!$A$1:$R$1,0)),"")</f>
        <v/>
      </c>
      <c r="H979" s="23" t="str">
        <f>IFERROR(INDEX(vdata_regressors!$A$1:$L$2000,MATCH($A979,vdata_regressors!$A$2:$A$2000,0)+1,MATCH(H$2,vdata_regressors!$A$1:$R$1,0)),"")</f>
        <v/>
      </c>
      <c r="I979" s="23" t="str">
        <f>IFERROR(INDEX(vdata_regressors!$A$1:$L$2000,MATCH($A979,vdata_regressors!$A$2:$A$2000,0)+1,MATCH(I$2,vdata_regressors!$A$1:$R$1,0)),"")</f>
        <v/>
      </c>
      <c r="J979" s="23" t="str">
        <f>IFERROR(INDEX(vdata_regressors!$A$1:$L$2000,MATCH($A979,vdata_regressors!$A$2:$A$2000,0)+1,MATCH(J$2,vdata_regressors!$A$1:$R$1,0)),"")</f>
        <v/>
      </c>
      <c r="K979" s="23" t="str">
        <f>IFERROR(INDEX(vdata_regressors!$A$1:$L$2000,MATCH($A979,vdata_regressors!$A$2:$A$2000,0)+1,MATCH(K$2,vdata_regressors!$A$1:$R$1,0)),"")</f>
        <v/>
      </c>
      <c r="L979" s="23" t="str">
        <f>IFERROR(INDEX(vdata_regressors!$A$1:$L$2000,MATCH($A979,vdata_regressors!$A$2:$A$2000,0)+1,MATCH(L$2,vdata_regressors!$A$1:$R$1,0)),"")</f>
        <v/>
      </c>
      <c r="M979" s="23" t="str">
        <f>IFERROR(VLOOKUP(A979,vdata_hours!$A$2:$B$1000,2,FALSE),"")</f>
        <v/>
      </c>
    </row>
    <row r="980" spans="1:13" x14ac:dyDescent="0.25">
      <c r="A980" s="23" t="str">
        <f>IF(vdata_hours!A979=0,"",vdata_hours!A979)</f>
        <v/>
      </c>
      <c r="B980" s="23" t="str">
        <f>IFERROR(INDEX(vdata_regressors!$A$1:$L$2000,MATCH($A980,vdata_regressors!$A$2:$A$2000,0)+1,MATCH(B$2,vdata_regressors!$A$1:$R$1,0)),"")</f>
        <v/>
      </c>
      <c r="C980" s="23" t="str">
        <f>IFERROR(INDEX(vdata_regressors!$A$1:$L$2000,MATCH($A980,vdata_regressors!$A$2:$A$2000,0)+1,MATCH(C$2,vdata_regressors!$A$1:$R$1,0)),"")</f>
        <v/>
      </c>
      <c r="D980" s="23" t="str">
        <f>IFERROR(INDEX(vdata_regressors!$A$1:$L$2000,MATCH($A980,vdata_regressors!$A$2:$A$2000,0)+1,MATCH(D$2,vdata_regressors!$A$1:$R$1,0)),"")</f>
        <v/>
      </c>
      <c r="E980" s="23" t="str">
        <f>IFERROR(INDEX(vdata_regressors!$A$1:$L$2000,MATCH($A980,vdata_regressors!$A$2:$A$2000,0)+1,MATCH(E$2,vdata_regressors!$A$1:$R$1,0)),"")</f>
        <v/>
      </c>
      <c r="F980" s="23" t="str">
        <f>IFERROR(INDEX(vdata_regressors!$A$1:$L$2000,MATCH($A980,vdata_regressors!$A$2:$A$2000,0)+1,MATCH(F$2,vdata_regressors!$A$1:$R$1,0)),"")</f>
        <v/>
      </c>
      <c r="G980" s="23" t="str">
        <f>IFERROR(INDEX(vdata_regressors!$A$1:$L$2000,MATCH($A980,vdata_regressors!$A$2:$A$2000,0)+1,MATCH(G$2,vdata_regressors!$A$1:$R$1,0)),"")</f>
        <v/>
      </c>
      <c r="H980" s="23" t="str">
        <f>IFERROR(INDEX(vdata_regressors!$A$1:$L$2000,MATCH($A980,vdata_regressors!$A$2:$A$2000,0)+1,MATCH(H$2,vdata_regressors!$A$1:$R$1,0)),"")</f>
        <v/>
      </c>
      <c r="I980" s="23" t="str">
        <f>IFERROR(INDEX(vdata_regressors!$A$1:$L$2000,MATCH($A980,vdata_regressors!$A$2:$A$2000,0)+1,MATCH(I$2,vdata_regressors!$A$1:$R$1,0)),"")</f>
        <v/>
      </c>
      <c r="J980" s="23" t="str">
        <f>IFERROR(INDEX(vdata_regressors!$A$1:$L$2000,MATCH($A980,vdata_regressors!$A$2:$A$2000,0)+1,MATCH(J$2,vdata_regressors!$A$1:$R$1,0)),"")</f>
        <v/>
      </c>
      <c r="K980" s="23" t="str">
        <f>IFERROR(INDEX(vdata_regressors!$A$1:$L$2000,MATCH($A980,vdata_regressors!$A$2:$A$2000,0)+1,MATCH(K$2,vdata_regressors!$A$1:$R$1,0)),"")</f>
        <v/>
      </c>
      <c r="L980" s="23" t="str">
        <f>IFERROR(INDEX(vdata_regressors!$A$1:$L$2000,MATCH($A980,vdata_regressors!$A$2:$A$2000,0)+1,MATCH(L$2,vdata_regressors!$A$1:$R$1,0)),"")</f>
        <v/>
      </c>
      <c r="M980" s="23" t="str">
        <f>IFERROR(VLOOKUP(A980,vdata_hours!$A$2:$B$1000,2,FALSE),"")</f>
        <v/>
      </c>
    </row>
    <row r="981" spans="1:13" x14ac:dyDescent="0.25">
      <c r="A981" s="23" t="str">
        <f>IF(vdata_hours!A980=0,"",vdata_hours!A980)</f>
        <v/>
      </c>
      <c r="B981" s="23" t="str">
        <f>IFERROR(INDEX(vdata_regressors!$A$1:$L$2000,MATCH($A981,vdata_regressors!$A$2:$A$2000,0)+1,MATCH(B$2,vdata_regressors!$A$1:$R$1,0)),"")</f>
        <v/>
      </c>
      <c r="C981" s="23" t="str">
        <f>IFERROR(INDEX(vdata_regressors!$A$1:$L$2000,MATCH($A981,vdata_regressors!$A$2:$A$2000,0)+1,MATCH(C$2,vdata_regressors!$A$1:$R$1,0)),"")</f>
        <v/>
      </c>
      <c r="D981" s="23" t="str">
        <f>IFERROR(INDEX(vdata_regressors!$A$1:$L$2000,MATCH($A981,vdata_regressors!$A$2:$A$2000,0)+1,MATCH(D$2,vdata_regressors!$A$1:$R$1,0)),"")</f>
        <v/>
      </c>
      <c r="E981" s="23" t="str">
        <f>IFERROR(INDEX(vdata_regressors!$A$1:$L$2000,MATCH($A981,vdata_regressors!$A$2:$A$2000,0)+1,MATCH(E$2,vdata_regressors!$A$1:$R$1,0)),"")</f>
        <v/>
      </c>
      <c r="F981" s="23" t="str">
        <f>IFERROR(INDEX(vdata_regressors!$A$1:$L$2000,MATCH($A981,vdata_regressors!$A$2:$A$2000,0)+1,MATCH(F$2,vdata_regressors!$A$1:$R$1,0)),"")</f>
        <v/>
      </c>
      <c r="G981" s="23" t="str">
        <f>IFERROR(INDEX(vdata_regressors!$A$1:$L$2000,MATCH($A981,vdata_regressors!$A$2:$A$2000,0)+1,MATCH(G$2,vdata_regressors!$A$1:$R$1,0)),"")</f>
        <v/>
      </c>
      <c r="H981" s="23" t="str">
        <f>IFERROR(INDEX(vdata_regressors!$A$1:$L$2000,MATCH($A981,vdata_regressors!$A$2:$A$2000,0)+1,MATCH(H$2,vdata_regressors!$A$1:$R$1,0)),"")</f>
        <v/>
      </c>
      <c r="I981" s="23" t="str">
        <f>IFERROR(INDEX(vdata_regressors!$A$1:$L$2000,MATCH($A981,vdata_regressors!$A$2:$A$2000,0)+1,MATCH(I$2,vdata_regressors!$A$1:$R$1,0)),"")</f>
        <v/>
      </c>
      <c r="J981" s="23" t="str">
        <f>IFERROR(INDEX(vdata_regressors!$A$1:$L$2000,MATCH($A981,vdata_regressors!$A$2:$A$2000,0)+1,MATCH(J$2,vdata_regressors!$A$1:$R$1,0)),"")</f>
        <v/>
      </c>
      <c r="K981" s="23" t="str">
        <f>IFERROR(INDEX(vdata_regressors!$A$1:$L$2000,MATCH($A981,vdata_regressors!$A$2:$A$2000,0)+1,MATCH(K$2,vdata_regressors!$A$1:$R$1,0)),"")</f>
        <v/>
      </c>
      <c r="L981" s="23" t="str">
        <f>IFERROR(INDEX(vdata_regressors!$A$1:$L$2000,MATCH($A981,vdata_regressors!$A$2:$A$2000,0)+1,MATCH(L$2,vdata_regressors!$A$1:$R$1,0)),"")</f>
        <v/>
      </c>
      <c r="M981" s="23" t="str">
        <f>IFERROR(VLOOKUP(A981,vdata_hours!$A$2:$B$1000,2,FALSE),"")</f>
        <v/>
      </c>
    </row>
    <row r="982" spans="1:13" x14ac:dyDescent="0.25">
      <c r="A982" s="23" t="str">
        <f>IF(vdata_hours!A981=0,"",vdata_hours!A981)</f>
        <v/>
      </c>
      <c r="B982" s="23" t="str">
        <f>IFERROR(INDEX(vdata_regressors!$A$1:$L$2000,MATCH($A982,vdata_regressors!$A$2:$A$2000,0)+1,MATCH(B$2,vdata_regressors!$A$1:$R$1,0)),"")</f>
        <v/>
      </c>
      <c r="C982" s="23" t="str">
        <f>IFERROR(INDEX(vdata_regressors!$A$1:$L$2000,MATCH($A982,vdata_regressors!$A$2:$A$2000,0)+1,MATCH(C$2,vdata_regressors!$A$1:$R$1,0)),"")</f>
        <v/>
      </c>
      <c r="D982" s="23" t="str">
        <f>IFERROR(INDEX(vdata_regressors!$A$1:$L$2000,MATCH($A982,vdata_regressors!$A$2:$A$2000,0)+1,MATCH(D$2,vdata_regressors!$A$1:$R$1,0)),"")</f>
        <v/>
      </c>
      <c r="E982" s="23" t="str">
        <f>IFERROR(INDEX(vdata_regressors!$A$1:$L$2000,MATCH($A982,vdata_regressors!$A$2:$A$2000,0)+1,MATCH(E$2,vdata_regressors!$A$1:$R$1,0)),"")</f>
        <v/>
      </c>
      <c r="F982" s="23" t="str">
        <f>IFERROR(INDEX(vdata_regressors!$A$1:$L$2000,MATCH($A982,vdata_regressors!$A$2:$A$2000,0)+1,MATCH(F$2,vdata_regressors!$A$1:$R$1,0)),"")</f>
        <v/>
      </c>
      <c r="G982" s="23" t="str">
        <f>IFERROR(INDEX(vdata_regressors!$A$1:$L$2000,MATCH($A982,vdata_regressors!$A$2:$A$2000,0)+1,MATCH(G$2,vdata_regressors!$A$1:$R$1,0)),"")</f>
        <v/>
      </c>
      <c r="H982" s="23" t="str">
        <f>IFERROR(INDEX(vdata_regressors!$A$1:$L$2000,MATCH($A982,vdata_regressors!$A$2:$A$2000,0)+1,MATCH(H$2,vdata_regressors!$A$1:$R$1,0)),"")</f>
        <v/>
      </c>
      <c r="I982" s="23" t="str">
        <f>IFERROR(INDEX(vdata_regressors!$A$1:$L$2000,MATCH($A982,vdata_regressors!$A$2:$A$2000,0)+1,MATCH(I$2,vdata_regressors!$A$1:$R$1,0)),"")</f>
        <v/>
      </c>
      <c r="J982" s="23" t="str">
        <f>IFERROR(INDEX(vdata_regressors!$A$1:$L$2000,MATCH($A982,vdata_regressors!$A$2:$A$2000,0)+1,MATCH(J$2,vdata_regressors!$A$1:$R$1,0)),"")</f>
        <v/>
      </c>
      <c r="K982" s="23" t="str">
        <f>IFERROR(INDEX(vdata_regressors!$A$1:$L$2000,MATCH($A982,vdata_regressors!$A$2:$A$2000,0)+1,MATCH(K$2,vdata_regressors!$A$1:$R$1,0)),"")</f>
        <v/>
      </c>
      <c r="L982" s="23" t="str">
        <f>IFERROR(INDEX(vdata_regressors!$A$1:$L$2000,MATCH($A982,vdata_regressors!$A$2:$A$2000,0)+1,MATCH(L$2,vdata_regressors!$A$1:$R$1,0)),"")</f>
        <v/>
      </c>
      <c r="M982" s="23" t="str">
        <f>IFERROR(VLOOKUP(A982,vdata_hours!$A$2:$B$1000,2,FALSE),"")</f>
        <v/>
      </c>
    </row>
    <row r="983" spans="1:13" x14ac:dyDescent="0.25">
      <c r="A983" s="23" t="str">
        <f>IF(vdata_hours!A982=0,"",vdata_hours!A982)</f>
        <v/>
      </c>
      <c r="B983" s="23" t="str">
        <f>IFERROR(INDEX(vdata_regressors!$A$1:$L$2000,MATCH($A983,vdata_regressors!$A$2:$A$2000,0)+1,MATCH(B$2,vdata_regressors!$A$1:$R$1,0)),"")</f>
        <v/>
      </c>
      <c r="C983" s="23" t="str">
        <f>IFERROR(INDEX(vdata_regressors!$A$1:$L$2000,MATCH($A983,vdata_regressors!$A$2:$A$2000,0)+1,MATCH(C$2,vdata_regressors!$A$1:$R$1,0)),"")</f>
        <v/>
      </c>
      <c r="D983" s="23" t="str">
        <f>IFERROR(INDEX(vdata_regressors!$A$1:$L$2000,MATCH($A983,vdata_regressors!$A$2:$A$2000,0)+1,MATCH(D$2,vdata_regressors!$A$1:$R$1,0)),"")</f>
        <v/>
      </c>
      <c r="E983" s="23" t="str">
        <f>IFERROR(INDEX(vdata_regressors!$A$1:$L$2000,MATCH($A983,vdata_regressors!$A$2:$A$2000,0)+1,MATCH(E$2,vdata_regressors!$A$1:$R$1,0)),"")</f>
        <v/>
      </c>
      <c r="F983" s="23" t="str">
        <f>IFERROR(INDEX(vdata_regressors!$A$1:$L$2000,MATCH($A983,vdata_regressors!$A$2:$A$2000,0)+1,MATCH(F$2,vdata_regressors!$A$1:$R$1,0)),"")</f>
        <v/>
      </c>
      <c r="G983" s="23" t="str">
        <f>IFERROR(INDEX(vdata_regressors!$A$1:$L$2000,MATCH($A983,vdata_regressors!$A$2:$A$2000,0)+1,MATCH(G$2,vdata_regressors!$A$1:$R$1,0)),"")</f>
        <v/>
      </c>
      <c r="H983" s="23" t="str">
        <f>IFERROR(INDEX(vdata_regressors!$A$1:$L$2000,MATCH($A983,vdata_regressors!$A$2:$A$2000,0)+1,MATCH(H$2,vdata_regressors!$A$1:$R$1,0)),"")</f>
        <v/>
      </c>
      <c r="I983" s="23" t="str">
        <f>IFERROR(INDEX(vdata_regressors!$A$1:$L$2000,MATCH($A983,vdata_regressors!$A$2:$A$2000,0)+1,MATCH(I$2,vdata_regressors!$A$1:$R$1,0)),"")</f>
        <v/>
      </c>
      <c r="J983" s="23" t="str">
        <f>IFERROR(INDEX(vdata_regressors!$A$1:$L$2000,MATCH($A983,vdata_regressors!$A$2:$A$2000,0)+1,MATCH(J$2,vdata_regressors!$A$1:$R$1,0)),"")</f>
        <v/>
      </c>
      <c r="K983" s="23" t="str">
        <f>IFERROR(INDEX(vdata_regressors!$A$1:$L$2000,MATCH($A983,vdata_regressors!$A$2:$A$2000,0)+1,MATCH(K$2,vdata_regressors!$A$1:$R$1,0)),"")</f>
        <v/>
      </c>
      <c r="L983" s="23" t="str">
        <f>IFERROR(INDEX(vdata_regressors!$A$1:$L$2000,MATCH($A983,vdata_regressors!$A$2:$A$2000,0)+1,MATCH(L$2,vdata_regressors!$A$1:$R$1,0)),"")</f>
        <v/>
      </c>
      <c r="M983" s="23" t="str">
        <f>IFERROR(VLOOKUP(A983,vdata_hours!$A$2:$B$1000,2,FALSE),"")</f>
        <v/>
      </c>
    </row>
    <row r="984" spans="1:13" x14ac:dyDescent="0.25">
      <c r="A984" s="23" t="str">
        <f>IF(vdata_hours!A983=0,"",vdata_hours!A983)</f>
        <v/>
      </c>
      <c r="B984" s="23" t="str">
        <f>IFERROR(INDEX(vdata_regressors!$A$1:$L$2000,MATCH($A984,vdata_regressors!$A$2:$A$2000,0)+1,MATCH(B$2,vdata_regressors!$A$1:$R$1,0)),"")</f>
        <v/>
      </c>
      <c r="C984" s="23" t="str">
        <f>IFERROR(INDEX(vdata_regressors!$A$1:$L$2000,MATCH($A984,vdata_regressors!$A$2:$A$2000,0)+1,MATCH(C$2,vdata_regressors!$A$1:$R$1,0)),"")</f>
        <v/>
      </c>
      <c r="D984" s="23" t="str">
        <f>IFERROR(INDEX(vdata_regressors!$A$1:$L$2000,MATCH($A984,vdata_regressors!$A$2:$A$2000,0)+1,MATCH(D$2,vdata_regressors!$A$1:$R$1,0)),"")</f>
        <v/>
      </c>
      <c r="E984" s="23" t="str">
        <f>IFERROR(INDEX(vdata_regressors!$A$1:$L$2000,MATCH($A984,vdata_regressors!$A$2:$A$2000,0)+1,MATCH(E$2,vdata_regressors!$A$1:$R$1,0)),"")</f>
        <v/>
      </c>
      <c r="F984" s="23" t="str">
        <f>IFERROR(INDEX(vdata_regressors!$A$1:$L$2000,MATCH($A984,vdata_regressors!$A$2:$A$2000,0)+1,MATCH(F$2,vdata_regressors!$A$1:$R$1,0)),"")</f>
        <v/>
      </c>
      <c r="G984" s="23" t="str">
        <f>IFERROR(INDEX(vdata_regressors!$A$1:$L$2000,MATCH($A984,vdata_regressors!$A$2:$A$2000,0)+1,MATCH(G$2,vdata_regressors!$A$1:$R$1,0)),"")</f>
        <v/>
      </c>
      <c r="H984" s="23" t="str">
        <f>IFERROR(INDEX(vdata_regressors!$A$1:$L$2000,MATCH($A984,vdata_regressors!$A$2:$A$2000,0)+1,MATCH(H$2,vdata_regressors!$A$1:$R$1,0)),"")</f>
        <v/>
      </c>
      <c r="I984" s="23" t="str">
        <f>IFERROR(INDEX(vdata_regressors!$A$1:$L$2000,MATCH($A984,vdata_regressors!$A$2:$A$2000,0)+1,MATCH(I$2,vdata_regressors!$A$1:$R$1,0)),"")</f>
        <v/>
      </c>
      <c r="J984" s="23" t="str">
        <f>IFERROR(INDEX(vdata_regressors!$A$1:$L$2000,MATCH($A984,vdata_regressors!$A$2:$A$2000,0)+1,MATCH(J$2,vdata_regressors!$A$1:$R$1,0)),"")</f>
        <v/>
      </c>
      <c r="K984" s="23" t="str">
        <f>IFERROR(INDEX(vdata_regressors!$A$1:$L$2000,MATCH($A984,vdata_regressors!$A$2:$A$2000,0)+1,MATCH(K$2,vdata_regressors!$A$1:$R$1,0)),"")</f>
        <v/>
      </c>
      <c r="L984" s="23" t="str">
        <f>IFERROR(INDEX(vdata_regressors!$A$1:$L$2000,MATCH($A984,vdata_regressors!$A$2:$A$2000,0)+1,MATCH(L$2,vdata_regressors!$A$1:$R$1,0)),"")</f>
        <v/>
      </c>
      <c r="M984" s="23" t="str">
        <f>IFERROR(VLOOKUP(A984,vdata_hours!$A$2:$B$1000,2,FALSE),"")</f>
        <v/>
      </c>
    </row>
    <row r="985" spans="1:13" x14ac:dyDescent="0.25">
      <c r="A985" s="23" t="str">
        <f>IF(vdata_hours!A984=0,"",vdata_hours!A984)</f>
        <v/>
      </c>
      <c r="B985" s="23" t="str">
        <f>IFERROR(INDEX(vdata_regressors!$A$1:$L$2000,MATCH($A985,vdata_regressors!$A$2:$A$2000,0)+1,MATCH(B$2,vdata_regressors!$A$1:$R$1,0)),"")</f>
        <v/>
      </c>
      <c r="C985" s="23" t="str">
        <f>IFERROR(INDEX(vdata_regressors!$A$1:$L$2000,MATCH($A985,vdata_regressors!$A$2:$A$2000,0)+1,MATCH(C$2,vdata_regressors!$A$1:$R$1,0)),"")</f>
        <v/>
      </c>
      <c r="D985" s="23" t="str">
        <f>IFERROR(INDEX(vdata_regressors!$A$1:$L$2000,MATCH($A985,vdata_regressors!$A$2:$A$2000,0)+1,MATCH(D$2,vdata_regressors!$A$1:$R$1,0)),"")</f>
        <v/>
      </c>
      <c r="E985" s="23" t="str">
        <f>IFERROR(INDEX(vdata_regressors!$A$1:$L$2000,MATCH($A985,vdata_regressors!$A$2:$A$2000,0)+1,MATCH(E$2,vdata_regressors!$A$1:$R$1,0)),"")</f>
        <v/>
      </c>
      <c r="F985" s="23" t="str">
        <f>IFERROR(INDEX(vdata_regressors!$A$1:$L$2000,MATCH($A985,vdata_regressors!$A$2:$A$2000,0)+1,MATCH(F$2,vdata_regressors!$A$1:$R$1,0)),"")</f>
        <v/>
      </c>
      <c r="G985" s="23" t="str">
        <f>IFERROR(INDEX(vdata_regressors!$A$1:$L$2000,MATCH($A985,vdata_regressors!$A$2:$A$2000,0)+1,MATCH(G$2,vdata_regressors!$A$1:$R$1,0)),"")</f>
        <v/>
      </c>
      <c r="H985" s="23" t="str">
        <f>IFERROR(INDEX(vdata_regressors!$A$1:$L$2000,MATCH($A985,vdata_regressors!$A$2:$A$2000,0)+1,MATCH(H$2,vdata_regressors!$A$1:$R$1,0)),"")</f>
        <v/>
      </c>
      <c r="I985" s="23" t="str">
        <f>IFERROR(INDEX(vdata_regressors!$A$1:$L$2000,MATCH($A985,vdata_regressors!$A$2:$A$2000,0)+1,MATCH(I$2,vdata_regressors!$A$1:$R$1,0)),"")</f>
        <v/>
      </c>
      <c r="J985" s="23" t="str">
        <f>IFERROR(INDEX(vdata_regressors!$A$1:$L$2000,MATCH($A985,vdata_regressors!$A$2:$A$2000,0)+1,MATCH(J$2,vdata_regressors!$A$1:$R$1,0)),"")</f>
        <v/>
      </c>
      <c r="K985" s="23" t="str">
        <f>IFERROR(INDEX(vdata_regressors!$A$1:$L$2000,MATCH($A985,vdata_regressors!$A$2:$A$2000,0)+1,MATCH(K$2,vdata_regressors!$A$1:$R$1,0)),"")</f>
        <v/>
      </c>
      <c r="L985" s="23" t="str">
        <f>IFERROR(INDEX(vdata_regressors!$A$1:$L$2000,MATCH($A985,vdata_regressors!$A$2:$A$2000,0)+1,MATCH(L$2,vdata_regressors!$A$1:$R$1,0)),"")</f>
        <v/>
      </c>
      <c r="M985" s="23" t="str">
        <f>IFERROR(VLOOKUP(A985,vdata_hours!$A$2:$B$1000,2,FALSE),"")</f>
        <v/>
      </c>
    </row>
    <row r="986" spans="1:13" x14ac:dyDescent="0.25">
      <c r="A986" s="23" t="str">
        <f>IF(vdata_hours!A985=0,"",vdata_hours!A985)</f>
        <v/>
      </c>
      <c r="B986" s="23" t="str">
        <f>IFERROR(INDEX(vdata_regressors!$A$1:$L$2000,MATCH($A986,vdata_regressors!$A$2:$A$2000,0)+1,MATCH(B$2,vdata_regressors!$A$1:$R$1,0)),"")</f>
        <v/>
      </c>
      <c r="C986" s="23" t="str">
        <f>IFERROR(INDEX(vdata_regressors!$A$1:$L$2000,MATCH($A986,vdata_regressors!$A$2:$A$2000,0)+1,MATCH(C$2,vdata_regressors!$A$1:$R$1,0)),"")</f>
        <v/>
      </c>
      <c r="D986" s="23" t="str">
        <f>IFERROR(INDEX(vdata_regressors!$A$1:$L$2000,MATCH($A986,vdata_regressors!$A$2:$A$2000,0)+1,MATCH(D$2,vdata_regressors!$A$1:$R$1,0)),"")</f>
        <v/>
      </c>
      <c r="E986" s="23" t="str">
        <f>IFERROR(INDEX(vdata_regressors!$A$1:$L$2000,MATCH($A986,vdata_regressors!$A$2:$A$2000,0)+1,MATCH(E$2,vdata_regressors!$A$1:$R$1,0)),"")</f>
        <v/>
      </c>
      <c r="F986" s="23" t="str">
        <f>IFERROR(INDEX(vdata_regressors!$A$1:$L$2000,MATCH($A986,vdata_regressors!$A$2:$A$2000,0)+1,MATCH(F$2,vdata_regressors!$A$1:$R$1,0)),"")</f>
        <v/>
      </c>
      <c r="G986" s="23" t="str">
        <f>IFERROR(INDEX(vdata_regressors!$A$1:$L$2000,MATCH($A986,vdata_regressors!$A$2:$A$2000,0)+1,MATCH(G$2,vdata_regressors!$A$1:$R$1,0)),"")</f>
        <v/>
      </c>
      <c r="H986" s="23" t="str">
        <f>IFERROR(INDEX(vdata_regressors!$A$1:$L$2000,MATCH($A986,vdata_regressors!$A$2:$A$2000,0)+1,MATCH(H$2,vdata_regressors!$A$1:$R$1,0)),"")</f>
        <v/>
      </c>
      <c r="I986" s="23" t="str">
        <f>IFERROR(INDEX(vdata_regressors!$A$1:$L$2000,MATCH($A986,vdata_regressors!$A$2:$A$2000,0)+1,MATCH(I$2,vdata_regressors!$A$1:$R$1,0)),"")</f>
        <v/>
      </c>
      <c r="J986" s="23" t="str">
        <f>IFERROR(INDEX(vdata_regressors!$A$1:$L$2000,MATCH($A986,vdata_regressors!$A$2:$A$2000,0)+1,MATCH(J$2,vdata_regressors!$A$1:$R$1,0)),"")</f>
        <v/>
      </c>
      <c r="K986" s="23" t="str">
        <f>IFERROR(INDEX(vdata_regressors!$A$1:$L$2000,MATCH($A986,vdata_regressors!$A$2:$A$2000,0)+1,MATCH(K$2,vdata_regressors!$A$1:$R$1,0)),"")</f>
        <v/>
      </c>
      <c r="L986" s="23" t="str">
        <f>IFERROR(INDEX(vdata_regressors!$A$1:$L$2000,MATCH($A986,vdata_regressors!$A$2:$A$2000,0)+1,MATCH(L$2,vdata_regressors!$A$1:$R$1,0)),"")</f>
        <v/>
      </c>
      <c r="M986" s="23" t="str">
        <f>IFERROR(VLOOKUP(A986,vdata_hours!$A$2:$B$1000,2,FALSE),"")</f>
        <v/>
      </c>
    </row>
    <row r="987" spans="1:13" x14ac:dyDescent="0.25">
      <c r="A987" s="23" t="str">
        <f>IF(vdata_hours!A986=0,"",vdata_hours!A986)</f>
        <v/>
      </c>
      <c r="B987" s="23" t="str">
        <f>IFERROR(INDEX(vdata_regressors!$A$1:$L$2000,MATCH($A987,vdata_regressors!$A$2:$A$2000,0)+1,MATCH(B$2,vdata_regressors!$A$1:$R$1,0)),"")</f>
        <v/>
      </c>
      <c r="C987" s="23" t="str">
        <f>IFERROR(INDEX(vdata_regressors!$A$1:$L$2000,MATCH($A987,vdata_regressors!$A$2:$A$2000,0)+1,MATCH(C$2,vdata_regressors!$A$1:$R$1,0)),"")</f>
        <v/>
      </c>
      <c r="D987" s="23" t="str">
        <f>IFERROR(INDEX(vdata_regressors!$A$1:$L$2000,MATCH($A987,vdata_regressors!$A$2:$A$2000,0)+1,MATCH(D$2,vdata_regressors!$A$1:$R$1,0)),"")</f>
        <v/>
      </c>
      <c r="E987" s="23" t="str">
        <f>IFERROR(INDEX(vdata_regressors!$A$1:$L$2000,MATCH($A987,vdata_regressors!$A$2:$A$2000,0)+1,MATCH(E$2,vdata_regressors!$A$1:$R$1,0)),"")</f>
        <v/>
      </c>
      <c r="F987" s="23" t="str">
        <f>IFERROR(INDEX(vdata_regressors!$A$1:$L$2000,MATCH($A987,vdata_regressors!$A$2:$A$2000,0)+1,MATCH(F$2,vdata_regressors!$A$1:$R$1,0)),"")</f>
        <v/>
      </c>
      <c r="G987" s="23" t="str">
        <f>IFERROR(INDEX(vdata_regressors!$A$1:$L$2000,MATCH($A987,vdata_regressors!$A$2:$A$2000,0)+1,MATCH(G$2,vdata_regressors!$A$1:$R$1,0)),"")</f>
        <v/>
      </c>
      <c r="H987" s="23" t="str">
        <f>IFERROR(INDEX(vdata_regressors!$A$1:$L$2000,MATCH($A987,vdata_regressors!$A$2:$A$2000,0)+1,MATCH(H$2,vdata_regressors!$A$1:$R$1,0)),"")</f>
        <v/>
      </c>
      <c r="I987" s="23" t="str">
        <f>IFERROR(INDEX(vdata_regressors!$A$1:$L$2000,MATCH($A987,vdata_regressors!$A$2:$A$2000,0)+1,MATCH(I$2,vdata_regressors!$A$1:$R$1,0)),"")</f>
        <v/>
      </c>
      <c r="J987" s="23" t="str">
        <f>IFERROR(INDEX(vdata_regressors!$A$1:$L$2000,MATCH($A987,vdata_regressors!$A$2:$A$2000,0)+1,MATCH(J$2,vdata_regressors!$A$1:$R$1,0)),"")</f>
        <v/>
      </c>
      <c r="K987" s="23" t="str">
        <f>IFERROR(INDEX(vdata_regressors!$A$1:$L$2000,MATCH($A987,vdata_regressors!$A$2:$A$2000,0)+1,MATCH(K$2,vdata_regressors!$A$1:$R$1,0)),"")</f>
        <v/>
      </c>
      <c r="L987" s="23" t="str">
        <f>IFERROR(INDEX(vdata_regressors!$A$1:$L$2000,MATCH($A987,vdata_regressors!$A$2:$A$2000,0)+1,MATCH(L$2,vdata_regressors!$A$1:$R$1,0)),"")</f>
        <v/>
      </c>
      <c r="M987" s="23" t="str">
        <f>IFERROR(VLOOKUP(A987,vdata_hours!$A$2:$B$1000,2,FALSE),"")</f>
        <v/>
      </c>
    </row>
    <row r="988" spans="1:13" x14ac:dyDescent="0.25">
      <c r="A988" s="23" t="str">
        <f>IF(vdata_hours!A987=0,"",vdata_hours!A987)</f>
        <v/>
      </c>
      <c r="B988" s="23" t="str">
        <f>IFERROR(INDEX(vdata_regressors!$A$1:$L$2000,MATCH($A988,vdata_regressors!$A$2:$A$2000,0)+1,MATCH(B$2,vdata_regressors!$A$1:$R$1,0)),"")</f>
        <v/>
      </c>
      <c r="C988" s="23" t="str">
        <f>IFERROR(INDEX(vdata_regressors!$A$1:$L$2000,MATCH($A988,vdata_regressors!$A$2:$A$2000,0)+1,MATCH(C$2,vdata_regressors!$A$1:$R$1,0)),"")</f>
        <v/>
      </c>
      <c r="D988" s="23" t="str">
        <f>IFERROR(INDEX(vdata_regressors!$A$1:$L$2000,MATCH($A988,vdata_regressors!$A$2:$A$2000,0)+1,MATCH(D$2,vdata_regressors!$A$1:$R$1,0)),"")</f>
        <v/>
      </c>
      <c r="E988" s="23" t="str">
        <f>IFERROR(INDEX(vdata_regressors!$A$1:$L$2000,MATCH($A988,vdata_regressors!$A$2:$A$2000,0)+1,MATCH(E$2,vdata_regressors!$A$1:$R$1,0)),"")</f>
        <v/>
      </c>
      <c r="F988" s="23" t="str">
        <f>IFERROR(INDEX(vdata_regressors!$A$1:$L$2000,MATCH($A988,vdata_regressors!$A$2:$A$2000,0)+1,MATCH(F$2,vdata_regressors!$A$1:$R$1,0)),"")</f>
        <v/>
      </c>
      <c r="G988" s="23" t="str">
        <f>IFERROR(INDEX(vdata_regressors!$A$1:$L$2000,MATCH($A988,vdata_regressors!$A$2:$A$2000,0)+1,MATCH(G$2,vdata_regressors!$A$1:$R$1,0)),"")</f>
        <v/>
      </c>
      <c r="H988" s="23" t="str">
        <f>IFERROR(INDEX(vdata_regressors!$A$1:$L$2000,MATCH($A988,vdata_regressors!$A$2:$A$2000,0)+1,MATCH(H$2,vdata_regressors!$A$1:$R$1,0)),"")</f>
        <v/>
      </c>
      <c r="I988" s="23" t="str">
        <f>IFERROR(INDEX(vdata_regressors!$A$1:$L$2000,MATCH($A988,vdata_regressors!$A$2:$A$2000,0)+1,MATCH(I$2,vdata_regressors!$A$1:$R$1,0)),"")</f>
        <v/>
      </c>
      <c r="J988" s="23" t="str">
        <f>IFERROR(INDEX(vdata_regressors!$A$1:$L$2000,MATCH($A988,vdata_regressors!$A$2:$A$2000,0)+1,MATCH(J$2,vdata_regressors!$A$1:$R$1,0)),"")</f>
        <v/>
      </c>
      <c r="K988" s="23" t="str">
        <f>IFERROR(INDEX(vdata_regressors!$A$1:$L$2000,MATCH($A988,vdata_regressors!$A$2:$A$2000,0)+1,MATCH(K$2,vdata_regressors!$A$1:$R$1,0)),"")</f>
        <v/>
      </c>
      <c r="L988" s="23" t="str">
        <f>IFERROR(INDEX(vdata_regressors!$A$1:$L$2000,MATCH($A988,vdata_regressors!$A$2:$A$2000,0)+1,MATCH(L$2,vdata_regressors!$A$1:$R$1,0)),"")</f>
        <v/>
      </c>
      <c r="M988" s="23" t="str">
        <f>IFERROR(VLOOKUP(A988,vdata_hours!$A$2:$B$1000,2,FALSE),"")</f>
        <v/>
      </c>
    </row>
    <row r="989" spans="1:13" x14ac:dyDescent="0.25">
      <c r="A989" s="23" t="str">
        <f>IF(vdata_hours!A988=0,"",vdata_hours!A988)</f>
        <v/>
      </c>
      <c r="B989" s="23" t="str">
        <f>IFERROR(INDEX(vdata_regressors!$A$1:$L$2000,MATCH($A989,vdata_regressors!$A$2:$A$2000,0)+1,MATCH(B$2,vdata_regressors!$A$1:$R$1,0)),"")</f>
        <v/>
      </c>
      <c r="C989" s="23" t="str">
        <f>IFERROR(INDEX(vdata_regressors!$A$1:$L$2000,MATCH($A989,vdata_regressors!$A$2:$A$2000,0)+1,MATCH(C$2,vdata_regressors!$A$1:$R$1,0)),"")</f>
        <v/>
      </c>
      <c r="D989" s="23" t="str">
        <f>IFERROR(INDEX(vdata_regressors!$A$1:$L$2000,MATCH($A989,vdata_regressors!$A$2:$A$2000,0)+1,MATCH(D$2,vdata_regressors!$A$1:$R$1,0)),"")</f>
        <v/>
      </c>
      <c r="E989" s="23" t="str">
        <f>IFERROR(INDEX(vdata_regressors!$A$1:$L$2000,MATCH($A989,vdata_regressors!$A$2:$A$2000,0)+1,MATCH(E$2,vdata_regressors!$A$1:$R$1,0)),"")</f>
        <v/>
      </c>
      <c r="F989" s="23" t="str">
        <f>IFERROR(INDEX(vdata_regressors!$A$1:$L$2000,MATCH($A989,vdata_regressors!$A$2:$A$2000,0)+1,MATCH(F$2,vdata_regressors!$A$1:$R$1,0)),"")</f>
        <v/>
      </c>
      <c r="G989" s="23" t="str">
        <f>IFERROR(INDEX(vdata_regressors!$A$1:$L$2000,MATCH($A989,vdata_regressors!$A$2:$A$2000,0)+1,MATCH(G$2,vdata_regressors!$A$1:$R$1,0)),"")</f>
        <v/>
      </c>
      <c r="H989" s="23" t="str">
        <f>IFERROR(INDEX(vdata_regressors!$A$1:$L$2000,MATCH($A989,vdata_regressors!$A$2:$A$2000,0)+1,MATCH(H$2,vdata_regressors!$A$1:$R$1,0)),"")</f>
        <v/>
      </c>
      <c r="I989" s="23" t="str">
        <f>IFERROR(INDEX(vdata_regressors!$A$1:$L$2000,MATCH($A989,vdata_regressors!$A$2:$A$2000,0)+1,MATCH(I$2,vdata_regressors!$A$1:$R$1,0)),"")</f>
        <v/>
      </c>
      <c r="J989" s="23" t="str">
        <f>IFERROR(INDEX(vdata_regressors!$A$1:$L$2000,MATCH($A989,vdata_regressors!$A$2:$A$2000,0)+1,MATCH(J$2,vdata_regressors!$A$1:$R$1,0)),"")</f>
        <v/>
      </c>
      <c r="K989" s="23" t="str">
        <f>IFERROR(INDEX(vdata_regressors!$A$1:$L$2000,MATCH($A989,vdata_regressors!$A$2:$A$2000,0)+1,MATCH(K$2,vdata_regressors!$A$1:$R$1,0)),"")</f>
        <v/>
      </c>
      <c r="L989" s="23" t="str">
        <f>IFERROR(INDEX(vdata_regressors!$A$1:$L$2000,MATCH($A989,vdata_regressors!$A$2:$A$2000,0)+1,MATCH(L$2,vdata_regressors!$A$1:$R$1,0)),"")</f>
        <v/>
      </c>
      <c r="M989" s="23" t="str">
        <f>IFERROR(VLOOKUP(A989,vdata_hours!$A$2:$B$1000,2,FALSE),"")</f>
        <v/>
      </c>
    </row>
    <row r="990" spans="1:13" x14ac:dyDescent="0.25">
      <c r="A990" s="23" t="str">
        <f>IF(vdata_hours!A989=0,"",vdata_hours!A989)</f>
        <v/>
      </c>
      <c r="B990" s="23" t="str">
        <f>IFERROR(INDEX(vdata_regressors!$A$1:$L$2000,MATCH($A990,vdata_regressors!$A$2:$A$2000,0)+1,MATCH(B$2,vdata_regressors!$A$1:$R$1,0)),"")</f>
        <v/>
      </c>
      <c r="C990" s="23" t="str">
        <f>IFERROR(INDEX(vdata_regressors!$A$1:$L$2000,MATCH($A990,vdata_regressors!$A$2:$A$2000,0)+1,MATCH(C$2,vdata_regressors!$A$1:$R$1,0)),"")</f>
        <v/>
      </c>
      <c r="D990" s="23" t="str">
        <f>IFERROR(INDEX(vdata_regressors!$A$1:$L$2000,MATCH($A990,vdata_regressors!$A$2:$A$2000,0)+1,MATCH(D$2,vdata_regressors!$A$1:$R$1,0)),"")</f>
        <v/>
      </c>
      <c r="E990" s="23" t="str">
        <f>IFERROR(INDEX(vdata_regressors!$A$1:$L$2000,MATCH($A990,vdata_regressors!$A$2:$A$2000,0)+1,MATCH(E$2,vdata_regressors!$A$1:$R$1,0)),"")</f>
        <v/>
      </c>
      <c r="F990" s="23" t="str">
        <f>IFERROR(INDEX(vdata_regressors!$A$1:$L$2000,MATCH($A990,vdata_regressors!$A$2:$A$2000,0)+1,MATCH(F$2,vdata_regressors!$A$1:$R$1,0)),"")</f>
        <v/>
      </c>
      <c r="G990" s="23" t="str">
        <f>IFERROR(INDEX(vdata_regressors!$A$1:$L$2000,MATCH($A990,vdata_regressors!$A$2:$A$2000,0)+1,MATCH(G$2,vdata_regressors!$A$1:$R$1,0)),"")</f>
        <v/>
      </c>
      <c r="H990" s="23" t="str">
        <f>IFERROR(INDEX(vdata_regressors!$A$1:$L$2000,MATCH($A990,vdata_regressors!$A$2:$A$2000,0)+1,MATCH(H$2,vdata_regressors!$A$1:$R$1,0)),"")</f>
        <v/>
      </c>
      <c r="I990" s="23" t="str">
        <f>IFERROR(INDEX(vdata_regressors!$A$1:$L$2000,MATCH($A990,vdata_regressors!$A$2:$A$2000,0)+1,MATCH(I$2,vdata_regressors!$A$1:$R$1,0)),"")</f>
        <v/>
      </c>
      <c r="J990" s="23" t="str">
        <f>IFERROR(INDEX(vdata_regressors!$A$1:$L$2000,MATCH($A990,vdata_regressors!$A$2:$A$2000,0)+1,MATCH(J$2,vdata_regressors!$A$1:$R$1,0)),"")</f>
        <v/>
      </c>
      <c r="K990" s="23" t="str">
        <f>IFERROR(INDEX(vdata_regressors!$A$1:$L$2000,MATCH($A990,vdata_regressors!$A$2:$A$2000,0)+1,MATCH(K$2,vdata_regressors!$A$1:$R$1,0)),"")</f>
        <v/>
      </c>
      <c r="L990" s="23" t="str">
        <f>IFERROR(INDEX(vdata_regressors!$A$1:$L$2000,MATCH($A990,vdata_regressors!$A$2:$A$2000,0)+1,MATCH(L$2,vdata_regressors!$A$1:$R$1,0)),"")</f>
        <v/>
      </c>
      <c r="M990" s="23" t="str">
        <f>IFERROR(VLOOKUP(A990,vdata_hours!$A$2:$B$1000,2,FALSE),"")</f>
        <v/>
      </c>
    </row>
    <row r="991" spans="1:13" x14ac:dyDescent="0.25">
      <c r="A991" s="23" t="str">
        <f>IF(vdata_hours!A990=0,"",vdata_hours!A990)</f>
        <v/>
      </c>
      <c r="B991" s="23" t="str">
        <f>IFERROR(INDEX(vdata_regressors!$A$1:$L$2000,MATCH($A991,vdata_regressors!$A$2:$A$2000,0)+1,MATCH(B$2,vdata_regressors!$A$1:$R$1,0)),"")</f>
        <v/>
      </c>
      <c r="C991" s="23" t="str">
        <f>IFERROR(INDEX(vdata_regressors!$A$1:$L$2000,MATCH($A991,vdata_regressors!$A$2:$A$2000,0)+1,MATCH(C$2,vdata_regressors!$A$1:$R$1,0)),"")</f>
        <v/>
      </c>
      <c r="D991" s="23" t="str">
        <f>IFERROR(INDEX(vdata_regressors!$A$1:$L$2000,MATCH($A991,vdata_regressors!$A$2:$A$2000,0)+1,MATCH(D$2,vdata_regressors!$A$1:$R$1,0)),"")</f>
        <v/>
      </c>
      <c r="E991" s="23" t="str">
        <f>IFERROR(INDEX(vdata_regressors!$A$1:$L$2000,MATCH($A991,vdata_regressors!$A$2:$A$2000,0)+1,MATCH(E$2,vdata_regressors!$A$1:$R$1,0)),"")</f>
        <v/>
      </c>
      <c r="F991" s="23" t="str">
        <f>IFERROR(INDEX(vdata_regressors!$A$1:$L$2000,MATCH($A991,vdata_regressors!$A$2:$A$2000,0)+1,MATCH(F$2,vdata_regressors!$A$1:$R$1,0)),"")</f>
        <v/>
      </c>
      <c r="G991" s="23" t="str">
        <f>IFERROR(INDEX(vdata_regressors!$A$1:$L$2000,MATCH($A991,vdata_regressors!$A$2:$A$2000,0)+1,MATCH(G$2,vdata_regressors!$A$1:$R$1,0)),"")</f>
        <v/>
      </c>
      <c r="H991" s="23" t="str">
        <f>IFERROR(INDEX(vdata_regressors!$A$1:$L$2000,MATCH($A991,vdata_regressors!$A$2:$A$2000,0)+1,MATCH(H$2,vdata_regressors!$A$1:$R$1,0)),"")</f>
        <v/>
      </c>
      <c r="I991" s="23" t="str">
        <f>IFERROR(INDEX(vdata_regressors!$A$1:$L$2000,MATCH($A991,vdata_regressors!$A$2:$A$2000,0)+1,MATCH(I$2,vdata_regressors!$A$1:$R$1,0)),"")</f>
        <v/>
      </c>
      <c r="J991" s="23" t="str">
        <f>IFERROR(INDEX(vdata_regressors!$A$1:$L$2000,MATCH($A991,vdata_regressors!$A$2:$A$2000,0)+1,MATCH(J$2,vdata_regressors!$A$1:$R$1,0)),"")</f>
        <v/>
      </c>
      <c r="K991" s="23" t="str">
        <f>IFERROR(INDEX(vdata_regressors!$A$1:$L$2000,MATCH($A991,vdata_regressors!$A$2:$A$2000,0)+1,MATCH(K$2,vdata_regressors!$A$1:$R$1,0)),"")</f>
        <v/>
      </c>
      <c r="L991" s="23" t="str">
        <f>IFERROR(INDEX(vdata_regressors!$A$1:$L$2000,MATCH($A991,vdata_regressors!$A$2:$A$2000,0)+1,MATCH(L$2,vdata_regressors!$A$1:$R$1,0)),"")</f>
        <v/>
      </c>
      <c r="M991" s="23" t="str">
        <f>IFERROR(VLOOKUP(A991,vdata_hours!$A$2:$B$1000,2,FALSE),"")</f>
        <v/>
      </c>
    </row>
    <row r="992" spans="1:13" x14ac:dyDescent="0.25">
      <c r="A992" s="23" t="str">
        <f>IF(vdata_hours!A991=0,"",vdata_hours!A991)</f>
        <v/>
      </c>
      <c r="B992" s="23" t="str">
        <f>IFERROR(INDEX(vdata_regressors!$A$1:$L$2000,MATCH($A992,vdata_regressors!$A$2:$A$2000,0)+1,MATCH(B$2,vdata_regressors!$A$1:$R$1,0)),"")</f>
        <v/>
      </c>
      <c r="C992" s="23" t="str">
        <f>IFERROR(INDEX(vdata_regressors!$A$1:$L$2000,MATCH($A992,vdata_regressors!$A$2:$A$2000,0)+1,MATCH(C$2,vdata_regressors!$A$1:$R$1,0)),"")</f>
        <v/>
      </c>
      <c r="D992" s="23" t="str">
        <f>IFERROR(INDEX(vdata_regressors!$A$1:$L$2000,MATCH($A992,vdata_regressors!$A$2:$A$2000,0)+1,MATCH(D$2,vdata_regressors!$A$1:$R$1,0)),"")</f>
        <v/>
      </c>
      <c r="E992" s="23" t="str">
        <f>IFERROR(INDEX(vdata_regressors!$A$1:$L$2000,MATCH($A992,vdata_regressors!$A$2:$A$2000,0)+1,MATCH(E$2,vdata_regressors!$A$1:$R$1,0)),"")</f>
        <v/>
      </c>
      <c r="F992" s="23" t="str">
        <f>IFERROR(INDEX(vdata_regressors!$A$1:$L$2000,MATCH($A992,vdata_regressors!$A$2:$A$2000,0)+1,MATCH(F$2,vdata_regressors!$A$1:$R$1,0)),"")</f>
        <v/>
      </c>
      <c r="G992" s="23" t="str">
        <f>IFERROR(INDEX(vdata_regressors!$A$1:$L$2000,MATCH($A992,vdata_regressors!$A$2:$A$2000,0)+1,MATCH(G$2,vdata_regressors!$A$1:$R$1,0)),"")</f>
        <v/>
      </c>
      <c r="H992" s="23" t="str">
        <f>IFERROR(INDEX(vdata_regressors!$A$1:$L$2000,MATCH($A992,vdata_regressors!$A$2:$A$2000,0)+1,MATCH(H$2,vdata_regressors!$A$1:$R$1,0)),"")</f>
        <v/>
      </c>
      <c r="I992" s="23" t="str">
        <f>IFERROR(INDEX(vdata_regressors!$A$1:$L$2000,MATCH($A992,vdata_regressors!$A$2:$A$2000,0)+1,MATCH(I$2,vdata_regressors!$A$1:$R$1,0)),"")</f>
        <v/>
      </c>
      <c r="J992" s="23" t="str">
        <f>IFERROR(INDEX(vdata_regressors!$A$1:$L$2000,MATCH($A992,vdata_regressors!$A$2:$A$2000,0)+1,MATCH(J$2,vdata_regressors!$A$1:$R$1,0)),"")</f>
        <v/>
      </c>
      <c r="K992" s="23" t="str">
        <f>IFERROR(INDEX(vdata_regressors!$A$1:$L$2000,MATCH($A992,vdata_regressors!$A$2:$A$2000,0)+1,MATCH(K$2,vdata_regressors!$A$1:$R$1,0)),"")</f>
        <v/>
      </c>
      <c r="L992" s="23" t="str">
        <f>IFERROR(INDEX(vdata_regressors!$A$1:$L$2000,MATCH($A992,vdata_regressors!$A$2:$A$2000,0)+1,MATCH(L$2,vdata_regressors!$A$1:$R$1,0)),"")</f>
        <v/>
      </c>
      <c r="M992" s="23" t="str">
        <f>IFERROR(VLOOKUP(A992,vdata_hours!$A$2:$B$1000,2,FALSE),"")</f>
        <v/>
      </c>
    </row>
    <row r="993" spans="1:13" x14ac:dyDescent="0.25">
      <c r="A993" s="23" t="str">
        <f>IF(vdata_hours!A992=0,"",vdata_hours!A992)</f>
        <v/>
      </c>
      <c r="B993" s="23" t="str">
        <f>IFERROR(INDEX(vdata_regressors!$A$1:$L$2000,MATCH($A993,vdata_regressors!$A$2:$A$2000,0)+1,MATCH(B$2,vdata_regressors!$A$1:$R$1,0)),"")</f>
        <v/>
      </c>
      <c r="C993" s="23" t="str">
        <f>IFERROR(INDEX(vdata_regressors!$A$1:$L$2000,MATCH($A993,vdata_regressors!$A$2:$A$2000,0)+1,MATCH(C$2,vdata_regressors!$A$1:$R$1,0)),"")</f>
        <v/>
      </c>
      <c r="D993" s="23" t="str">
        <f>IFERROR(INDEX(vdata_regressors!$A$1:$L$2000,MATCH($A993,vdata_regressors!$A$2:$A$2000,0)+1,MATCH(D$2,vdata_regressors!$A$1:$R$1,0)),"")</f>
        <v/>
      </c>
      <c r="E993" s="23" t="str">
        <f>IFERROR(INDEX(vdata_regressors!$A$1:$L$2000,MATCH($A993,vdata_regressors!$A$2:$A$2000,0)+1,MATCH(E$2,vdata_regressors!$A$1:$R$1,0)),"")</f>
        <v/>
      </c>
      <c r="F993" s="23" t="str">
        <f>IFERROR(INDEX(vdata_regressors!$A$1:$L$2000,MATCH($A993,vdata_regressors!$A$2:$A$2000,0)+1,MATCH(F$2,vdata_regressors!$A$1:$R$1,0)),"")</f>
        <v/>
      </c>
      <c r="G993" s="23" t="str">
        <f>IFERROR(INDEX(vdata_regressors!$A$1:$L$2000,MATCH($A993,vdata_regressors!$A$2:$A$2000,0)+1,MATCH(G$2,vdata_regressors!$A$1:$R$1,0)),"")</f>
        <v/>
      </c>
      <c r="H993" s="23" t="str">
        <f>IFERROR(INDEX(vdata_regressors!$A$1:$L$2000,MATCH($A993,vdata_regressors!$A$2:$A$2000,0)+1,MATCH(H$2,vdata_regressors!$A$1:$R$1,0)),"")</f>
        <v/>
      </c>
      <c r="I993" s="23" t="str">
        <f>IFERROR(INDEX(vdata_regressors!$A$1:$L$2000,MATCH($A993,vdata_regressors!$A$2:$A$2000,0)+1,MATCH(I$2,vdata_regressors!$A$1:$R$1,0)),"")</f>
        <v/>
      </c>
      <c r="J993" s="23" t="str">
        <f>IFERROR(INDEX(vdata_regressors!$A$1:$L$2000,MATCH($A993,vdata_regressors!$A$2:$A$2000,0)+1,MATCH(J$2,vdata_regressors!$A$1:$R$1,0)),"")</f>
        <v/>
      </c>
      <c r="K993" s="23" t="str">
        <f>IFERROR(INDEX(vdata_regressors!$A$1:$L$2000,MATCH($A993,vdata_regressors!$A$2:$A$2000,0)+1,MATCH(K$2,vdata_regressors!$A$1:$R$1,0)),"")</f>
        <v/>
      </c>
      <c r="L993" s="23" t="str">
        <f>IFERROR(INDEX(vdata_regressors!$A$1:$L$2000,MATCH($A993,vdata_regressors!$A$2:$A$2000,0)+1,MATCH(L$2,vdata_regressors!$A$1:$R$1,0)),"")</f>
        <v/>
      </c>
      <c r="M993" s="23" t="str">
        <f>IFERROR(VLOOKUP(A993,vdata_hours!$A$2:$B$1000,2,FALSE),"")</f>
        <v/>
      </c>
    </row>
    <row r="994" spans="1:13" x14ac:dyDescent="0.25">
      <c r="A994" s="23" t="str">
        <f>IF(vdata_hours!A993=0,"",vdata_hours!A993)</f>
        <v/>
      </c>
      <c r="B994" s="23" t="str">
        <f>IFERROR(INDEX(vdata_regressors!$A$1:$L$2000,MATCH($A994,vdata_regressors!$A$2:$A$2000,0)+1,MATCH(B$2,vdata_regressors!$A$1:$R$1,0)),"")</f>
        <v/>
      </c>
      <c r="C994" s="23" t="str">
        <f>IFERROR(INDEX(vdata_regressors!$A$1:$L$2000,MATCH($A994,vdata_regressors!$A$2:$A$2000,0)+1,MATCH(C$2,vdata_regressors!$A$1:$R$1,0)),"")</f>
        <v/>
      </c>
      <c r="D994" s="23" t="str">
        <f>IFERROR(INDEX(vdata_regressors!$A$1:$L$2000,MATCH($A994,vdata_regressors!$A$2:$A$2000,0)+1,MATCH(D$2,vdata_regressors!$A$1:$R$1,0)),"")</f>
        <v/>
      </c>
      <c r="E994" s="23" t="str">
        <f>IFERROR(INDEX(vdata_regressors!$A$1:$L$2000,MATCH($A994,vdata_regressors!$A$2:$A$2000,0)+1,MATCH(E$2,vdata_regressors!$A$1:$R$1,0)),"")</f>
        <v/>
      </c>
      <c r="F994" s="23" t="str">
        <f>IFERROR(INDEX(vdata_regressors!$A$1:$L$2000,MATCH($A994,vdata_regressors!$A$2:$A$2000,0)+1,MATCH(F$2,vdata_regressors!$A$1:$R$1,0)),"")</f>
        <v/>
      </c>
      <c r="G994" s="23" t="str">
        <f>IFERROR(INDEX(vdata_regressors!$A$1:$L$2000,MATCH($A994,vdata_regressors!$A$2:$A$2000,0)+1,MATCH(G$2,vdata_regressors!$A$1:$R$1,0)),"")</f>
        <v/>
      </c>
      <c r="H994" s="23" t="str">
        <f>IFERROR(INDEX(vdata_regressors!$A$1:$L$2000,MATCH($A994,vdata_regressors!$A$2:$A$2000,0)+1,MATCH(H$2,vdata_regressors!$A$1:$R$1,0)),"")</f>
        <v/>
      </c>
      <c r="I994" s="23" t="str">
        <f>IFERROR(INDEX(vdata_regressors!$A$1:$L$2000,MATCH($A994,vdata_regressors!$A$2:$A$2000,0)+1,MATCH(I$2,vdata_regressors!$A$1:$R$1,0)),"")</f>
        <v/>
      </c>
      <c r="J994" s="23" t="str">
        <f>IFERROR(INDEX(vdata_regressors!$A$1:$L$2000,MATCH($A994,vdata_regressors!$A$2:$A$2000,0)+1,MATCH(J$2,vdata_regressors!$A$1:$R$1,0)),"")</f>
        <v/>
      </c>
      <c r="K994" s="23" t="str">
        <f>IFERROR(INDEX(vdata_regressors!$A$1:$L$2000,MATCH($A994,vdata_regressors!$A$2:$A$2000,0)+1,MATCH(K$2,vdata_regressors!$A$1:$R$1,0)),"")</f>
        <v/>
      </c>
      <c r="L994" s="23" t="str">
        <f>IFERROR(INDEX(vdata_regressors!$A$1:$L$2000,MATCH($A994,vdata_regressors!$A$2:$A$2000,0)+1,MATCH(L$2,vdata_regressors!$A$1:$R$1,0)),"")</f>
        <v/>
      </c>
      <c r="M994" s="23" t="str">
        <f>IFERROR(VLOOKUP(A994,vdata_hours!$A$2:$B$1000,2,FALSE),"")</f>
        <v/>
      </c>
    </row>
    <row r="995" spans="1:13" x14ac:dyDescent="0.25">
      <c r="A995" s="23" t="str">
        <f>IF(vdata_hours!A994=0,"",vdata_hours!A994)</f>
        <v/>
      </c>
      <c r="B995" s="23" t="str">
        <f>IFERROR(INDEX(vdata_regressors!$A$1:$L$2000,MATCH($A995,vdata_regressors!$A$2:$A$2000,0)+1,MATCH(B$2,vdata_regressors!$A$1:$R$1,0)),"")</f>
        <v/>
      </c>
      <c r="C995" s="23" t="str">
        <f>IFERROR(INDEX(vdata_regressors!$A$1:$L$2000,MATCH($A995,vdata_regressors!$A$2:$A$2000,0)+1,MATCH(C$2,vdata_regressors!$A$1:$R$1,0)),"")</f>
        <v/>
      </c>
      <c r="D995" s="23" t="str">
        <f>IFERROR(INDEX(vdata_regressors!$A$1:$L$2000,MATCH($A995,vdata_regressors!$A$2:$A$2000,0)+1,MATCH(D$2,vdata_regressors!$A$1:$R$1,0)),"")</f>
        <v/>
      </c>
      <c r="E995" s="23" t="str">
        <f>IFERROR(INDEX(vdata_regressors!$A$1:$L$2000,MATCH($A995,vdata_regressors!$A$2:$A$2000,0)+1,MATCH(E$2,vdata_regressors!$A$1:$R$1,0)),"")</f>
        <v/>
      </c>
      <c r="F995" s="23" t="str">
        <f>IFERROR(INDEX(vdata_regressors!$A$1:$L$2000,MATCH($A995,vdata_regressors!$A$2:$A$2000,0)+1,MATCH(F$2,vdata_regressors!$A$1:$R$1,0)),"")</f>
        <v/>
      </c>
      <c r="G995" s="23" t="str">
        <f>IFERROR(INDEX(vdata_regressors!$A$1:$L$2000,MATCH($A995,vdata_regressors!$A$2:$A$2000,0)+1,MATCH(G$2,vdata_regressors!$A$1:$R$1,0)),"")</f>
        <v/>
      </c>
      <c r="H995" s="23" t="str">
        <f>IFERROR(INDEX(vdata_regressors!$A$1:$L$2000,MATCH($A995,vdata_regressors!$A$2:$A$2000,0)+1,MATCH(H$2,vdata_regressors!$A$1:$R$1,0)),"")</f>
        <v/>
      </c>
      <c r="I995" s="23" t="str">
        <f>IFERROR(INDEX(vdata_regressors!$A$1:$L$2000,MATCH($A995,vdata_regressors!$A$2:$A$2000,0)+1,MATCH(I$2,vdata_regressors!$A$1:$R$1,0)),"")</f>
        <v/>
      </c>
      <c r="J995" s="23" t="str">
        <f>IFERROR(INDEX(vdata_regressors!$A$1:$L$2000,MATCH($A995,vdata_regressors!$A$2:$A$2000,0)+1,MATCH(J$2,vdata_regressors!$A$1:$R$1,0)),"")</f>
        <v/>
      </c>
      <c r="K995" s="23" t="str">
        <f>IFERROR(INDEX(vdata_regressors!$A$1:$L$2000,MATCH($A995,vdata_regressors!$A$2:$A$2000,0)+1,MATCH(K$2,vdata_regressors!$A$1:$R$1,0)),"")</f>
        <v/>
      </c>
      <c r="L995" s="23" t="str">
        <f>IFERROR(INDEX(vdata_regressors!$A$1:$L$2000,MATCH($A995,vdata_regressors!$A$2:$A$2000,0)+1,MATCH(L$2,vdata_regressors!$A$1:$R$1,0)),"")</f>
        <v/>
      </c>
      <c r="M995" s="23" t="str">
        <f>IFERROR(VLOOKUP(A995,vdata_hours!$A$2:$B$1000,2,FALSE),"")</f>
        <v/>
      </c>
    </row>
    <row r="996" spans="1:13" x14ac:dyDescent="0.25">
      <c r="A996" s="23" t="str">
        <f>IF(vdata_hours!A995=0,"",vdata_hours!A995)</f>
        <v/>
      </c>
      <c r="B996" s="23" t="str">
        <f>IFERROR(INDEX(vdata_regressors!$A$1:$L$2000,MATCH($A996,vdata_regressors!$A$2:$A$2000,0)+1,MATCH(B$2,vdata_regressors!$A$1:$R$1,0)),"")</f>
        <v/>
      </c>
      <c r="C996" s="23" t="str">
        <f>IFERROR(INDEX(vdata_regressors!$A$1:$L$2000,MATCH($A996,vdata_regressors!$A$2:$A$2000,0)+1,MATCH(C$2,vdata_regressors!$A$1:$R$1,0)),"")</f>
        <v/>
      </c>
      <c r="D996" s="23" t="str">
        <f>IFERROR(INDEX(vdata_regressors!$A$1:$L$2000,MATCH($A996,vdata_regressors!$A$2:$A$2000,0)+1,MATCH(D$2,vdata_regressors!$A$1:$R$1,0)),"")</f>
        <v/>
      </c>
      <c r="E996" s="23" t="str">
        <f>IFERROR(INDEX(vdata_regressors!$A$1:$L$2000,MATCH($A996,vdata_regressors!$A$2:$A$2000,0)+1,MATCH(E$2,vdata_regressors!$A$1:$R$1,0)),"")</f>
        <v/>
      </c>
      <c r="F996" s="23" t="str">
        <f>IFERROR(INDEX(vdata_regressors!$A$1:$L$2000,MATCH($A996,vdata_regressors!$A$2:$A$2000,0)+1,MATCH(F$2,vdata_regressors!$A$1:$R$1,0)),"")</f>
        <v/>
      </c>
      <c r="G996" s="23" t="str">
        <f>IFERROR(INDEX(vdata_regressors!$A$1:$L$2000,MATCH($A996,vdata_regressors!$A$2:$A$2000,0)+1,MATCH(G$2,vdata_regressors!$A$1:$R$1,0)),"")</f>
        <v/>
      </c>
      <c r="H996" s="23" t="str">
        <f>IFERROR(INDEX(vdata_regressors!$A$1:$L$2000,MATCH($A996,vdata_regressors!$A$2:$A$2000,0)+1,MATCH(H$2,vdata_regressors!$A$1:$R$1,0)),"")</f>
        <v/>
      </c>
      <c r="I996" s="23" t="str">
        <f>IFERROR(INDEX(vdata_regressors!$A$1:$L$2000,MATCH($A996,vdata_regressors!$A$2:$A$2000,0)+1,MATCH(I$2,vdata_regressors!$A$1:$R$1,0)),"")</f>
        <v/>
      </c>
      <c r="J996" s="23" t="str">
        <f>IFERROR(INDEX(vdata_regressors!$A$1:$L$2000,MATCH($A996,vdata_regressors!$A$2:$A$2000,0)+1,MATCH(J$2,vdata_regressors!$A$1:$R$1,0)),"")</f>
        <v/>
      </c>
      <c r="K996" s="23" t="str">
        <f>IFERROR(INDEX(vdata_regressors!$A$1:$L$2000,MATCH($A996,vdata_regressors!$A$2:$A$2000,0)+1,MATCH(K$2,vdata_regressors!$A$1:$R$1,0)),"")</f>
        <v/>
      </c>
      <c r="L996" s="23" t="str">
        <f>IFERROR(INDEX(vdata_regressors!$A$1:$L$2000,MATCH($A996,vdata_regressors!$A$2:$A$2000,0)+1,MATCH(L$2,vdata_regressors!$A$1:$R$1,0)),"")</f>
        <v/>
      </c>
      <c r="M996" s="23" t="str">
        <f>IFERROR(VLOOKUP(A996,vdata_hours!$A$2:$B$1000,2,FALSE),"")</f>
        <v/>
      </c>
    </row>
    <row r="997" spans="1:13" x14ac:dyDescent="0.25">
      <c r="A997" s="23" t="str">
        <f>IF(vdata_hours!A996=0,"",vdata_hours!A996)</f>
        <v/>
      </c>
      <c r="B997" s="23" t="str">
        <f>IFERROR(INDEX(vdata_regressors!$A$1:$L$2000,MATCH($A997,vdata_regressors!$A$2:$A$2000,0)+1,MATCH(B$2,vdata_regressors!$A$1:$R$1,0)),"")</f>
        <v/>
      </c>
      <c r="C997" s="23" t="str">
        <f>IFERROR(INDEX(vdata_regressors!$A$1:$L$2000,MATCH($A997,vdata_regressors!$A$2:$A$2000,0)+1,MATCH(C$2,vdata_regressors!$A$1:$R$1,0)),"")</f>
        <v/>
      </c>
      <c r="D997" s="23" t="str">
        <f>IFERROR(INDEX(vdata_regressors!$A$1:$L$2000,MATCH($A997,vdata_regressors!$A$2:$A$2000,0)+1,MATCH(D$2,vdata_regressors!$A$1:$R$1,0)),"")</f>
        <v/>
      </c>
      <c r="E997" s="23" t="str">
        <f>IFERROR(INDEX(vdata_regressors!$A$1:$L$2000,MATCH($A997,vdata_regressors!$A$2:$A$2000,0)+1,MATCH(E$2,vdata_regressors!$A$1:$R$1,0)),"")</f>
        <v/>
      </c>
      <c r="F997" s="23" t="str">
        <f>IFERROR(INDEX(vdata_regressors!$A$1:$L$2000,MATCH($A997,vdata_regressors!$A$2:$A$2000,0)+1,MATCH(F$2,vdata_regressors!$A$1:$R$1,0)),"")</f>
        <v/>
      </c>
      <c r="G997" s="23" t="str">
        <f>IFERROR(INDEX(vdata_regressors!$A$1:$L$2000,MATCH($A997,vdata_regressors!$A$2:$A$2000,0)+1,MATCH(G$2,vdata_regressors!$A$1:$R$1,0)),"")</f>
        <v/>
      </c>
      <c r="H997" s="23" t="str">
        <f>IFERROR(INDEX(vdata_regressors!$A$1:$L$2000,MATCH($A997,vdata_regressors!$A$2:$A$2000,0)+1,MATCH(H$2,vdata_regressors!$A$1:$R$1,0)),"")</f>
        <v/>
      </c>
      <c r="I997" s="23" t="str">
        <f>IFERROR(INDEX(vdata_regressors!$A$1:$L$2000,MATCH($A997,vdata_regressors!$A$2:$A$2000,0)+1,MATCH(I$2,vdata_regressors!$A$1:$R$1,0)),"")</f>
        <v/>
      </c>
      <c r="J997" s="23" t="str">
        <f>IFERROR(INDEX(vdata_regressors!$A$1:$L$2000,MATCH($A997,vdata_regressors!$A$2:$A$2000,0)+1,MATCH(J$2,vdata_regressors!$A$1:$R$1,0)),"")</f>
        <v/>
      </c>
      <c r="K997" s="23" t="str">
        <f>IFERROR(INDEX(vdata_regressors!$A$1:$L$2000,MATCH($A997,vdata_regressors!$A$2:$A$2000,0)+1,MATCH(K$2,vdata_regressors!$A$1:$R$1,0)),"")</f>
        <v/>
      </c>
      <c r="L997" s="23" t="str">
        <f>IFERROR(INDEX(vdata_regressors!$A$1:$L$2000,MATCH($A997,vdata_regressors!$A$2:$A$2000,0)+1,MATCH(L$2,vdata_regressors!$A$1:$R$1,0)),"")</f>
        <v/>
      </c>
      <c r="M997" s="23" t="str">
        <f>IFERROR(VLOOKUP(A997,vdata_hours!$A$2:$B$1000,2,FALSE),"")</f>
        <v/>
      </c>
    </row>
    <row r="998" spans="1:13" x14ac:dyDescent="0.25">
      <c r="A998" s="23" t="str">
        <f>IF(vdata_hours!A997=0,"",vdata_hours!A997)</f>
        <v/>
      </c>
      <c r="B998" s="23" t="str">
        <f>IFERROR(INDEX(vdata_regressors!$A$1:$L$2000,MATCH($A998,vdata_regressors!$A$2:$A$2000,0)+1,MATCH(B$2,vdata_regressors!$A$1:$R$1,0)),"")</f>
        <v/>
      </c>
      <c r="C998" s="23" t="str">
        <f>IFERROR(INDEX(vdata_regressors!$A$1:$L$2000,MATCH($A998,vdata_regressors!$A$2:$A$2000,0)+1,MATCH(C$2,vdata_regressors!$A$1:$R$1,0)),"")</f>
        <v/>
      </c>
      <c r="D998" s="23" t="str">
        <f>IFERROR(INDEX(vdata_regressors!$A$1:$L$2000,MATCH($A998,vdata_regressors!$A$2:$A$2000,0)+1,MATCH(D$2,vdata_regressors!$A$1:$R$1,0)),"")</f>
        <v/>
      </c>
      <c r="E998" s="23" t="str">
        <f>IFERROR(INDEX(vdata_regressors!$A$1:$L$2000,MATCH($A998,vdata_regressors!$A$2:$A$2000,0)+1,MATCH(E$2,vdata_regressors!$A$1:$R$1,0)),"")</f>
        <v/>
      </c>
      <c r="F998" s="23" t="str">
        <f>IFERROR(INDEX(vdata_regressors!$A$1:$L$2000,MATCH($A998,vdata_regressors!$A$2:$A$2000,0)+1,MATCH(F$2,vdata_regressors!$A$1:$R$1,0)),"")</f>
        <v/>
      </c>
      <c r="G998" s="23" t="str">
        <f>IFERROR(INDEX(vdata_regressors!$A$1:$L$2000,MATCH($A998,vdata_regressors!$A$2:$A$2000,0)+1,MATCH(G$2,vdata_regressors!$A$1:$R$1,0)),"")</f>
        <v/>
      </c>
      <c r="H998" s="23" t="str">
        <f>IFERROR(INDEX(vdata_regressors!$A$1:$L$2000,MATCH($A998,vdata_regressors!$A$2:$A$2000,0)+1,MATCH(H$2,vdata_regressors!$A$1:$R$1,0)),"")</f>
        <v/>
      </c>
      <c r="I998" s="23" t="str">
        <f>IFERROR(INDEX(vdata_regressors!$A$1:$L$2000,MATCH($A998,vdata_regressors!$A$2:$A$2000,0)+1,MATCH(I$2,vdata_regressors!$A$1:$R$1,0)),"")</f>
        <v/>
      </c>
      <c r="J998" s="23" t="str">
        <f>IFERROR(INDEX(vdata_regressors!$A$1:$L$2000,MATCH($A998,vdata_regressors!$A$2:$A$2000,0)+1,MATCH(J$2,vdata_regressors!$A$1:$R$1,0)),"")</f>
        <v/>
      </c>
      <c r="K998" s="23" t="str">
        <f>IFERROR(INDEX(vdata_regressors!$A$1:$L$2000,MATCH($A998,vdata_regressors!$A$2:$A$2000,0)+1,MATCH(K$2,vdata_regressors!$A$1:$R$1,0)),"")</f>
        <v/>
      </c>
      <c r="L998" s="23" t="str">
        <f>IFERROR(INDEX(vdata_regressors!$A$1:$L$2000,MATCH($A998,vdata_regressors!$A$2:$A$2000,0)+1,MATCH(L$2,vdata_regressors!$A$1:$R$1,0)),"")</f>
        <v/>
      </c>
      <c r="M998" s="23" t="str">
        <f>IFERROR(VLOOKUP(A998,vdata_hours!$A$2:$B$1000,2,FALSE),"")</f>
        <v/>
      </c>
    </row>
    <row r="999" spans="1:13" x14ac:dyDescent="0.25">
      <c r="A999" s="23" t="str">
        <f>IF(vdata_hours!A998=0,"",vdata_hours!A998)</f>
        <v/>
      </c>
      <c r="B999" s="23" t="str">
        <f>IFERROR(INDEX(vdata_regressors!$A$1:$L$2000,MATCH($A999,vdata_regressors!$A$2:$A$2000,0)+1,MATCH(B$2,vdata_regressors!$A$1:$R$1,0)),"")</f>
        <v/>
      </c>
      <c r="C999" s="23" t="str">
        <f>IFERROR(INDEX(vdata_regressors!$A$1:$L$2000,MATCH($A999,vdata_regressors!$A$2:$A$2000,0)+1,MATCH(C$2,vdata_regressors!$A$1:$R$1,0)),"")</f>
        <v/>
      </c>
      <c r="D999" s="23" t="str">
        <f>IFERROR(INDEX(vdata_regressors!$A$1:$L$2000,MATCH($A999,vdata_regressors!$A$2:$A$2000,0)+1,MATCH(D$2,vdata_regressors!$A$1:$R$1,0)),"")</f>
        <v/>
      </c>
      <c r="E999" s="23" t="str">
        <f>IFERROR(INDEX(vdata_regressors!$A$1:$L$2000,MATCH($A999,vdata_regressors!$A$2:$A$2000,0)+1,MATCH(E$2,vdata_regressors!$A$1:$R$1,0)),"")</f>
        <v/>
      </c>
      <c r="F999" s="23" t="str">
        <f>IFERROR(INDEX(vdata_regressors!$A$1:$L$2000,MATCH($A999,vdata_regressors!$A$2:$A$2000,0)+1,MATCH(F$2,vdata_regressors!$A$1:$R$1,0)),"")</f>
        <v/>
      </c>
      <c r="G999" s="23" t="str">
        <f>IFERROR(INDEX(vdata_regressors!$A$1:$L$2000,MATCH($A999,vdata_regressors!$A$2:$A$2000,0)+1,MATCH(G$2,vdata_regressors!$A$1:$R$1,0)),"")</f>
        <v/>
      </c>
      <c r="H999" s="23" t="str">
        <f>IFERROR(INDEX(vdata_regressors!$A$1:$L$2000,MATCH($A999,vdata_regressors!$A$2:$A$2000,0)+1,MATCH(H$2,vdata_regressors!$A$1:$R$1,0)),"")</f>
        <v/>
      </c>
      <c r="I999" s="23" t="str">
        <f>IFERROR(INDEX(vdata_regressors!$A$1:$L$2000,MATCH($A999,vdata_regressors!$A$2:$A$2000,0)+1,MATCH(I$2,vdata_regressors!$A$1:$R$1,0)),"")</f>
        <v/>
      </c>
      <c r="J999" s="23" t="str">
        <f>IFERROR(INDEX(vdata_regressors!$A$1:$L$2000,MATCH($A999,vdata_regressors!$A$2:$A$2000,0)+1,MATCH(J$2,vdata_regressors!$A$1:$R$1,0)),"")</f>
        <v/>
      </c>
      <c r="K999" s="23" t="str">
        <f>IFERROR(INDEX(vdata_regressors!$A$1:$L$2000,MATCH($A999,vdata_regressors!$A$2:$A$2000,0)+1,MATCH(K$2,vdata_regressors!$A$1:$R$1,0)),"")</f>
        <v/>
      </c>
      <c r="L999" s="23" t="str">
        <f>IFERROR(INDEX(vdata_regressors!$A$1:$L$2000,MATCH($A999,vdata_regressors!$A$2:$A$2000,0)+1,MATCH(L$2,vdata_regressors!$A$1:$R$1,0)),"")</f>
        <v/>
      </c>
      <c r="M999" s="23" t="str">
        <f>IFERROR(VLOOKUP(A999,vdata_hours!$A$2:$B$1000,2,FALSE),"")</f>
        <v/>
      </c>
    </row>
    <row r="1000" spans="1:13" x14ac:dyDescent="0.25">
      <c r="A1000" s="23" t="str">
        <f>IF(vdata_hours!A999=0,"",vdata_hours!A999)</f>
        <v/>
      </c>
      <c r="B1000" s="23" t="str">
        <f>IFERROR(INDEX(vdata_regressors!$A$1:$L$2000,MATCH($A1000,vdata_regressors!$A$2:$A$2000,0)+1,MATCH(B$2,vdata_regressors!$A$1:$R$1,0)),"")</f>
        <v/>
      </c>
      <c r="C1000" s="23" t="str">
        <f>IFERROR(INDEX(vdata_regressors!$A$1:$L$2000,MATCH($A1000,vdata_regressors!$A$2:$A$2000,0)+1,MATCH(C$2,vdata_regressors!$A$1:$R$1,0)),"")</f>
        <v/>
      </c>
      <c r="D1000" s="23" t="str">
        <f>IFERROR(INDEX(vdata_regressors!$A$1:$L$2000,MATCH($A1000,vdata_regressors!$A$2:$A$2000,0)+1,MATCH(D$2,vdata_regressors!$A$1:$R$1,0)),"")</f>
        <v/>
      </c>
      <c r="E1000" s="23" t="str">
        <f>IFERROR(INDEX(vdata_regressors!$A$1:$L$2000,MATCH($A1000,vdata_regressors!$A$2:$A$2000,0)+1,MATCH(E$2,vdata_regressors!$A$1:$R$1,0)),"")</f>
        <v/>
      </c>
      <c r="F1000" s="23" t="str">
        <f>IFERROR(INDEX(vdata_regressors!$A$1:$L$2000,MATCH($A1000,vdata_regressors!$A$2:$A$2000,0)+1,MATCH(F$2,vdata_regressors!$A$1:$R$1,0)),"")</f>
        <v/>
      </c>
      <c r="G1000" s="23" t="str">
        <f>IFERROR(INDEX(vdata_regressors!$A$1:$L$2000,MATCH($A1000,vdata_regressors!$A$2:$A$2000,0)+1,MATCH(G$2,vdata_regressors!$A$1:$R$1,0)),"")</f>
        <v/>
      </c>
      <c r="H1000" s="23" t="str">
        <f>IFERROR(INDEX(vdata_regressors!$A$1:$L$2000,MATCH($A1000,vdata_regressors!$A$2:$A$2000,0)+1,MATCH(H$2,vdata_regressors!$A$1:$R$1,0)),"")</f>
        <v/>
      </c>
      <c r="I1000" s="23" t="str">
        <f>IFERROR(INDEX(vdata_regressors!$A$1:$L$2000,MATCH($A1000,vdata_regressors!$A$2:$A$2000,0)+1,MATCH(I$2,vdata_regressors!$A$1:$R$1,0)),"")</f>
        <v/>
      </c>
      <c r="J1000" s="23" t="str">
        <f>IFERROR(INDEX(vdata_regressors!$A$1:$L$2000,MATCH($A1000,vdata_regressors!$A$2:$A$2000,0)+1,MATCH(J$2,vdata_regressors!$A$1:$R$1,0)),"")</f>
        <v/>
      </c>
      <c r="K1000" s="23" t="str">
        <f>IFERROR(INDEX(vdata_regressors!$A$1:$L$2000,MATCH($A1000,vdata_regressors!$A$2:$A$2000,0)+1,MATCH(K$2,vdata_regressors!$A$1:$R$1,0)),"")</f>
        <v/>
      </c>
      <c r="L1000" s="23" t="str">
        <f>IFERROR(INDEX(vdata_regressors!$A$1:$L$2000,MATCH($A1000,vdata_regressors!$A$2:$A$2000,0)+1,MATCH(L$2,vdata_regressors!$A$1:$R$1,0)),"")</f>
        <v/>
      </c>
      <c r="M1000" s="23" t="str">
        <f>IFERROR(VLOOKUP(A1000,vdata_hours!$A$2:$B$1000,2,FALSE),"")</f>
        <v/>
      </c>
    </row>
  </sheetData>
  <mergeCells count="1">
    <mergeCell ref="B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_coeffecients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2038350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306"/>
  <sheetViews>
    <sheetView zoomScale="85" zoomScaleNormal="85" workbookViewId="0">
      <pane xSplit="1" ySplit="3" topLeftCell="F10" activePane="bottomRight" state="frozen"/>
      <selection pane="topRight" activeCell="B1" sqref="B1"/>
      <selection pane="bottomLeft" activeCell="A4" sqref="A4"/>
      <selection pane="bottomRight" sqref="A1:A3"/>
    </sheetView>
  </sheetViews>
  <sheetFormatPr defaultRowHeight="15" x14ac:dyDescent="0.25"/>
  <cols>
    <col min="1" max="1" width="27.5703125" bestFit="1" customWidth="1"/>
    <col min="2" max="2" width="26.5703125" hidden="1" customWidth="1"/>
    <col min="3" max="3" width="14" hidden="1" customWidth="1"/>
    <col min="4" max="5" width="9.140625" hidden="1" customWidth="1"/>
    <col min="7" max="7" width="9" customWidth="1"/>
    <col min="11" max="11" width="9.5703125" bestFit="1" customWidth="1"/>
    <col min="27" max="27" width="9.5703125" bestFit="1" customWidth="1"/>
    <col min="28" max="28" width="17" customWidth="1"/>
    <col min="29" max="29" width="15.42578125" hidden="1" customWidth="1"/>
    <col min="30" max="30" width="15.42578125" style="12" customWidth="1"/>
  </cols>
  <sheetData>
    <row r="1" spans="1:30" ht="27" customHeight="1" x14ac:dyDescent="0.25">
      <c r="A1" s="37" t="s">
        <v>53</v>
      </c>
      <c r="B1" s="8"/>
      <c r="C1" s="8"/>
      <c r="D1" s="8"/>
      <c r="E1" s="8"/>
      <c r="F1" s="30" t="s">
        <v>42</v>
      </c>
      <c r="G1" s="30"/>
      <c r="H1" s="30" t="s">
        <v>43</v>
      </c>
      <c r="I1" s="30"/>
      <c r="J1" s="30" t="s">
        <v>44</v>
      </c>
      <c r="K1" s="30"/>
      <c r="L1" s="30" t="s">
        <v>45</v>
      </c>
      <c r="M1" s="30"/>
      <c r="N1" s="30" t="s">
        <v>66</v>
      </c>
      <c r="O1" s="30"/>
      <c r="P1" s="30" t="s">
        <v>67</v>
      </c>
      <c r="Q1" s="30"/>
      <c r="R1" s="30" t="s">
        <v>68</v>
      </c>
      <c r="S1" s="30"/>
      <c r="T1" s="30" t="s">
        <v>46</v>
      </c>
      <c r="U1" s="30"/>
      <c r="V1" s="30" t="s">
        <v>47</v>
      </c>
      <c r="W1" s="30"/>
      <c r="X1" s="30" t="s">
        <v>48</v>
      </c>
      <c r="Y1" s="30"/>
      <c r="Z1" s="30" t="s">
        <v>49</v>
      </c>
      <c r="AA1" s="30"/>
      <c r="AB1" s="31" t="s">
        <v>57</v>
      </c>
      <c r="AC1" s="32"/>
      <c r="AD1" s="33"/>
    </row>
    <row r="2" spans="1:30" ht="27" customHeight="1" x14ac:dyDescent="0.25">
      <c r="A2" s="38"/>
      <c r="B2" s="8"/>
      <c r="C2" s="8"/>
      <c r="D2" s="8"/>
      <c r="E2" s="8"/>
      <c r="F2" s="2" t="s">
        <v>58</v>
      </c>
      <c r="G2" s="9">
        <f>IFERROR(INDEX(generated_coeffecients!$A$1:$B$20,MATCH(F$1,generated_coeffecients!$A$1:$A$50,0),2),0)</f>
        <v>1.88563782198456</v>
      </c>
      <c r="H2" s="2" t="s">
        <v>58</v>
      </c>
      <c r="I2" s="9">
        <f>IFERROR(INDEX(generated_coeffecients!$A$1:$B$20,MATCH(H$1,generated_coeffecients!$A$1:$A$50,0),2),0)</f>
        <v>4.33219042477754</v>
      </c>
      <c r="J2" s="2" t="s">
        <v>58</v>
      </c>
      <c r="K2" s="9">
        <f>IFERROR(INDEX(generated_coeffecients!$A$1:$B$20,MATCH(J$1,generated_coeffecients!$A$1:$A$50,0),2),0)</f>
        <v>18.023723845739799</v>
      </c>
      <c r="L2" s="2" t="s">
        <v>58</v>
      </c>
      <c r="M2" s="9">
        <f>IFERROR(INDEX(generated_coeffecients!$A$1:$B$20,MATCH(L$1,generated_coeffecients!$A$1:$A$50,0),2),0)</f>
        <v>0</v>
      </c>
      <c r="N2" s="2" t="s">
        <v>58</v>
      </c>
      <c r="O2" s="9">
        <f>IFERROR(INDEX(generated_coeffecients!$A$1:$B$20,MATCH(N$1,generated_coeffecients!$A$1:$A$50,0),2),0)</f>
        <v>9.6140786918237797</v>
      </c>
      <c r="P2" s="2" t="s">
        <v>58</v>
      </c>
      <c r="Q2" s="9">
        <f>IFERROR(INDEX(generated_coeffecients!$A$1:$B$20,MATCH(P$1,generated_coeffecients!$A$1:$A$50,0),2),0)</f>
        <v>-2.7990078936292302</v>
      </c>
      <c r="R2" s="2" t="s">
        <v>58</v>
      </c>
      <c r="S2" s="9">
        <f>IFERROR(INDEX(generated_coeffecients!$A$1:$B$20,MATCH(R$1,generated_coeffecients!$A$1:$A$50,0),2),0)</f>
        <v>0.26642950707521101</v>
      </c>
      <c r="T2" s="2" t="s">
        <v>58</v>
      </c>
      <c r="U2" s="9">
        <f>IFERROR(INDEX(generated_coeffecients!$A$1:$B$20,MATCH(T$1,generated_coeffecients!$A$1:$A$50,0),2),0)</f>
        <v>-3.7325022021383401</v>
      </c>
      <c r="V2" s="2" t="s">
        <v>58</v>
      </c>
      <c r="W2" s="9">
        <f>IFERROR(INDEX(generated_coeffecients!$A$1:$B$20,MATCH(V$1,generated_coeffecients!$A$1:$A$50,0),2),0)</f>
        <v>-12.9599305108687</v>
      </c>
      <c r="X2" s="2" t="s">
        <v>58</v>
      </c>
      <c r="Y2" s="9">
        <f>IFERROR(INDEX(generated_coeffecients!$A$1:$B$20,MATCH(X$1,generated_coeffecients!$A$1:$A$50,0),2),0)</f>
        <v>13.365994303350799</v>
      </c>
      <c r="Z2" s="2" t="s">
        <v>58</v>
      </c>
      <c r="AA2" s="9">
        <f>IFERROR(INDEX(generated_coeffecients!$A$1:$B$20,MATCH(Z$1,generated_coeffecients!$A$1:$A$50,0),2),0)</f>
        <v>24.3031804679799</v>
      </c>
      <c r="AB2" s="34"/>
      <c r="AC2" s="35"/>
      <c r="AD2" s="36"/>
    </row>
    <row r="3" spans="1:30" ht="18.75" customHeight="1" x14ac:dyDescent="0.25">
      <c r="A3" s="39"/>
      <c r="B3" s="8" t="s">
        <v>41</v>
      </c>
      <c r="C3" s="8" t="s">
        <v>54</v>
      </c>
      <c r="D3" s="8"/>
      <c r="E3" s="8"/>
      <c r="F3" s="2" t="s">
        <v>56</v>
      </c>
      <c r="G3" s="26" t="s">
        <v>51</v>
      </c>
      <c r="H3" s="2" t="s">
        <v>56</v>
      </c>
      <c r="I3" s="26" t="s">
        <v>51</v>
      </c>
      <c r="J3" s="2" t="s">
        <v>56</v>
      </c>
      <c r="K3" s="26" t="s">
        <v>51</v>
      </c>
      <c r="L3" s="2" t="s">
        <v>56</v>
      </c>
      <c r="M3" s="26" t="s">
        <v>51</v>
      </c>
      <c r="N3" s="2" t="s">
        <v>56</v>
      </c>
      <c r="O3" s="26" t="s">
        <v>51</v>
      </c>
      <c r="P3" s="2" t="s">
        <v>56</v>
      </c>
      <c r="Q3" s="26" t="s">
        <v>51</v>
      </c>
      <c r="R3" s="2" t="s">
        <v>56</v>
      </c>
      <c r="S3" s="26" t="s">
        <v>51</v>
      </c>
      <c r="T3" s="2" t="s">
        <v>56</v>
      </c>
      <c r="U3" s="26" t="s">
        <v>51</v>
      </c>
      <c r="V3" s="2" t="s">
        <v>56</v>
      </c>
      <c r="W3" s="26" t="s">
        <v>51</v>
      </c>
      <c r="X3" s="2" t="s">
        <v>56</v>
      </c>
      <c r="Y3" s="26" t="s">
        <v>51</v>
      </c>
      <c r="Z3" s="2" t="s">
        <v>56</v>
      </c>
      <c r="AA3" s="26" t="s">
        <v>51</v>
      </c>
      <c r="AB3" s="3" t="s">
        <v>649</v>
      </c>
      <c r="AC3" s="3" t="s">
        <v>55</v>
      </c>
      <c r="AD3" s="15" t="s">
        <v>56</v>
      </c>
    </row>
    <row r="4" spans="1:30" x14ac:dyDescent="0.25">
      <c r="A4" s="2" t="str">
        <f>IF(ISBLANK(v_data!A3),"",v_data!A3)</f>
        <v>SWOG-S0702</v>
      </c>
      <c r="B4" s="2" t="s">
        <v>22</v>
      </c>
      <c r="C4" s="2">
        <f>VLOOKUP(B4,variables!$A$2:$B$6,2,FALSE)</f>
        <v>0.8</v>
      </c>
      <c r="D4" s="4">
        <v>43839</v>
      </c>
      <c r="E4" s="4">
        <v>41548</v>
      </c>
      <c r="F4" s="2">
        <f>IF($A4="","",INDEX(v_data!$B$2:$L$1000,MATCH($A4,v_data!$A$3:$A$1000,0)+1,MATCH(LOWER(F$1),v_data!$B$2:$L$2,0)))</f>
        <v>0</v>
      </c>
      <c r="G4" s="2">
        <f>IF($A4="","",F4*G$2)</f>
        <v>0</v>
      </c>
      <c r="H4" s="2">
        <f>IF($A4="","",INDEX(v_data!$B$2:$L$1000,MATCH($A4,v_data!$A$3:$A$1000,0)+1,MATCH(LOWER(H$1),v_data!$B$2:$L$2,0)))</f>
        <v>0.25</v>
      </c>
      <c r="I4" s="2">
        <f t="shared" ref="I4" si="0">IF($A4="","",H4*I$2)</f>
        <v>1.083047606194385</v>
      </c>
      <c r="J4" s="2">
        <f>IF($A4="","",INDEX(v_data!$B$2:$L$1000,MATCH($A4,v_data!$A$3:$A$1000,0)+1,MATCH(LOWER(J$1),v_data!$B$2:$L$2,0)))</f>
        <v>0</v>
      </c>
      <c r="K4" s="2">
        <f t="shared" ref="K4" si="1">IF($A4="","",J4*K$2)</f>
        <v>0</v>
      </c>
      <c r="L4" s="2">
        <f>IF($A4="","",INDEX(v_data!$B$2:$L$1000,MATCH($A4,v_data!$A$3:$A$1000,0)+1,MATCH(LOWER(L$1),v_data!$B$2:$L$2,0)))</f>
        <v>0</v>
      </c>
      <c r="M4" s="2">
        <f t="shared" ref="M4" si="2">IF($A4="","",L4*M$2)</f>
        <v>0</v>
      </c>
      <c r="N4" s="2">
        <f>IF($A4="","",INDEX(v_data!$B$2:$L$1000,MATCH($A4,v_data!$A$3:$A$1000,0)+1,MATCH(LOWER(N$1),v_data!$B$2:$L$2,0)))</f>
        <v>5</v>
      </c>
      <c r="O4" s="2">
        <f t="shared" ref="O4" si="3">IF($A4="","",N4*O$2)</f>
        <v>48.070393459118897</v>
      </c>
      <c r="P4" s="2">
        <f>IF($A4="","",INDEX(v_data!$B$2:$L$1000,MATCH($A4,v_data!$A$3:$A$1000,0)+1,MATCH(LOWER(P$1),v_data!$B$2:$L$2,0)))</f>
        <v>12</v>
      </c>
      <c r="Q4" s="2">
        <f t="shared" ref="Q4" si="4">IF($A4="","",P4*Q$2)</f>
        <v>-33.588094723550761</v>
      </c>
      <c r="R4" s="2">
        <f>IF($A4="","",INDEX(v_data!$B$2:$L$1000,MATCH($A4,v_data!$A$3:$A$1000,0)+1,MATCH(LOWER(R$1),v_data!$B$2:$L$2,0)))</f>
        <v>0</v>
      </c>
      <c r="S4" s="2">
        <f t="shared" ref="S4" si="5">IF($A4="","",R4*S$2)</f>
        <v>0</v>
      </c>
      <c r="T4" s="2">
        <f>IF($A4="","",INDEX(v_data!$B$2:$L$1000,MATCH($A4,v_data!$A$3:$A$1000,0)+1,MATCH(LOWER(T$1),v_data!$B$2:$L$2,0)))</f>
        <v>5</v>
      </c>
      <c r="U4" s="2">
        <f t="shared" ref="U4" si="6">IF($A4="","",T4*U$2)</f>
        <v>-18.662511010691702</v>
      </c>
      <c r="V4" s="2">
        <f>IF($A4="","",INDEX(v_data!$B$2:$L$1000,MATCH($A4,v_data!$A$3:$A$1000,0)+1,MATCH(LOWER(V$1),v_data!$B$2:$L$2,0)))</f>
        <v>1</v>
      </c>
      <c r="W4" s="2">
        <f t="shared" ref="W4" si="7">IF($A4="","",V4*W$2)</f>
        <v>-12.9599305108687</v>
      </c>
      <c r="X4" s="2">
        <f>IF($A4="","",INDEX(v_data!$B$2:$L$1000,MATCH($A4,v_data!$A$3:$A$1000,0)+1,MATCH(LOWER(X$1),v_data!$B$2:$L$2,0)))</f>
        <v>0.5</v>
      </c>
      <c r="Y4" s="2">
        <f t="shared" ref="Y4" si="8">IF($A4="","",X4*Y$2)</f>
        <v>6.6829971516753996</v>
      </c>
      <c r="Z4" s="2">
        <f>IF($A4="","",INDEX(v_data!$B$2:$L$1000,MATCH($A4,v_data!$A$3:$A$1000,0)+1,MATCH(LOWER(Z$1),v_data!$B$2:$L$2,0)))</f>
        <v>0</v>
      </c>
      <c r="AA4" s="2">
        <f t="shared" ref="AA4:AA20" si="9">IF($A4="","",Z4*AA$2)</f>
        <v>0</v>
      </c>
      <c r="AB4" s="2">
        <f t="shared" ref="AB4:AB11" si="10">IF(A4="","",SUM(G4,I4,K4,M4,O4,Q4,S4,U4,W4,Y4,AA4))</f>
        <v>-9.3740980281224839</v>
      </c>
      <c r="AC4" s="2">
        <f>(SUM(G4,I4,K4,M4,O4,Q4,S4,U4,W4,Y4,AA4)+IF(AND(G4&gt;0,I4&gt;0,K4&gt;0),100,0))*VLOOKUP(B4,variables!$A$2:$B$6,2,FALSE)</f>
        <v>-7.4992784224979872</v>
      </c>
      <c r="AD4" s="16">
        <f>IF($A4="","",INDEX(v_data!$B$2:$X$1000,MATCH($A4,v_data!$A$3:$A$1000,0)+1,MATCH(LOWER("hours"),v_data!$B$2:$X$2,0)))</f>
        <v>0.5</v>
      </c>
    </row>
    <row r="5" spans="1:30" x14ac:dyDescent="0.25">
      <c r="A5" s="2" t="str">
        <f>IF(ISBLANK(v_data!A4),"",v_data!A4)</f>
        <v>GOG-0252</v>
      </c>
      <c r="B5" s="2" t="s">
        <v>4</v>
      </c>
      <c r="C5" s="2">
        <f>VLOOKUP(B5,variables!$A$2:$B$6,2,FALSE)</f>
        <v>0.6</v>
      </c>
      <c r="D5" s="4">
        <v>40877</v>
      </c>
      <c r="E5" s="4">
        <v>40756</v>
      </c>
      <c r="F5" s="2">
        <f>IF($A5="","",INDEX(v_data!$B$2:$L$1000,MATCH($A5,v_data!$A$3:$A$1000,0)+1,MATCH(LOWER(F$1),v_data!$B$2:$L$2,0)))</f>
        <v>0</v>
      </c>
      <c r="G5" s="2">
        <f t="shared" ref="G5" si="11">IF($A5="","",F5*G$2)</f>
        <v>0</v>
      </c>
      <c r="H5" s="2">
        <f>IF($A5="","",INDEX(v_data!$B$2:$L$1000,MATCH($A5,v_data!$A$3:$A$1000,0)+1,MATCH(LOWER(H$1),v_data!$B$2:$L$2,0)))</f>
        <v>0.25</v>
      </c>
      <c r="I5" s="2">
        <f t="shared" ref="I5" si="12">IF($A5="","",H5*I$2)</f>
        <v>1.083047606194385</v>
      </c>
      <c r="J5" s="2">
        <f>IF($A5="","",INDEX(v_data!$B$2:$L$1000,MATCH($A5,v_data!$A$3:$A$1000,0)+1,MATCH(LOWER(J$1),v_data!$B$2:$L$2,0)))</f>
        <v>0</v>
      </c>
      <c r="K5" s="2">
        <f t="shared" ref="K5" si="13">IF($A5="","",J5*K$2)</f>
        <v>0</v>
      </c>
      <c r="L5" s="2">
        <f>IF($A5="","",INDEX(v_data!$B$2:$L$1000,MATCH($A5,v_data!$A$3:$A$1000,0)+1,MATCH(LOWER(L$1),v_data!$B$2:$L$2,0)))</f>
        <v>0</v>
      </c>
      <c r="M5" s="2">
        <f t="shared" ref="M5" si="14">IF($A5="","",L5*M$2)</f>
        <v>0</v>
      </c>
      <c r="N5" s="2">
        <f>IF($A5="","",INDEX(v_data!$B$2:$L$1000,MATCH($A5,v_data!$A$3:$A$1000,0)+1,MATCH(LOWER(N$1),v_data!$B$2:$L$2,0)))</f>
        <v>3</v>
      </c>
      <c r="O5" s="2">
        <f t="shared" ref="O5" si="15">IF($A5="","",N5*O$2)</f>
        <v>28.842236075471341</v>
      </c>
      <c r="P5" s="2">
        <f>IF($A5="","",INDEX(v_data!$B$2:$L$1000,MATCH($A5,v_data!$A$3:$A$1000,0)+1,MATCH(LOWER(P$1),v_data!$B$2:$L$2,0)))</f>
        <v>10</v>
      </c>
      <c r="Q5" s="2">
        <f t="shared" ref="Q5" si="16">IF($A5="","",P5*Q$2)</f>
        <v>-27.990078936292303</v>
      </c>
      <c r="R5" s="2">
        <f>IF($A5="","",INDEX(v_data!$B$2:$L$1000,MATCH($A5,v_data!$A$3:$A$1000,0)+1,MATCH(LOWER(R$1),v_data!$B$2:$L$2,0)))</f>
        <v>0</v>
      </c>
      <c r="S5" s="2">
        <f t="shared" ref="S5" si="17">IF($A5="","",R5*S$2)</f>
        <v>0</v>
      </c>
      <c r="T5" s="2">
        <f>IF($A5="","",INDEX(v_data!$B$2:$L$1000,MATCH($A5,v_data!$A$3:$A$1000,0)+1,MATCH(LOWER(T$1),v_data!$B$2:$L$2,0)))</f>
        <v>4</v>
      </c>
      <c r="U5" s="2">
        <f t="shared" ref="U5" si="18">IF($A5="","",T5*U$2)</f>
        <v>-14.93000880855336</v>
      </c>
      <c r="V5" s="2">
        <f>IF($A5="","",INDEX(v_data!$B$2:$L$1000,MATCH($A5,v_data!$A$3:$A$1000,0)+1,MATCH(LOWER(V$1),v_data!$B$2:$L$2,0)))</f>
        <v>0.5</v>
      </c>
      <c r="W5" s="2">
        <f t="shared" ref="W5" si="19">IF($A5="","",V5*W$2)</f>
        <v>-6.4799652554343501</v>
      </c>
      <c r="X5" s="2">
        <f>IF($A5="","",INDEX(v_data!$B$2:$L$1000,MATCH($A5,v_data!$A$3:$A$1000,0)+1,MATCH(LOWER(X$1),v_data!$B$2:$L$2,0)))</f>
        <v>0.5</v>
      </c>
      <c r="Y5" s="2">
        <f t="shared" ref="Y5" si="20">IF($A5="","",X5*Y$2)</f>
        <v>6.6829971516753996</v>
      </c>
      <c r="Z5" s="2">
        <f>IF($A5="","",INDEX(v_data!$B$2:$L$1000,MATCH($A5,v_data!$A$3:$A$1000,0)+1,MATCH(LOWER(Z$1),v_data!$B$2:$L$2,0)))</f>
        <v>0</v>
      </c>
      <c r="AA5" s="2">
        <f t="shared" si="9"/>
        <v>0</v>
      </c>
      <c r="AB5" s="2">
        <f t="shared" si="10"/>
        <v>-12.791772166938889</v>
      </c>
      <c r="AC5" s="2">
        <f>(SUM(G5,I5,K5,M5,O5,Q5,S5,U5,W5,Y5,AA5)+IF(AND(G5&gt;0,I5&gt;0,K5&gt;0),100,0))*VLOOKUP(B5,variables!$A$2:$B$6,2,FALSE)</f>
        <v>-7.675063300163333</v>
      </c>
      <c r="AD5" s="16">
        <f>IF($A5="","",INDEX(v_data!$B$2:$X$1000,MATCH($A5,v_data!$A$3:$A$1000,0)+1,MATCH(LOWER("hours"),v_data!$B$2:$X$2,0)))</f>
        <v>1.5</v>
      </c>
    </row>
    <row r="6" spans="1:30" x14ac:dyDescent="0.25">
      <c r="A6" s="2" t="str">
        <f>IF(ISBLANK(v_data!A5),"",v_data!A5)</f>
        <v>CHAN-2015-1</v>
      </c>
      <c r="B6" s="2" t="s">
        <v>0</v>
      </c>
      <c r="C6" s="2">
        <f>VLOOKUP(B6,variables!$A$2:$B$6,2,FALSE)</f>
        <v>0.6</v>
      </c>
      <c r="D6" s="4">
        <v>42339</v>
      </c>
      <c r="E6" s="2"/>
      <c r="F6" s="2">
        <f>IF($A6="","",INDEX(v_data!$B$2:$L$1000,MATCH($A6,v_data!$A$3:$A$1000,0)+1,MATCH(LOWER(F$1),v_data!$B$2:$L$2,0)))</f>
        <v>1</v>
      </c>
      <c r="G6" s="2">
        <f t="shared" ref="G6" si="21">IF($A6="","",F6*G$2)</f>
        <v>1.88563782198456</v>
      </c>
      <c r="H6" s="2">
        <f>IF($A6="","",INDEX(v_data!$B$2:$L$1000,MATCH($A6,v_data!$A$3:$A$1000,0)+1,MATCH(LOWER(H$1),v_data!$B$2:$L$2,0)))</f>
        <v>0.25</v>
      </c>
      <c r="I6" s="2">
        <f t="shared" ref="I6" si="22">IF($A6="","",H6*I$2)</f>
        <v>1.083047606194385</v>
      </c>
      <c r="J6" s="2">
        <f>IF($A6="","",INDEX(v_data!$B$2:$L$1000,MATCH($A6,v_data!$A$3:$A$1000,0)+1,MATCH(LOWER(J$1),v_data!$B$2:$L$2,0)))</f>
        <v>0</v>
      </c>
      <c r="K6" s="2">
        <f t="shared" ref="K6" si="23">IF($A6="","",J6*K$2)</f>
        <v>0</v>
      </c>
      <c r="L6" s="2">
        <f>IF($A6="","",INDEX(v_data!$B$2:$L$1000,MATCH($A6,v_data!$A$3:$A$1000,0)+1,MATCH(LOWER(L$1),v_data!$B$2:$L$2,0)))</f>
        <v>0</v>
      </c>
      <c r="M6" s="2">
        <f t="shared" ref="M6" si="24">IF($A6="","",L6*M$2)</f>
        <v>0</v>
      </c>
      <c r="N6" s="2">
        <f>IF($A6="","",INDEX(v_data!$B$2:$L$1000,MATCH($A6,v_data!$A$3:$A$1000,0)+1,MATCH(LOWER(N$1),v_data!$B$2:$L$2,0)))</f>
        <v>2</v>
      </c>
      <c r="O6" s="2">
        <f t="shared" ref="O6" si="25">IF($A6="","",N6*O$2)</f>
        <v>19.228157383647559</v>
      </c>
      <c r="P6" s="2">
        <f>IF($A6="","",INDEX(v_data!$B$2:$L$1000,MATCH($A6,v_data!$A$3:$A$1000,0)+1,MATCH(LOWER(P$1),v_data!$B$2:$L$2,0)))</f>
        <v>7</v>
      </c>
      <c r="Q6" s="2">
        <f t="shared" ref="Q6" si="26">IF($A6="","",P6*Q$2)</f>
        <v>-19.593055255404611</v>
      </c>
      <c r="R6" s="2">
        <f>IF($A6="","",INDEX(v_data!$B$2:$L$1000,MATCH($A6,v_data!$A$3:$A$1000,0)+1,MATCH(LOWER(R$1),v_data!$B$2:$L$2,0)))</f>
        <v>0</v>
      </c>
      <c r="S6" s="2">
        <f t="shared" ref="S6" si="27">IF($A6="","",R6*S$2)</f>
        <v>0</v>
      </c>
      <c r="T6" s="2">
        <f>IF($A6="","",INDEX(v_data!$B$2:$L$1000,MATCH($A6,v_data!$A$3:$A$1000,0)+1,MATCH(LOWER(T$1),v_data!$B$2:$L$2,0)))</f>
        <v>0</v>
      </c>
      <c r="U6" s="2">
        <f t="shared" ref="U6" si="28">IF($A6="","",T6*U$2)</f>
        <v>0</v>
      </c>
      <c r="V6" s="2">
        <f>IF($A6="","",INDEX(v_data!$B$2:$L$1000,MATCH($A6,v_data!$A$3:$A$1000,0)+1,MATCH(LOWER(V$1),v_data!$B$2:$L$2,0)))</f>
        <v>0.75</v>
      </c>
      <c r="W6" s="2">
        <f t="shared" ref="W6" si="29">IF($A6="","",V6*W$2)</f>
        <v>-9.7199478831515247</v>
      </c>
      <c r="X6" s="2">
        <f>IF($A6="","",INDEX(v_data!$B$2:$L$1000,MATCH($A6,v_data!$A$3:$A$1000,0)+1,MATCH(LOWER(X$1),v_data!$B$2:$L$2,0)))</f>
        <v>1</v>
      </c>
      <c r="Y6" s="2">
        <f t="shared" ref="Y6" si="30">IF($A6="","",X6*Y$2)</f>
        <v>13.365994303350799</v>
      </c>
      <c r="Z6" s="2">
        <f>IF($A6="","",INDEX(v_data!$B$2:$L$1000,MATCH($A6,v_data!$A$3:$A$1000,0)+1,MATCH(LOWER(Z$1),v_data!$B$2:$L$2,0)))</f>
        <v>0</v>
      </c>
      <c r="AA6" s="2">
        <f t="shared" si="9"/>
        <v>0</v>
      </c>
      <c r="AB6" s="2">
        <f t="shared" si="10"/>
        <v>6.2498339766211668</v>
      </c>
      <c r="AC6" s="2">
        <f>(SUM(G6,I6,K6,M6,O6,Q6,S6,U6,W6,Y6,AA6)+IF(AND(G6&gt;0,I6&gt;0,K6&gt;0),100,0))*VLOOKUP(B6,variables!$A$2:$B$6,2,FALSE)</f>
        <v>3.7499003859726998</v>
      </c>
      <c r="AD6" s="16">
        <f>IF($A6="","",INDEX(v_data!$B$2:$X$1000,MATCH($A6,v_data!$A$3:$A$1000,0)+1,MATCH(LOWER("hours"),v_data!$B$2:$X$2,0)))</f>
        <v>1.5</v>
      </c>
    </row>
    <row r="7" spans="1:30" x14ac:dyDescent="0.25">
      <c r="A7" s="2" t="str">
        <f>IF(ISBLANK(v_data!A6),"",v_data!A6)</f>
        <v>BANTUM-2017-1</v>
      </c>
      <c r="B7" s="2" t="s">
        <v>0</v>
      </c>
      <c r="C7" s="2">
        <f>VLOOKUP(B7,variables!$A$2:$B$6,2,FALSE)</f>
        <v>0.6</v>
      </c>
      <c r="D7" s="4">
        <v>43629</v>
      </c>
      <c r="E7" s="4">
        <v>43836</v>
      </c>
      <c r="F7" s="2">
        <f>IF($A7="","",INDEX(v_data!$B$2:$L$1000,MATCH($A7,v_data!$A$3:$A$1000,0)+1,MATCH(LOWER(F$1),v_data!$B$2:$L$2,0)))</f>
        <v>1</v>
      </c>
      <c r="G7" s="2">
        <f t="shared" ref="G7" si="31">IF($A7="","",F7*G$2)</f>
        <v>1.88563782198456</v>
      </c>
      <c r="H7" s="2">
        <f>IF($A7="","",INDEX(v_data!$B$2:$L$1000,MATCH($A7,v_data!$A$3:$A$1000,0)+1,MATCH(LOWER(H$1),v_data!$B$2:$L$2,0)))</f>
        <v>1</v>
      </c>
      <c r="I7" s="2">
        <f t="shared" ref="I7" si="32">IF($A7="","",H7*I$2)</f>
        <v>4.33219042477754</v>
      </c>
      <c r="J7" s="2">
        <f>IF($A7="","",INDEX(v_data!$B$2:$L$1000,MATCH($A7,v_data!$A$3:$A$1000,0)+1,MATCH(LOWER(J$1),v_data!$B$2:$L$2,0)))</f>
        <v>0</v>
      </c>
      <c r="K7" s="2">
        <f t="shared" ref="K7" si="33">IF($A7="","",J7*K$2)</f>
        <v>0</v>
      </c>
      <c r="L7" s="2">
        <f>IF($A7="","",INDEX(v_data!$B$2:$L$1000,MATCH($A7,v_data!$A$3:$A$1000,0)+1,MATCH(LOWER(L$1),v_data!$B$2:$L$2,0)))</f>
        <v>0</v>
      </c>
      <c r="M7" s="2">
        <f t="shared" ref="M7" si="34">IF($A7="","",L7*M$2)</f>
        <v>0</v>
      </c>
      <c r="N7" s="2">
        <f>IF($A7="","",INDEX(v_data!$B$2:$L$1000,MATCH($A7,v_data!$A$3:$A$1000,0)+1,MATCH(LOWER(N$1),v_data!$B$2:$L$2,0)))</f>
        <v>1</v>
      </c>
      <c r="O7" s="2">
        <f t="shared" ref="O7" si="35">IF($A7="","",N7*O$2)</f>
        <v>9.6140786918237797</v>
      </c>
      <c r="P7" s="2">
        <f>IF($A7="","",INDEX(v_data!$B$2:$L$1000,MATCH($A7,v_data!$A$3:$A$1000,0)+1,MATCH(LOWER(P$1),v_data!$B$2:$L$2,0)))</f>
        <v>1</v>
      </c>
      <c r="Q7" s="2">
        <f t="shared" ref="Q7" si="36">IF($A7="","",P7*Q$2)</f>
        <v>-2.7990078936292302</v>
      </c>
      <c r="R7" s="2">
        <f>IF($A7="","",INDEX(v_data!$B$2:$L$1000,MATCH($A7,v_data!$A$3:$A$1000,0)+1,MATCH(LOWER(R$1),v_data!$B$2:$L$2,0)))</f>
        <v>0</v>
      </c>
      <c r="S7" s="2">
        <f t="shared" ref="S7" si="37">IF($A7="","",R7*S$2)</f>
        <v>0</v>
      </c>
      <c r="T7" s="2">
        <f>IF($A7="","",INDEX(v_data!$B$2:$L$1000,MATCH($A7,v_data!$A$3:$A$1000,0)+1,MATCH(LOWER(T$1),v_data!$B$2:$L$2,0)))</f>
        <v>0</v>
      </c>
      <c r="U7" s="2">
        <f t="shared" ref="U7" si="38">IF($A7="","",T7*U$2)</f>
        <v>0</v>
      </c>
      <c r="V7" s="2">
        <f>IF($A7="","",INDEX(v_data!$B$2:$L$1000,MATCH($A7,v_data!$A$3:$A$1000,0)+1,MATCH(LOWER(V$1),v_data!$B$2:$L$2,0)))</f>
        <v>0.75</v>
      </c>
      <c r="W7" s="2">
        <f t="shared" ref="W7" si="39">IF($A7="","",V7*W$2)</f>
        <v>-9.7199478831515247</v>
      </c>
      <c r="X7" s="2">
        <f>IF($A7="","",INDEX(v_data!$B$2:$L$1000,MATCH($A7,v_data!$A$3:$A$1000,0)+1,MATCH(LOWER(X$1),v_data!$B$2:$L$2,0)))</f>
        <v>1</v>
      </c>
      <c r="Y7" s="2">
        <f t="shared" ref="Y7" si="40">IF($A7="","",X7*Y$2)</f>
        <v>13.365994303350799</v>
      </c>
      <c r="Z7" s="2">
        <f>IF($A7="","",INDEX(v_data!$B$2:$L$1000,MATCH($A7,v_data!$A$3:$A$1000,0)+1,MATCH(LOWER(Z$1),v_data!$B$2:$L$2,0)))</f>
        <v>0</v>
      </c>
      <c r="AA7" s="2">
        <f t="shared" si="9"/>
        <v>0</v>
      </c>
      <c r="AB7" s="2">
        <f t="shared" si="10"/>
        <v>16.678945465155923</v>
      </c>
      <c r="AC7" s="2">
        <f>(SUM(G7,I7,K7,M7,O7,Q7,S7,U7,W7,Y7,AA7)+IF(AND(G7&gt;0,I7&gt;0,K7&gt;0),100,0))*VLOOKUP(B7,variables!$A$2:$B$6,2,FALSE)</f>
        <v>10.007367279093554</v>
      </c>
      <c r="AD7" s="16">
        <f>IF($A7="","",INDEX(v_data!$B$2:$X$1000,MATCH($A7,v_data!$A$3:$A$1000,0)+1,MATCH(LOWER("hours"),v_data!$B$2:$X$2,0)))</f>
        <v>1.5</v>
      </c>
    </row>
    <row r="8" spans="1:30" x14ac:dyDescent="0.25">
      <c r="A8" s="2" t="str">
        <f>IF(ISBLANK(v_data!A7),"",v_data!A7)</f>
        <v>YU-2012-1</v>
      </c>
      <c r="B8" s="2" t="s">
        <v>4</v>
      </c>
      <c r="C8" s="2">
        <f>VLOOKUP(B8,variables!$A$2:$B$6,2,FALSE)</f>
        <v>0.6</v>
      </c>
      <c r="D8" s="4">
        <v>42420</v>
      </c>
      <c r="E8" s="2"/>
      <c r="F8" s="2">
        <f>IF($A8="","",INDEX(v_data!$B$2:$L$1000,MATCH($A8,v_data!$A$3:$A$1000,0)+1,MATCH(LOWER(F$1),v_data!$B$2:$L$2,0)))</f>
        <v>1</v>
      </c>
      <c r="G8" s="2">
        <f t="shared" ref="G8" si="41">IF($A8="","",F8*G$2)</f>
        <v>1.88563782198456</v>
      </c>
      <c r="H8" s="2">
        <f>IF($A8="","",INDEX(v_data!$B$2:$L$1000,MATCH($A8,v_data!$A$3:$A$1000,0)+1,MATCH(LOWER(H$1),v_data!$B$2:$L$2,0)))</f>
        <v>0.25</v>
      </c>
      <c r="I8" s="2">
        <f t="shared" ref="I8" si="42">IF($A8="","",H8*I$2)</f>
        <v>1.083047606194385</v>
      </c>
      <c r="J8" s="2">
        <f>IF($A8="","",INDEX(v_data!$B$2:$L$1000,MATCH($A8,v_data!$A$3:$A$1000,0)+1,MATCH(LOWER(J$1),v_data!$B$2:$L$2,0)))</f>
        <v>0</v>
      </c>
      <c r="K8" s="2">
        <f t="shared" ref="K8" si="43">IF($A8="","",J8*K$2)</f>
        <v>0</v>
      </c>
      <c r="L8" s="2">
        <f>IF($A8="","",INDEX(v_data!$B$2:$L$1000,MATCH($A8,v_data!$A$3:$A$1000,0)+1,MATCH(LOWER(L$1),v_data!$B$2:$L$2,0)))</f>
        <v>0</v>
      </c>
      <c r="M8" s="2">
        <f t="shared" ref="M8" si="44">IF($A8="","",L8*M$2)</f>
        <v>0</v>
      </c>
      <c r="N8" s="2">
        <f>IF($A8="","",INDEX(v_data!$B$2:$L$1000,MATCH($A8,v_data!$A$3:$A$1000,0)+1,MATCH(LOWER(N$1),v_data!$B$2:$L$2,0)))</f>
        <v>1</v>
      </c>
      <c r="O8" s="2">
        <f t="shared" ref="O8" si="45">IF($A8="","",N8*O$2)</f>
        <v>9.6140786918237797</v>
      </c>
      <c r="P8" s="2">
        <f>IF($A8="","",INDEX(v_data!$B$2:$L$1000,MATCH($A8,v_data!$A$3:$A$1000,0)+1,MATCH(LOWER(P$1),v_data!$B$2:$L$2,0)))</f>
        <v>1</v>
      </c>
      <c r="Q8" s="2">
        <f t="shared" ref="Q8" si="46">IF($A8="","",P8*Q$2)</f>
        <v>-2.7990078936292302</v>
      </c>
      <c r="R8" s="2">
        <f>IF($A8="","",INDEX(v_data!$B$2:$L$1000,MATCH($A8,v_data!$A$3:$A$1000,0)+1,MATCH(LOWER(R$1),v_data!$B$2:$L$2,0)))</f>
        <v>0</v>
      </c>
      <c r="S8" s="2">
        <f t="shared" ref="S8" si="47">IF($A8="","",R8*S$2)</f>
        <v>0</v>
      </c>
      <c r="T8" s="2">
        <f>IF($A8="","",INDEX(v_data!$B$2:$L$1000,MATCH($A8,v_data!$A$3:$A$1000,0)+1,MATCH(LOWER(T$1),v_data!$B$2:$L$2,0)))</f>
        <v>0</v>
      </c>
      <c r="U8" s="2">
        <f t="shared" ref="U8" si="48">IF($A8="","",T8*U$2)</f>
        <v>0</v>
      </c>
      <c r="V8" s="2">
        <f>IF($A8="","",INDEX(v_data!$B$2:$L$1000,MATCH($A8,v_data!$A$3:$A$1000,0)+1,MATCH(LOWER(V$1),v_data!$B$2:$L$2,0)))</f>
        <v>0.75</v>
      </c>
      <c r="W8" s="2">
        <f t="shared" ref="W8" si="49">IF($A8="","",V8*W$2)</f>
        <v>-9.7199478831515247</v>
      </c>
      <c r="X8" s="2">
        <f>IF($A8="","",INDEX(v_data!$B$2:$L$1000,MATCH($A8,v_data!$A$3:$A$1000,0)+1,MATCH(LOWER(X$1),v_data!$B$2:$L$2,0)))</f>
        <v>0.5</v>
      </c>
      <c r="Y8" s="2">
        <f t="shared" ref="Y8" si="50">IF($A8="","",X8*Y$2)</f>
        <v>6.6829971516753996</v>
      </c>
      <c r="Z8" s="2">
        <f>IF($A8="","",INDEX(v_data!$B$2:$L$1000,MATCH($A8,v_data!$A$3:$A$1000,0)+1,MATCH(LOWER(Z$1),v_data!$B$2:$L$2,0)))</f>
        <v>0</v>
      </c>
      <c r="AA8" s="2">
        <f t="shared" si="9"/>
        <v>0</v>
      </c>
      <c r="AB8" s="2">
        <f t="shared" si="10"/>
        <v>6.7468054948973695</v>
      </c>
      <c r="AC8" s="2">
        <f>(SUM(G8,I8,K8,M8,O8,Q8,S8,U8,W8,Y8,AA8)+IF(AND(G8&gt;0,I8&gt;0,K8&gt;0),100,0))*VLOOKUP(B8,variables!$A$2:$B$6,2,FALSE)</f>
        <v>4.0480832969384215</v>
      </c>
      <c r="AD8" s="16">
        <f>IF($A8="","",INDEX(v_data!$B$2:$X$1000,MATCH($A8,v_data!$A$3:$A$1000,0)+1,MATCH(LOWER("hours"),v_data!$B$2:$X$2,0)))</f>
        <v>2</v>
      </c>
    </row>
    <row r="9" spans="1:30" x14ac:dyDescent="0.25">
      <c r="A9" s="2" t="str">
        <f>IF(ISBLANK(v_data!A8),"",v_data!A8)</f>
        <v>SWOG-S1806</v>
      </c>
      <c r="B9" s="2" t="s">
        <v>0</v>
      </c>
      <c r="C9" s="2">
        <f>VLOOKUP(B9,variables!$A$2:$B$6,2,FALSE)</f>
        <v>0.6</v>
      </c>
      <c r="D9" s="4">
        <v>43803</v>
      </c>
      <c r="E9" s="2"/>
      <c r="F9" s="2">
        <f>IF($A9="","",INDEX(v_data!$B$2:$L$1000,MATCH($A9,v_data!$A$3:$A$1000,0)+1,MATCH(LOWER(F$1),v_data!$B$2:$L$2,0)))</f>
        <v>0</v>
      </c>
      <c r="G9" s="2">
        <f t="shared" ref="G9" si="51">IF($A9="","",F9*G$2)</f>
        <v>0</v>
      </c>
      <c r="H9" s="2">
        <f>IF($A9="","",INDEX(v_data!$B$2:$L$1000,MATCH($A9,v_data!$A$3:$A$1000,0)+1,MATCH(LOWER(H$1),v_data!$B$2:$L$2,0)))</f>
        <v>1</v>
      </c>
      <c r="I9" s="2">
        <f t="shared" ref="I9" si="52">IF($A9="","",H9*I$2)</f>
        <v>4.33219042477754</v>
      </c>
      <c r="J9" s="2">
        <f>IF($A9="","",INDEX(v_data!$B$2:$L$1000,MATCH($A9,v_data!$A$3:$A$1000,0)+1,MATCH(LOWER(J$1),v_data!$B$2:$L$2,0)))</f>
        <v>0</v>
      </c>
      <c r="K9" s="2">
        <f t="shared" ref="K9" si="53">IF($A9="","",J9*K$2)</f>
        <v>0</v>
      </c>
      <c r="L9" s="2">
        <f>IF($A9="","",INDEX(v_data!$B$2:$L$1000,MATCH($A9,v_data!$A$3:$A$1000,0)+1,MATCH(LOWER(L$1),v_data!$B$2:$L$2,0)))</f>
        <v>0</v>
      </c>
      <c r="M9" s="2">
        <f t="shared" ref="M9" si="54">IF($A9="","",L9*M$2)</f>
        <v>0</v>
      </c>
      <c r="N9" s="2">
        <f>IF($A9="","",INDEX(v_data!$B$2:$L$1000,MATCH($A9,v_data!$A$3:$A$1000,0)+1,MATCH(LOWER(N$1),v_data!$B$2:$L$2,0)))</f>
        <v>5</v>
      </c>
      <c r="O9" s="2">
        <f t="shared" ref="O9" si="55">IF($A9="","",N9*O$2)</f>
        <v>48.070393459118897</v>
      </c>
      <c r="P9" s="2">
        <f>IF($A9="","",INDEX(v_data!$B$2:$L$1000,MATCH($A9,v_data!$A$3:$A$1000,0)+1,MATCH(LOWER(P$1),v_data!$B$2:$L$2,0)))</f>
        <v>10</v>
      </c>
      <c r="Q9" s="2">
        <f t="shared" ref="Q9" si="56">IF($A9="","",P9*Q$2)</f>
        <v>-27.990078936292303</v>
      </c>
      <c r="R9" s="2">
        <f>IF($A9="","",INDEX(v_data!$B$2:$L$1000,MATCH($A9,v_data!$A$3:$A$1000,0)+1,MATCH(LOWER(R$1),v_data!$B$2:$L$2,0)))</f>
        <v>0</v>
      </c>
      <c r="S9" s="2">
        <f t="shared" ref="S9" si="57">IF($A9="","",R9*S$2)</f>
        <v>0</v>
      </c>
      <c r="T9" s="2">
        <f>IF($A9="","",INDEX(v_data!$B$2:$L$1000,MATCH($A9,v_data!$A$3:$A$1000,0)+1,MATCH(LOWER(T$1),v_data!$B$2:$L$2,0)))</f>
        <v>0</v>
      </c>
      <c r="U9" s="2">
        <f t="shared" ref="U9" si="58">IF($A9="","",T9*U$2)</f>
        <v>0</v>
      </c>
      <c r="V9" s="2">
        <f>IF($A9="","",INDEX(v_data!$B$2:$L$1000,MATCH($A9,v_data!$A$3:$A$1000,0)+1,MATCH(LOWER(V$1),v_data!$B$2:$L$2,0)))</f>
        <v>0.5</v>
      </c>
      <c r="W9" s="2">
        <f t="shared" ref="W9" si="59">IF($A9="","",V9*W$2)</f>
        <v>-6.4799652554343501</v>
      </c>
      <c r="X9" s="2">
        <f>IF($A9="","",INDEX(v_data!$B$2:$L$1000,MATCH($A9,v_data!$A$3:$A$1000,0)+1,MATCH(LOWER(X$1),v_data!$B$2:$L$2,0)))</f>
        <v>0.5</v>
      </c>
      <c r="Y9" s="2">
        <f t="shared" ref="Y9" si="60">IF($A9="","",X9*Y$2)</f>
        <v>6.6829971516753996</v>
      </c>
      <c r="Z9" s="2">
        <f>IF($A9="","",INDEX(v_data!$B$2:$L$1000,MATCH($A9,v_data!$A$3:$A$1000,0)+1,MATCH(LOWER(Z$1),v_data!$B$2:$L$2,0)))</f>
        <v>1</v>
      </c>
      <c r="AA9" s="2">
        <f t="shared" si="9"/>
        <v>24.3031804679799</v>
      </c>
      <c r="AB9" s="2">
        <f t="shared" si="10"/>
        <v>48.918717311825084</v>
      </c>
      <c r="AC9" s="2">
        <f>(SUM(G9,I9,K9,M9,O9,Q9,S9,U9,W9,Y9,AA9)+IF(AND(G9&gt;0,I9&gt;0,K9&gt;0),100,0))*VLOOKUP(B9,variables!$A$2:$B$6,2,FALSE)</f>
        <v>29.35123038709505</v>
      </c>
      <c r="AD9" s="16">
        <f>IF($A9="","",INDEX(v_data!$B$2:$X$1000,MATCH($A9,v_data!$A$3:$A$1000,0)+1,MATCH(LOWER("hours"),v_data!$B$2:$X$2,0)))</f>
        <v>3</v>
      </c>
    </row>
    <row r="10" spans="1:30" x14ac:dyDescent="0.25">
      <c r="A10" s="2" t="str">
        <f>IF(ISBLANK(v_data!A9),"",v_data!A9)</f>
        <v>SWOG-S9808</v>
      </c>
      <c r="B10" s="2" t="s">
        <v>0</v>
      </c>
      <c r="C10" s="2">
        <f>VLOOKUP(B10,variables!$A$2:$B$6,2,FALSE)</f>
        <v>0.6</v>
      </c>
      <c r="D10" s="4">
        <v>41080</v>
      </c>
      <c r="E10" s="2"/>
      <c r="F10" s="2">
        <f>IF($A10="","",INDEX(v_data!$B$2:$L$1000,MATCH($A10,v_data!$A$3:$A$1000,0)+1,MATCH(LOWER(F$1),v_data!$B$2:$L$2,0)))</f>
        <v>0</v>
      </c>
      <c r="G10" s="2">
        <f t="shared" ref="G10" si="61">IF($A10="","",F10*G$2)</f>
        <v>0</v>
      </c>
      <c r="H10" s="2">
        <f>IF($A10="","",INDEX(v_data!$B$2:$L$1000,MATCH($A10,v_data!$A$3:$A$1000,0)+1,MATCH(LOWER(H$1),v_data!$B$2:$L$2,0)))</f>
        <v>0.25</v>
      </c>
      <c r="I10" s="2">
        <f t="shared" ref="I10" si="62">IF($A10="","",H10*I$2)</f>
        <v>1.083047606194385</v>
      </c>
      <c r="J10" s="2">
        <f>IF($A10="","",INDEX(v_data!$B$2:$L$1000,MATCH($A10,v_data!$A$3:$A$1000,0)+1,MATCH(LOWER(J$1),v_data!$B$2:$L$2,0)))</f>
        <v>0</v>
      </c>
      <c r="K10" s="2">
        <f t="shared" ref="K10" si="63">IF($A10="","",J10*K$2)</f>
        <v>0</v>
      </c>
      <c r="L10" s="2">
        <f>IF($A10="","",INDEX(v_data!$B$2:$L$1000,MATCH($A10,v_data!$A$3:$A$1000,0)+1,MATCH(LOWER(L$1),v_data!$B$2:$L$2,0)))</f>
        <v>0</v>
      </c>
      <c r="M10" s="2">
        <f t="shared" ref="M10" si="64">IF($A10="","",L10*M$2)</f>
        <v>0</v>
      </c>
      <c r="N10" s="2">
        <f>IF($A10="","",INDEX(v_data!$B$2:$L$1000,MATCH($A10,v_data!$A$3:$A$1000,0)+1,MATCH(LOWER(N$1),v_data!$B$2:$L$2,0)))</f>
        <v>9</v>
      </c>
      <c r="O10" s="2">
        <f t="shared" ref="O10" si="65">IF($A10="","",N10*O$2)</f>
        <v>86.526708226414016</v>
      </c>
      <c r="P10" s="2">
        <f>IF($A10="","",INDEX(v_data!$B$2:$L$1000,MATCH($A10,v_data!$A$3:$A$1000,0)+1,MATCH(LOWER(P$1),v_data!$B$2:$L$2,0)))</f>
        <v>18</v>
      </c>
      <c r="Q10" s="2">
        <f t="shared" ref="Q10" si="66">IF($A10="","",P10*Q$2)</f>
        <v>-50.382142085326144</v>
      </c>
      <c r="R10" s="2">
        <f>IF($A10="","",INDEX(v_data!$B$2:$L$1000,MATCH($A10,v_data!$A$3:$A$1000,0)+1,MATCH(LOWER(R$1),v_data!$B$2:$L$2,0)))</f>
        <v>0</v>
      </c>
      <c r="S10" s="2">
        <f t="shared" ref="S10" si="67">IF($A10="","",R10*S$2)</f>
        <v>0</v>
      </c>
      <c r="T10" s="2">
        <f>IF($A10="","",INDEX(v_data!$B$2:$L$1000,MATCH($A10,v_data!$A$3:$A$1000,0)+1,MATCH(LOWER(T$1),v_data!$B$2:$L$2,0)))</f>
        <v>5</v>
      </c>
      <c r="U10" s="2">
        <f t="shared" ref="U10" si="68">IF($A10="","",T10*U$2)</f>
        <v>-18.662511010691702</v>
      </c>
      <c r="V10" s="2">
        <f>IF($A10="","",INDEX(v_data!$B$2:$L$1000,MATCH($A10,v_data!$A$3:$A$1000,0)+1,MATCH(LOWER(V$1),v_data!$B$2:$L$2,0)))</f>
        <v>1</v>
      </c>
      <c r="W10" s="2">
        <f t="shared" ref="W10" si="69">IF($A10="","",V10*W$2)</f>
        <v>-12.9599305108687</v>
      </c>
      <c r="X10" s="2">
        <f>IF($A10="","",INDEX(v_data!$B$2:$L$1000,MATCH($A10,v_data!$A$3:$A$1000,0)+1,MATCH(LOWER(X$1),v_data!$B$2:$L$2,0)))</f>
        <v>0.5</v>
      </c>
      <c r="Y10" s="2">
        <f t="shared" ref="Y10" si="70">IF($A10="","",X10*Y$2)</f>
        <v>6.6829971516753996</v>
      </c>
      <c r="Z10" s="2">
        <f>IF($A10="","",INDEX(v_data!$B$2:$L$1000,MATCH($A10,v_data!$A$3:$A$1000,0)+1,MATCH(LOWER(Z$1),v_data!$B$2:$L$2,0)))</f>
        <v>0</v>
      </c>
      <c r="AA10" s="2">
        <f t="shared" si="9"/>
        <v>0</v>
      </c>
      <c r="AB10" s="2">
        <f t="shared" si="10"/>
        <v>12.288169377397253</v>
      </c>
      <c r="AC10" s="2">
        <f>(SUM(G10,I10,K10,M10,O10,Q10,S10,U10,W10,Y10,AA10)+IF(AND(G10&gt;0,I10&gt;0,K10&gt;0),100,0))*VLOOKUP(B10,variables!$A$2:$B$6,2,FALSE)</f>
        <v>7.3729016264383516</v>
      </c>
      <c r="AD10" s="16">
        <f>IF($A10="","",INDEX(v_data!$B$2:$X$1000,MATCH($A10,v_data!$A$3:$A$1000,0)+1,MATCH(LOWER("hours"),v_data!$B$2:$X$2,0)))</f>
        <v>5</v>
      </c>
    </row>
    <row r="11" spans="1:30" x14ac:dyDescent="0.25">
      <c r="A11" s="2" t="str">
        <f>IF(ISBLANK(v_data!A10),"",v_data!A10)</f>
        <v>ALLIANCE-A031704</v>
      </c>
      <c r="B11" s="2" t="s">
        <v>0</v>
      </c>
      <c r="C11" s="2">
        <f>VLOOKUP(B11,variables!$A$2:$B$6,2,FALSE)</f>
        <v>0.6</v>
      </c>
      <c r="D11" s="4">
        <v>43822</v>
      </c>
      <c r="E11" s="2"/>
      <c r="F11" s="2">
        <f>IF($A11="","",INDEX(v_data!$B$2:$L$1000,MATCH($A11,v_data!$A$3:$A$1000,0)+1,MATCH(LOWER(F$1),v_data!$B$2:$L$2,0)))</f>
        <v>0</v>
      </c>
      <c r="G11" s="2">
        <f t="shared" ref="G11" si="71">IF($A11="","",F11*G$2)</f>
        <v>0</v>
      </c>
      <c r="H11" s="2">
        <f>IF($A11="","",INDEX(v_data!$B$2:$L$1000,MATCH($A11,v_data!$A$3:$A$1000,0)+1,MATCH(LOWER(H$1),v_data!$B$2:$L$2,0)))</f>
        <v>1</v>
      </c>
      <c r="I11" s="2">
        <f t="shared" ref="I11" si="72">IF($A11="","",H11*I$2)</f>
        <v>4.33219042477754</v>
      </c>
      <c r="J11" s="2">
        <f>IF($A11="","",INDEX(v_data!$B$2:$L$1000,MATCH($A11,v_data!$A$3:$A$1000,0)+1,MATCH(LOWER(J$1),v_data!$B$2:$L$2,0)))</f>
        <v>0</v>
      </c>
      <c r="K11" s="2">
        <f t="shared" ref="K11" si="73">IF($A11="","",J11*K$2)</f>
        <v>0</v>
      </c>
      <c r="L11" s="2">
        <f>IF($A11="","",INDEX(v_data!$B$2:$L$1000,MATCH($A11,v_data!$A$3:$A$1000,0)+1,MATCH(LOWER(L$1),v_data!$B$2:$L$2,0)))</f>
        <v>0</v>
      </c>
      <c r="M11" s="2">
        <f t="shared" ref="M11" si="74">IF($A11="","",L11*M$2)</f>
        <v>0</v>
      </c>
      <c r="N11" s="2">
        <f>IF($A11="","",INDEX(v_data!$B$2:$L$1000,MATCH($A11,v_data!$A$3:$A$1000,0)+1,MATCH(LOWER(N$1),v_data!$B$2:$L$2,0)))</f>
        <v>4</v>
      </c>
      <c r="O11" s="2">
        <f t="shared" ref="O11" si="75">IF($A11="","",N11*O$2)</f>
        <v>38.456314767295119</v>
      </c>
      <c r="P11" s="2">
        <f>IF($A11="","",INDEX(v_data!$B$2:$L$1000,MATCH($A11,v_data!$A$3:$A$1000,0)+1,MATCH(LOWER(P$1),v_data!$B$2:$L$2,0)))</f>
        <v>12</v>
      </c>
      <c r="Q11" s="2">
        <f t="shared" ref="Q11" si="76">IF($A11="","",P11*Q$2)</f>
        <v>-33.588094723550761</v>
      </c>
      <c r="R11" s="2">
        <f>IF($A11="","",INDEX(v_data!$B$2:$L$1000,MATCH($A11,v_data!$A$3:$A$1000,0)+1,MATCH(LOWER(R$1),v_data!$B$2:$L$2,0)))</f>
        <v>0</v>
      </c>
      <c r="S11" s="2">
        <f t="shared" ref="S11" si="77">IF($A11="","",R11*S$2)</f>
        <v>0</v>
      </c>
      <c r="T11" s="2">
        <f>IF($A11="","",INDEX(v_data!$B$2:$L$1000,MATCH($A11,v_data!$A$3:$A$1000,0)+1,MATCH(LOWER(T$1),v_data!$B$2:$L$2,0)))</f>
        <v>1</v>
      </c>
      <c r="U11" s="2">
        <f t="shared" ref="U11" si="78">IF($A11="","",T11*U$2)</f>
        <v>-3.7325022021383401</v>
      </c>
      <c r="V11" s="2">
        <f>IF($A11="","",INDEX(v_data!$B$2:$L$1000,MATCH($A11,v_data!$A$3:$A$1000,0)+1,MATCH(LOWER(V$1),v_data!$B$2:$L$2,0)))</f>
        <v>0.5</v>
      </c>
      <c r="W11" s="2">
        <f t="shared" ref="W11" si="79">IF($A11="","",V11*W$2)</f>
        <v>-6.4799652554343501</v>
      </c>
      <c r="X11" s="2">
        <f>IF($A11="","",INDEX(v_data!$B$2:$L$1000,MATCH($A11,v_data!$A$3:$A$1000,0)+1,MATCH(LOWER(X$1),v_data!$B$2:$L$2,0)))</f>
        <v>0.5</v>
      </c>
      <c r="Y11" s="2">
        <f t="shared" ref="Y11" si="80">IF($A11="","",X11*Y$2)</f>
        <v>6.6829971516753996</v>
      </c>
      <c r="Z11" s="2">
        <f>IF($A11="","",INDEX(v_data!$B$2:$L$1000,MATCH($A11,v_data!$A$3:$A$1000,0)+1,MATCH(LOWER(Z$1),v_data!$B$2:$L$2,0)))</f>
        <v>0</v>
      </c>
      <c r="AA11" s="2">
        <f t="shared" si="9"/>
        <v>0</v>
      </c>
      <c r="AB11" s="2">
        <f t="shared" si="10"/>
        <v>5.6709401626246114</v>
      </c>
      <c r="AC11" s="2">
        <f>(SUM(G11,I11,K11,M11,O11,Q11,S11,U11,W11,Y11,AA11)+IF(AND(G11&gt;0,I11&gt;0,K11&gt;0),100,0))*VLOOKUP(B11,variables!$A$2:$B$6,2,FALSE)</f>
        <v>3.4025640975747669</v>
      </c>
      <c r="AD11" s="16">
        <f>IF($A11="","",INDEX(v_data!$B$2:$X$1000,MATCH($A11,v_data!$A$3:$A$1000,0)+1,MATCH(LOWER("hours"),v_data!$B$2:$X$2,0)))</f>
        <v>5</v>
      </c>
    </row>
    <row r="12" spans="1:30" x14ac:dyDescent="0.25">
      <c r="A12" s="2" t="str">
        <f>IF(ISBLANK(v_data!A11),"",v_data!A11)</f>
        <v>ECOG-EA6134</v>
      </c>
      <c r="B12" s="2" t="s">
        <v>0</v>
      </c>
      <c r="C12" s="2">
        <f>VLOOKUP(B12,variables!$A$2:$B$6,2,FALSE)</f>
        <v>0.6</v>
      </c>
      <c r="D12" s="4">
        <v>43563</v>
      </c>
      <c r="E12" s="4">
        <v>43741</v>
      </c>
      <c r="F12" s="2">
        <f>IF($A12="","",INDEX(v_data!$B$2:$L$1000,MATCH($A12,v_data!$A$3:$A$1000,0)+1,MATCH(LOWER(F$1),v_data!$B$2:$L$2,0)))</f>
        <v>0</v>
      </c>
      <c r="G12" s="2">
        <f t="shared" ref="G12" si="81">IF($A12="","",F12*G$2)</f>
        <v>0</v>
      </c>
      <c r="H12" s="2">
        <f>IF($A12="","",INDEX(v_data!$B$2:$L$1000,MATCH($A12,v_data!$A$3:$A$1000,0)+1,MATCH(LOWER(H$1),v_data!$B$2:$L$2,0)))</f>
        <v>1</v>
      </c>
      <c r="I12" s="2">
        <f t="shared" ref="I12" si="82">IF($A12="","",H12*I$2)</f>
        <v>4.33219042477754</v>
      </c>
      <c r="J12" s="2">
        <f>IF($A12="","",INDEX(v_data!$B$2:$L$1000,MATCH($A12,v_data!$A$3:$A$1000,0)+1,MATCH(LOWER(J$1),v_data!$B$2:$L$2,0)))</f>
        <v>1</v>
      </c>
      <c r="K12" s="2">
        <f t="shared" ref="K12" si="83">IF($A12="","",J12*K$2)</f>
        <v>18.023723845739799</v>
      </c>
      <c r="L12" s="2">
        <f>IF($A12="","",INDEX(v_data!$B$2:$L$1000,MATCH($A12,v_data!$A$3:$A$1000,0)+1,MATCH(LOWER(L$1),v_data!$B$2:$L$2,0)))</f>
        <v>0</v>
      </c>
      <c r="M12" s="2">
        <f t="shared" ref="M12" si="84">IF($A12="","",L12*M$2)</f>
        <v>0</v>
      </c>
      <c r="N12" s="2">
        <f>IF($A12="","",INDEX(v_data!$B$2:$L$1000,MATCH($A12,v_data!$A$3:$A$1000,0)+1,MATCH(LOWER(N$1),v_data!$B$2:$L$2,0)))</f>
        <v>5</v>
      </c>
      <c r="O12" s="2">
        <f t="shared" ref="O12" si="85">IF($A12="","",N12*O$2)</f>
        <v>48.070393459118897</v>
      </c>
      <c r="P12" s="2">
        <f>IF($A12="","",INDEX(v_data!$B$2:$L$1000,MATCH($A12,v_data!$A$3:$A$1000,0)+1,MATCH(LOWER(P$1),v_data!$B$2:$L$2,0)))</f>
        <v>9</v>
      </c>
      <c r="Q12" s="2">
        <f t="shared" ref="Q12" si="86">IF($A12="","",P12*Q$2)</f>
        <v>-25.191071042663072</v>
      </c>
      <c r="R12" s="2">
        <f>IF($A12="","",INDEX(v_data!$B$2:$L$1000,MATCH($A12,v_data!$A$3:$A$1000,0)+1,MATCH(LOWER(R$1),v_data!$B$2:$L$2,0)))</f>
        <v>0</v>
      </c>
      <c r="S12" s="2">
        <f t="shared" ref="S12" si="87">IF($A12="","",R12*S$2)</f>
        <v>0</v>
      </c>
      <c r="T12" s="2">
        <f>IF($A12="","",INDEX(v_data!$B$2:$L$1000,MATCH($A12,v_data!$A$3:$A$1000,0)+1,MATCH(LOWER(T$1),v_data!$B$2:$L$2,0)))</f>
        <v>6</v>
      </c>
      <c r="U12" s="2">
        <f t="shared" ref="U12" si="88">IF($A12="","",T12*U$2)</f>
        <v>-22.39501321283004</v>
      </c>
      <c r="V12" s="2">
        <f>IF($A12="","",INDEX(v_data!$B$2:$L$1000,MATCH($A12,v_data!$A$3:$A$1000,0)+1,MATCH(LOWER(V$1),v_data!$B$2:$L$2,0)))</f>
        <v>0.5</v>
      </c>
      <c r="W12" s="2">
        <f t="shared" ref="W12" si="89">IF($A12="","",V12*W$2)</f>
        <v>-6.4799652554343501</v>
      </c>
      <c r="X12" s="2">
        <f>IF($A12="","",INDEX(v_data!$B$2:$L$1000,MATCH($A12,v_data!$A$3:$A$1000,0)+1,MATCH(LOWER(X$1),v_data!$B$2:$L$2,0)))</f>
        <v>0.5</v>
      </c>
      <c r="Y12" s="2">
        <f t="shared" ref="Y12" si="90">IF($A12="","",X12*Y$2)</f>
        <v>6.6829971516753996</v>
      </c>
      <c r="Z12" s="2">
        <f>IF($A12="","",INDEX(v_data!$B$2:$L$1000,MATCH($A12,v_data!$A$3:$A$1000,0)+1,MATCH(LOWER(Z$1),v_data!$B$2:$L$2,0)))</f>
        <v>0</v>
      </c>
      <c r="AA12" s="2">
        <f t="shared" si="9"/>
        <v>0</v>
      </c>
      <c r="AB12" s="2">
        <f>IF(A12="","",SUM(G12,I12,K12,M12,O12,Q12,S12,U12,W12,Y12,AA12))</f>
        <v>23.043255370384173</v>
      </c>
      <c r="AC12" s="2">
        <f>(SUM(G12,I12,K12,M12,O12,Q12,S12,U12,W12,Y12,AA12)+IF(AND(G12&gt;0,I12&gt;0,K12&gt;0),100,0))*VLOOKUP(B12,variables!$A$2:$B$6,2,FALSE)</f>
        <v>13.825953222230504</v>
      </c>
      <c r="AD12" s="16">
        <f>IF($A12="","",INDEX(v_data!$B$2:$X$1000,MATCH($A12,v_data!$A$3:$A$1000,0)+1,MATCH(LOWER("hours"),v_data!$B$2:$X$2,0)))</f>
        <v>5</v>
      </c>
    </row>
    <row r="13" spans="1:30" x14ac:dyDescent="0.25">
      <c r="A13" s="2" t="str">
        <f>IF(ISBLANK(v_data!A12),"",v_data!A12)</f>
        <v>ALLIANCE-A051701</v>
      </c>
      <c r="B13" s="2" t="s">
        <v>31</v>
      </c>
      <c r="C13" s="2">
        <f>VLOOKUP(B13,variables!$A$2:$B$6,2,FALSE)</f>
        <v>1.5</v>
      </c>
      <c r="D13" s="4">
        <v>43846</v>
      </c>
      <c r="E13" s="2"/>
      <c r="F13" s="2">
        <f>IF($A13="","",INDEX(v_data!$B$2:$L$1000,MATCH($A13,v_data!$A$3:$A$1000,0)+1,MATCH(LOWER(F$1),v_data!$B$2:$L$2,0)))</f>
        <v>0</v>
      </c>
      <c r="G13" s="2">
        <f t="shared" ref="G13" si="91">IF($A13="","",F13*G$2)</f>
        <v>0</v>
      </c>
      <c r="H13" s="2">
        <f>IF($A13="","",INDEX(v_data!$B$2:$L$1000,MATCH($A13,v_data!$A$3:$A$1000,0)+1,MATCH(LOWER(H$1),v_data!$B$2:$L$2,0)))</f>
        <v>1</v>
      </c>
      <c r="I13" s="2">
        <f t="shared" ref="I13" si="92">IF($A13="","",H13*I$2)</f>
        <v>4.33219042477754</v>
      </c>
      <c r="J13" s="2">
        <f>IF($A13="","",INDEX(v_data!$B$2:$L$1000,MATCH($A13,v_data!$A$3:$A$1000,0)+1,MATCH(LOWER(J$1),v_data!$B$2:$L$2,0)))</f>
        <v>0</v>
      </c>
      <c r="K13" s="2">
        <f t="shared" ref="K13" si="93">IF($A13="","",J13*K$2)</f>
        <v>0</v>
      </c>
      <c r="L13" s="2">
        <f>IF($A13="","",INDEX(v_data!$B$2:$L$1000,MATCH($A13,v_data!$A$3:$A$1000,0)+1,MATCH(LOWER(L$1),v_data!$B$2:$L$2,0)))</f>
        <v>0</v>
      </c>
      <c r="M13" s="2">
        <f t="shared" ref="M13" si="94">IF($A13="","",L13*M$2)</f>
        <v>0</v>
      </c>
      <c r="N13" s="2">
        <f>IF($A13="","",INDEX(v_data!$B$2:$L$1000,MATCH($A13,v_data!$A$3:$A$1000,0)+1,MATCH(LOWER(N$1),v_data!$B$2:$L$2,0)))</f>
        <v>3</v>
      </c>
      <c r="O13" s="2">
        <f t="shared" ref="O13" si="95">IF($A13="","",N13*O$2)</f>
        <v>28.842236075471341</v>
      </c>
      <c r="P13" s="2">
        <f>IF($A13="","",INDEX(v_data!$B$2:$L$1000,MATCH($A13,v_data!$A$3:$A$1000,0)+1,MATCH(LOWER(P$1),v_data!$B$2:$L$2,0)))</f>
        <v>8</v>
      </c>
      <c r="Q13" s="2">
        <f t="shared" ref="Q13" si="96">IF($A13="","",P13*Q$2)</f>
        <v>-22.392063149033842</v>
      </c>
      <c r="R13" s="2">
        <f>IF($A13="","",INDEX(v_data!$B$2:$L$1000,MATCH($A13,v_data!$A$3:$A$1000,0)+1,MATCH(LOWER(R$1),v_data!$B$2:$L$2,0)))</f>
        <v>0</v>
      </c>
      <c r="S13" s="2">
        <f t="shared" ref="S13" si="97">IF($A13="","",R13*S$2)</f>
        <v>0</v>
      </c>
      <c r="T13" s="2">
        <f>IF($A13="","",INDEX(v_data!$B$2:$L$1000,MATCH($A13,v_data!$A$3:$A$1000,0)+1,MATCH(LOWER(T$1),v_data!$B$2:$L$2,0)))</f>
        <v>0</v>
      </c>
      <c r="U13" s="2">
        <f t="shared" ref="U13" si="98">IF($A13="","",T13*U$2)</f>
        <v>0</v>
      </c>
      <c r="V13" s="2">
        <f>IF($A13="","",INDEX(v_data!$B$2:$L$1000,MATCH($A13,v_data!$A$3:$A$1000,0)+1,MATCH(LOWER(V$1),v_data!$B$2:$L$2,0)))</f>
        <v>0.5</v>
      </c>
      <c r="W13" s="2">
        <f t="shared" ref="W13" si="99">IF($A13="","",V13*W$2)</f>
        <v>-6.4799652554343501</v>
      </c>
      <c r="X13" s="2">
        <f>IF($A13="","",INDEX(v_data!$B$2:$L$1000,MATCH($A13,v_data!$A$3:$A$1000,0)+1,MATCH(LOWER(X$1),v_data!$B$2:$L$2,0)))</f>
        <v>0.5</v>
      </c>
      <c r="Y13" s="2">
        <f t="shared" ref="Y13" si="100">IF($A13="","",X13*Y$2)</f>
        <v>6.6829971516753996</v>
      </c>
      <c r="Z13" s="2">
        <f>IF($A13="","",INDEX(v_data!$B$2:$L$1000,MATCH($A13,v_data!$A$3:$A$1000,0)+1,MATCH(LOWER(Z$1),v_data!$B$2:$L$2,0)))</f>
        <v>0</v>
      </c>
      <c r="AA13" s="2">
        <f t="shared" si="9"/>
        <v>0</v>
      </c>
      <c r="AB13" s="2">
        <f t="shared" ref="AB13:AB20" si="101">IF(A13="","",SUM(G13,I13,K13,M13,O13,Q13,S13,U13,W13,Y13,AA13))</f>
        <v>10.985395247456093</v>
      </c>
      <c r="AC13" s="2">
        <f>(SUM(G13,I13,K13,M13,O13,Q13,S13,U13,W13,Y13,AA13)+IF(AND(G13&gt;0,I13&gt;0,K13&gt;0),100,0))*VLOOKUP(B13,variables!$A$2:$B$6,2,FALSE)</f>
        <v>16.478092871184138</v>
      </c>
      <c r="AD13" s="16">
        <f>IF($A13="","",INDEX(v_data!$B$2:$X$1000,MATCH($A13,v_data!$A$3:$A$1000,0)+1,MATCH(LOWER("hours"),v_data!$B$2:$X$2,0)))</f>
        <v>5</v>
      </c>
    </row>
    <row r="14" spans="1:30" x14ac:dyDescent="0.25">
      <c r="A14" s="2" t="str">
        <f>IF(ISBLANK(v_data!A13),"",v_data!A13)</f>
        <v>ELI-LILLY-I4T-MC-JVCY</v>
      </c>
      <c r="B14" s="2" t="s">
        <v>4</v>
      </c>
      <c r="C14" s="2">
        <f>VLOOKUP(B14,variables!$A$2:$B$6,2,FALSE)</f>
        <v>0.6</v>
      </c>
      <c r="D14" s="4">
        <v>43124</v>
      </c>
      <c r="E14" s="4">
        <v>42522</v>
      </c>
      <c r="F14" s="2">
        <f>IF($A14="","",INDEX(v_data!$B$2:$L$1000,MATCH($A14,v_data!$A$3:$A$1000,0)+1,MATCH(LOWER(F$1),v_data!$B$2:$L$2,0)))</f>
        <v>0</v>
      </c>
      <c r="G14" s="2">
        <f t="shared" ref="G14" si="102">IF($A14="","",F14*G$2)</f>
        <v>0</v>
      </c>
      <c r="H14" s="2">
        <f>IF($A14="","",INDEX(v_data!$B$2:$L$1000,MATCH($A14,v_data!$A$3:$A$1000,0)+1,MATCH(LOWER(H$1),v_data!$B$2:$L$2,0)))</f>
        <v>1</v>
      </c>
      <c r="I14" s="2">
        <f t="shared" ref="I14" si="103">IF($A14="","",H14*I$2)</f>
        <v>4.33219042477754</v>
      </c>
      <c r="J14" s="2">
        <f>IF($A14="","",INDEX(v_data!$B$2:$L$1000,MATCH($A14,v_data!$A$3:$A$1000,0)+1,MATCH(LOWER(J$1),v_data!$B$2:$L$2,0)))</f>
        <v>0</v>
      </c>
      <c r="K14" s="2">
        <f t="shared" ref="K14" si="104">IF($A14="","",J14*K$2)</f>
        <v>0</v>
      </c>
      <c r="L14" s="2">
        <f>IF($A14="","",INDEX(v_data!$B$2:$L$1000,MATCH($A14,v_data!$A$3:$A$1000,0)+1,MATCH(LOWER(L$1),v_data!$B$2:$L$2,0)))</f>
        <v>0</v>
      </c>
      <c r="M14" s="2">
        <f t="shared" ref="M14" si="105">IF($A14="","",L14*M$2)</f>
        <v>0</v>
      </c>
      <c r="N14" s="2">
        <f>IF($A14="","",INDEX(v_data!$B$2:$L$1000,MATCH($A14,v_data!$A$3:$A$1000,0)+1,MATCH(LOWER(N$1),v_data!$B$2:$L$2,0)))</f>
        <v>3</v>
      </c>
      <c r="O14" s="2">
        <f t="shared" ref="O14" si="106">IF($A14="","",N14*O$2)</f>
        <v>28.842236075471341</v>
      </c>
      <c r="P14" s="2">
        <f>IF($A14="","",INDEX(v_data!$B$2:$L$1000,MATCH($A14,v_data!$A$3:$A$1000,0)+1,MATCH(LOWER(P$1),v_data!$B$2:$L$2,0)))</f>
        <v>6</v>
      </c>
      <c r="Q14" s="2">
        <f t="shared" ref="Q14" si="107">IF($A14="","",P14*Q$2)</f>
        <v>-16.79404736177538</v>
      </c>
      <c r="R14" s="2">
        <f>IF($A14="","",INDEX(v_data!$B$2:$L$1000,MATCH($A14,v_data!$A$3:$A$1000,0)+1,MATCH(LOWER(R$1),v_data!$B$2:$L$2,0)))</f>
        <v>8</v>
      </c>
      <c r="S14" s="2">
        <f t="shared" ref="S14" si="108">IF($A14="","",R14*S$2)</f>
        <v>2.1314360566016881</v>
      </c>
      <c r="T14" s="2">
        <f>IF($A14="","",INDEX(v_data!$B$2:$L$1000,MATCH($A14,v_data!$A$3:$A$1000,0)+1,MATCH(LOWER(T$1),v_data!$B$2:$L$2,0)))</f>
        <v>3</v>
      </c>
      <c r="U14" s="2">
        <f t="shared" ref="U14" si="109">IF($A14="","",T14*U$2)</f>
        <v>-11.19750660641502</v>
      </c>
      <c r="V14" s="2">
        <f>IF($A14="","",INDEX(v_data!$B$2:$L$1000,MATCH($A14,v_data!$A$3:$A$1000,0)+1,MATCH(LOWER(V$1),v_data!$B$2:$L$2,0)))</f>
        <v>0.75</v>
      </c>
      <c r="W14" s="2">
        <f t="shared" ref="W14" si="110">IF($A14="","",V14*W$2)</f>
        <v>-9.7199478831515247</v>
      </c>
      <c r="X14" s="2">
        <f>IF($A14="","",INDEX(v_data!$B$2:$L$1000,MATCH($A14,v_data!$A$3:$A$1000,0)+1,MATCH(LOWER(X$1),v_data!$B$2:$L$2,0)))</f>
        <v>1</v>
      </c>
      <c r="Y14" s="2">
        <f t="shared" ref="Y14" si="111">IF($A14="","",X14*Y$2)</f>
        <v>13.365994303350799</v>
      </c>
      <c r="Z14" s="2">
        <f>IF($A14="","",INDEX(v_data!$B$2:$L$1000,MATCH($A14,v_data!$A$3:$A$1000,0)+1,MATCH(LOWER(Z$1),v_data!$B$2:$L$2,0)))</f>
        <v>0</v>
      </c>
      <c r="AA14" s="2">
        <f t="shared" si="9"/>
        <v>0</v>
      </c>
      <c r="AB14" s="2">
        <f t="shared" si="101"/>
        <v>10.960355008859448</v>
      </c>
      <c r="AC14" s="2">
        <f>(SUM(G14,I14,K14,M14,O14,Q14,S14,U14,W14,Y14,AA14)+IF(AND(G14&gt;0,I14&gt;0,K14&gt;0),100,0))*VLOOKUP(B14,variables!$A$2:$B$6,2,FALSE)</f>
        <v>6.5762130053156689</v>
      </c>
      <c r="AD14" s="16">
        <f>IF($A14="","",INDEX(v_data!$B$2:$X$1000,MATCH($A14,v_data!$A$3:$A$1000,0)+1,MATCH(LOWER("hours"),v_data!$B$2:$X$2,0)))</f>
        <v>10</v>
      </c>
    </row>
    <row r="15" spans="1:30" x14ac:dyDescent="0.25">
      <c r="A15" s="2" t="str">
        <f>IF(ISBLANK(v_data!A14),"",v_data!A14)</f>
        <v>ABBVIE-M13-694/GOG-3005</v>
      </c>
      <c r="B15" s="2" t="s">
        <v>4</v>
      </c>
      <c r="C15" s="2">
        <f>VLOOKUP(B15,variables!$A$2:$B$6,2,FALSE)</f>
        <v>0.6</v>
      </c>
      <c r="D15" s="4">
        <v>42947</v>
      </c>
      <c r="E15" s="4">
        <v>42808</v>
      </c>
      <c r="F15" s="2">
        <f>IF($A15="","",INDEX(v_data!$B$2:$L$1000,MATCH($A15,v_data!$A$3:$A$1000,0)+1,MATCH(LOWER(F$1),v_data!$B$2:$L$2,0)))</f>
        <v>0</v>
      </c>
      <c r="G15" s="2">
        <f t="shared" ref="G15" si="112">IF($A15="","",F15*G$2)</f>
        <v>0</v>
      </c>
      <c r="H15" s="2">
        <f>IF($A15="","",INDEX(v_data!$B$2:$L$1000,MATCH($A15,v_data!$A$3:$A$1000,0)+1,MATCH(LOWER(H$1),v_data!$B$2:$L$2,0)))</f>
        <v>1</v>
      </c>
      <c r="I15" s="2">
        <f t="shared" ref="I15" si="113">IF($A15="","",H15*I$2)</f>
        <v>4.33219042477754</v>
      </c>
      <c r="J15" s="2">
        <f>IF($A15="","",INDEX(v_data!$B$2:$L$1000,MATCH($A15,v_data!$A$3:$A$1000,0)+1,MATCH(LOWER(J$1),v_data!$B$2:$L$2,0)))</f>
        <v>1</v>
      </c>
      <c r="K15" s="2">
        <f t="shared" ref="K15" si="114">IF($A15="","",J15*K$2)</f>
        <v>18.023723845739799</v>
      </c>
      <c r="L15" s="2">
        <f>IF($A15="","",INDEX(v_data!$B$2:$L$1000,MATCH($A15,v_data!$A$3:$A$1000,0)+1,MATCH(LOWER(L$1),v_data!$B$2:$L$2,0)))</f>
        <v>0</v>
      </c>
      <c r="M15" s="2">
        <f t="shared" ref="M15" si="115">IF($A15="","",L15*M$2)</f>
        <v>0</v>
      </c>
      <c r="N15" s="2">
        <f>IF($A15="","",INDEX(v_data!$B$2:$L$1000,MATCH($A15,v_data!$A$3:$A$1000,0)+1,MATCH(LOWER(N$1),v_data!$B$2:$L$2,0)))</f>
        <v>2</v>
      </c>
      <c r="O15" s="2">
        <f t="shared" ref="O15" si="116">IF($A15="","",N15*O$2)</f>
        <v>19.228157383647559</v>
      </c>
      <c r="P15" s="2">
        <f>IF($A15="","",INDEX(v_data!$B$2:$L$1000,MATCH($A15,v_data!$A$3:$A$1000,0)+1,MATCH(LOWER(P$1),v_data!$B$2:$L$2,0)))</f>
        <v>2</v>
      </c>
      <c r="Q15" s="2">
        <f t="shared" ref="Q15" si="117">IF($A15="","",P15*Q$2)</f>
        <v>-5.5980157872584604</v>
      </c>
      <c r="R15" s="2">
        <f>IF($A15="","",INDEX(v_data!$B$2:$L$1000,MATCH($A15,v_data!$A$3:$A$1000,0)+1,MATCH(LOWER(R$1),v_data!$B$2:$L$2,0)))</f>
        <v>0</v>
      </c>
      <c r="S15" s="2">
        <f t="shared" ref="S15" si="118">IF($A15="","",R15*S$2)</f>
        <v>0</v>
      </c>
      <c r="T15" s="2">
        <f>IF($A15="","",INDEX(v_data!$B$2:$L$1000,MATCH($A15,v_data!$A$3:$A$1000,0)+1,MATCH(LOWER(T$1),v_data!$B$2:$L$2,0)))</f>
        <v>3</v>
      </c>
      <c r="U15" s="2">
        <f t="shared" ref="U15" si="119">IF($A15="","",T15*U$2)</f>
        <v>-11.19750660641502</v>
      </c>
      <c r="V15" s="2">
        <f>IF($A15="","",INDEX(v_data!$B$2:$L$1000,MATCH($A15,v_data!$A$3:$A$1000,0)+1,MATCH(LOWER(V$1),v_data!$B$2:$L$2,0)))</f>
        <v>0.75</v>
      </c>
      <c r="W15" s="2">
        <f t="shared" ref="W15" si="120">IF($A15="","",V15*W$2)</f>
        <v>-9.7199478831515247</v>
      </c>
      <c r="X15" s="2">
        <f>IF($A15="","",INDEX(v_data!$B$2:$L$1000,MATCH($A15,v_data!$A$3:$A$1000,0)+1,MATCH(LOWER(X$1),v_data!$B$2:$L$2,0)))</f>
        <v>1</v>
      </c>
      <c r="Y15" s="2">
        <f t="shared" ref="Y15" si="121">IF($A15="","",X15*Y$2)</f>
        <v>13.365994303350799</v>
      </c>
      <c r="Z15" s="2">
        <f>IF($A15="","",INDEX(v_data!$B$2:$L$1000,MATCH($A15,v_data!$A$3:$A$1000,0)+1,MATCH(LOWER(Z$1),v_data!$B$2:$L$2,0)))</f>
        <v>0</v>
      </c>
      <c r="AA15" s="2">
        <f t="shared" si="9"/>
        <v>0</v>
      </c>
      <c r="AB15" s="2">
        <f t="shared" si="101"/>
        <v>28.434595680690698</v>
      </c>
      <c r="AC15" s="2">
        <f>(SUM(G15,I15,K15,M15,O15,Q15,S15,U15,W15,Y15,AA15)+IF(AND(G15&gt;0,I15&gt;0,K15&gt;0),100,0))*VLOOKUP(B15,variables!$A$2:$B$6,2,FALSE)</f>
        <v>17.060757408414418</v>
      </c>
      <c r="AD15" s="16">
        <f>IF($A15="","",INDEX(v_data!$B$2:$X$1000,MATCH($A15,v_data!$A$3:$A$1000,0)+1,MATCH(LOWER("hours"),v_data!$B$2:$X$2,0)))</f>
        <v>12</v>
      </c>
    </row>
    <row r="16" spans="1:30" x14ac:dyDescent="0.25">
      <c r="A16" s="2" t="str">
        <f>IF(ISBLANK(v_data!A15),"",v_data!A15)</f>
        <v>FUKUI-2019-1</v>
      </c>
      <c r="B16" s="2" t="s">
        <v>0</v>
      </c>
      <c r="C16" s="2">
        <f>VLOOKUP(B16,variables!$A$2:$B$6,2,FALSE)</f>
        <v>0.6</v>
      </c>
      <c r="D16" s="4">
        <v>43691</v>
      </c>
      <c r="E16" s="4">
        <v>43857</v>
      </c>
      <c r="F16" s="2">
        <f>IF($A16="","",INDEX(v_data!$B$2:$L$1000,MATCH($A16,v_data!$A$3:$A$1000,0)+1,MATCH(LOWER(F$1),v_data!$B$2:$L$2,0)))</f>
        <v>1</v>
      </c>
      <c r="G16" s="2">
        <f t="shared" ref="G16" si="122">IF($A16="","",F16*G$2)</f>
        <v>1.88563782198456</v>
      </c>
      <c r="H16" s="2">
        <f>IF($A16="","",INDEX(v_data!$B$2:$L$1000,MATCH($A16,v_data!$A$3:$A$1000,0)+1,MATCH(LOWER(H$1),v_data!$B$2:$L$2,0)))</f>
        <v>1</v>
      </c>
      <c r="I16" s="2">
        <f t="shared" ref="I16" si="123">IF($A16="","",H16*I$2)</f>
        <v>4.33219042477754</v>
      </c>
      <c r="J16" s="2">
        <f>IF($A16="","",INDEX(v_data!$B$2:$L$1000,MATCH($A16,v_data!$A$3:$A$1000,0)+1,MATCH(LOWER(J$1),v_data!$B$2:$L$2,0)))</f>
        <v>0</v>
      </c>
      <c r="K16" s="2">
        <f t="shared" ref="K16" si="124">IF($A16="","",J16*K$2)</f>
        <v>0</v>
      </c>
      <c r="L16" s="2">
        <f>IF($A16="","",INDEX(v_data!$B$2:$L$1000,MATCH($A16,v_data!$A$3:$A$1000,0)+1,MATCH(LOWER(L$1),v_data!$B$2:$L$2,0)))</f>
        <v>0</v>
      </c>
      <c r="M16" s="2">
        <f t="shared" ref="M16" si="125">IF($A16="","",L16*M$2)</f>
        <v>0</v>
      </c>
      <c r="N16" s="2">
        <f>IF($A16="","",INDEX(v_data!$B$2:$L$1000,MATCH($A16,v_data!$A$3:$A$1000,0)+1,MATCH(LOWER(N$1),v_data!$B$2:$L$2,0)))</f>
        <v>3</v>
      </c>
      <c r="O16" s="2">
        <f t="shared" ref="O16" si="126">IF($A16="","",N16*O$2)</f>
        <v>28.842236075471341</v>
      </c>
      <c r="P16" s="2">
        <f>IF($A16="","",INDEX(v_data!$B$2:$L$1000,MATCH($A16,v_data!$A$3:$A$1000,0)+1,MATCH(LOWER(P$1),v_data!$B$2:$L$2,0)))</f>
        <v>2</v>
      </c>
      <c r="Q16" s="2">
        <f t="shared" ref="Q16" si="127">IF($A16="","",P16*Q$2)</f>
        <v>-5.5980157872584604</v>
      </c>
      <c r="R16" s="2">
        <f>IF($A16="","",INDEX(v_data!$B$2:$L$1000,MATCH($A16,v_data!$A$3:$A$1000,0)+1,MATCH(LOWER(R$1),v_data!$B$2:$L$2,0)))</f>
        <v>0</v>
      </c>
      <c r="S16" s="2">
        <f t="shared" ref="S16" si="128">IF($A16="","",R16*S$2)</f>
        <v>0</v>
      </c>
      <c r="T16" s="2">
        <f>IF($A16="","",INDEX(v_data!$B$2:$L$1000,MATCH($A16,v_data!$A$3:$A$1000,0)+1,MATCH(LOWER(T$1),v_data!$B$2:$L$2,0)))</f>
        <v>0</v>
      </c>
      <c r="U16" s="2">
        <f t="shared" ref="U16" si="129">IF($A16="","",T16*U$2)</f>
        <v>0</v>
      </c>
      <c r="V16" s="2">
        <f>IF($A16="","",INDEX(v_data!$B$2:$L$1000,MATCH($A16,v_data!$A$3:$A$1000,0)+1,MATCH(LOWER(V$1),v_data!$B$2:$L$2,0)))</f>
        <v>0.75</v>
      </c>
      <c r="W16" s="2">
        <f t="shared" ref="W16" si="130">IF($A16="","",V16*W$2)</f>
        <v>-9.7199478831515247</v>
      </c>
      <c r="X16" s="2">
        <f>IF($A16="","",INDEX(v_data!$B$2:$L$1000,MATCH($A16,v_data!$A$3:$A$1000,0)+1,MATCH(LOWER(X$1),v_data!$B$2:$L$2,0)))</f>
        <v>1</v>
      </c>
      <c r="Y16" s="2">
        <f t="shared" ref="Y16" si="131">IF($A16="","",X16*Y$2)</f>
        <v>13.365994303350799</v>
      </c>
      <c r="Z16" s="2">
        <f>IF($A16="","",INDEX(v_data!$B$2:$L$1000,MATCH($A16,v_data!$A$3:$A$1000,0)+1,MATCH(LOWER(Z$1),v_data!$B$2:$L$2,0)))</f>
        <v>0</v>
      </c>
      <c r="AA16" s="2">
        <f t="shared" si="9"/>
        <v>0</v>
      </c>
      <c r="AB16" s="2">
        <f t="shared" si="101"/>
        <v>33.108094955174252</v>
      </c>
      <c r="AC16" s="2">
        <f>(SUM(G16,I16,K16,M16,O16,Q16,S16,U16,W16,Y16,AA16)+IF(AND(G16&gt;0,I16&gt;0,K16&gt;0),100,0))*VLOOKUP(B16,variables!$A$2:$B$6,2,FALSE)</f>
        <v>19.864856973104551</v>
      </c>
      <c r="AD16" s="16">
        <f>IF($A16="","",INDEX(v_data!$B$2:$X$1000,MATCH($A16,v_data!$A$3:$A$1000,0)+1,MATCH(LOWER("hours"),v_data!$B$2:$X$2,0)))</f>
        <v>13</v>
      </c>
    </row>
    <row r="17" spans="1:31" x14ac:dyDescent="0.25">
      <c r="A17" s="2" t="str">
        <f>IF(ISBLANK(v_data!A16),"",v_data!A16)</f>
        <v>YU-2019-1</v>
      </c>
      <c r="B17" s="2" t="s">
        <v>0</v>
      </c>
      <c r="C17" s="2">
        <f>VLOOKUP(B17,variables!$A$2:$B$6,2,FALSE)</f>
        <v>0.6</v>
      </c>
      <c r="D17" s="4">
        <v>43861</v>
      </c>
      <c r="E17" s="2"/>
      <c r="F17" s="2">
        <f>IF($A17="","",INDEX(v_data!$B$2:$L$1000,MATCH($A17,v_data!$A$3:$A$1000,0)+1,MATCH(LOWER(F$1),v_data!$B$2:$L$2,0)))</f>
        <v>1</v>
      </c>
      <c r="G17" s="2">
        <f t="shared" ref="G17" si="132">IF($A17="","",F17*G$2)</f>
        <v>1.88563782198456</v>
      </c>
      <c r="H17" s="2">
        <f>IF($A17="","",INDEX(v_data!$B$2:$L$1000,MATCH($A17,v_data!$A$3:$A$1000,0)+1,MATCH(LOWER(H$1),v_data!$B$2:$L$2,0)))</f>
        <v>0.25</v>
      </c>
      <c r="I17" s="2">
        <f t="shared" ref="I17" si="133">IF($A17="","",H17*I$2)</f>
        <v>1.083047606194385</v>
      </c>
      <c r="J17" s="2">
        <f>IF($A17="","",INDEX(v_data!$B$2:$L$1000,MATCH($A17,v_data!$A$3:$A$1000,0)+1,MATCH(LOWER(J$1),v_data!$B$2:$L$2,0)))</f>
        <v>0</v>
      </c>
      <c r="K17" s="2">
        <f t="shared" ref="K17" si="134">IF($A17="","",J17*K$2)</f>
        <v>0</v>
      </c>
      <c r="L17" s="2">
        <f>IF($A17="","",INDEX(v_data!$B$2:$L$1000,MATCH($A17,v_data!$A$3:$A$1000,0)+1,MATCH(LOWER(L$1),v_data!$B$2:$L$2,0)))</f>
        <v>0</v>
      </c>
      <c r="M17" s="2">
        <f t="shared" ref="M17" si="135">IF($A17="","",L17*M$2)</f>
        <v>0</v>
      </c>
      <c r="N17" s="2">
        <f>IF($A17="","",INDEX(v_data!$B$2:$L$1000,MATCH($A17,v_data!$A$3:$A$1000,0)+1,MATCH(LOWER(N$1),v_data!$B$2:$L$2,0)))</f>
        <v>1</v>
      </c>
      <c r="O17" s="2">
        <f t="shared" ref="O17" si="136">IF($A17="","",N17*O$2)</f>
        <v>9.6140786918237797</v>
      </c>
      <c r="P17" s="2">
        <f>IF($A17="","",INDEX(v_data!$B$2:$L$1000,MATCH($A17,v_data!$A$3:$A$1000,0)+1,MATCH(LOWER(P$1),v_data!$B$2:$L$2,0)))</f>
        <v>1</v>
      </c>
      <c r="Q17" s="2">
        <f t="shared" ref="Q17" si="137">IF($A17="","",P17*Q$2)</f>
        <v>-2.7990078936292302</v>
      </c>
      <c r="R17" s="2">
        <f>IF($A17="","",INDEX(v_data!$B$2:$L$1000,MATCH($A17,v_data!$A$3:$A$1000,0)+1,MATCH(LOWER(R$1),v_data!$B$2:$L$2,0)))</f>
        <v>0</v>
      </c>
      <c r="S17" s="2">
        <f t="shared" ref="S17" si="138">IF($A17="","",R17*S$2)</f>
        <v>0</v>
      </c>
      <c r="T17" s="2">
        <f>IF($A17="","",INDEX(v_data!$B$2:$L$1000,MATCH($A17,v_data!$A$3:$A$1000,0)+1,MATCH(LOWER(T$1),v_data!$B$2:$L$2,0)))</f>
        <v>0</v>
      </c>
      <c r="U17" s="2">
        <f t="shared" ref="U17" si="139">IF($A17="","",T17*U$2)</f>
        <v>0</v>
      </c>
      <c r="V17" s="2">
        <f>IF($A17="","",INDEX(v_data!$B$2:$L$1000,MATCH($A17,v_data!$A$3:$A$1000,0)+1,MATCH(LOWER(V$1),v_data!$B$2:$L$2,0)))</f>
        <v>0.75</v>
      </c>
      <c r="W17" s="2">
        <f t="shared" ref="W17" si="140">IF($A17="","",V17*W$2)</f>
        <v>-9.7199478831515247</v>
      </c>
      <c r="X17" s="2">
        <f>IF($A17="","",INDEX(v_data!$B$2:$L$1000,MATCH($A17,v_data!$A$3:$A$1000,0)+1,MATCH(LOWER(X$1),v_data!$B$2:$L$2,0)))</f>
        <v>1</v>
      </c>
      <c r="Y17" s="2">
        <f t="shared" ref="Y17" si="141">IF($A17="","",X17*Y$2)</f>
        <v>13.365994303350799</v>
      </c>
      <c r="Z17" s="2">
        <f>IF($A17="","",INDEX(v_data!$B$2:$L$1000,MATCH($A17,v_data!$A$3:$A$1000,0)+1,MATCH(LOWER(Z$1),v_data!$B$2:$L$2,0)))</f>
        <v>0</v>
      </c>
      <c r="AA17" s="2">
        <f t="shared" si="9"/>
        <v>0</v>
      </c>
      <c r="AB17" s="2">
        <f t="shared" si="101"/>
        <v>13.429802646572769</v>
      </c>
      <c r="AC17" s="2">
        <f>(SUM(G17,I17,K17,M17,O17,Q17,S17,U17,W17,Y17,AA17)+IF(AND(G17&gt;0,I17&gt;0,K17&gt;0),100,0))*VLOOKUP(B17,variables!$A$2:$B$6,2,FALSE)</f>
        <v>8.0578815879436618</v>
      </c>
      <c r="AD17" s="16">
        <f>IF($A17="","",INDEX(v_data!$B$2:$X$1000,MATCH($A17,v_data!$A$3:$A$1000,0)+1,MATCH(LOWER("hours"),v_data!$B$2:$X$2,0)))</f>
        <v>14.5</v>
      </c>
    </row>
    <row r="18" spans="1:31" x14ac:dyDescent="0.25">
      <c r="A18" s="2" t="str">
        <f>IF(ISBLANK(v_data!A17),"",v_data!A17)</f>
        <v>LEMARCHAND-2019-1</v>
      </c>
      <c r="B18" s="2" t="s">
        <v>0</v>
      </c>
      <c r="C18" s="2">
        <f>VLOOKUP(B18,variables!$A$2:$B$6,2,FALSE)</f>
        <v>0.6</v>
      </c>
      <c r="D18" s="4">
        <v>43854</v>
      </c>
      <c r="E18" s="2"/>
      <c r="F18" s="2">
        <f>IF($A18="","",INDEX(v_data!$B$2:$L$1000,MATCH($A18,v_data!$A$3:$A$1000,0)+1,MATCH(LOWER(F$1),v_data!$B$2:$L$2,0)))</f>
        <v>1</v>
      </c>
      <c r="G18" s="2">
        <f t="shared" ref="G18" si="142">IF($A18="","",F18*G$2)</f>
        <v>1.88563782198456</v>
      </c>
      <c r="H18" s="2">
        <f>IF($A18="","",INDEX(v_data!$B$2:$L$1000,MATCH($A18,v_data!$A$3:$A$1000,0)+1,MATCH(LOWER(H$1),v_data!$B$2:$L$2,0)))</f>
        <v>1</v>
      </c>
      <c r="I18" s="2">
        <f t="shared" ref="I18" si="143">IF($A18="","",H18*I$2)</f>
        <v>4.33219042477754</v>
      </c>
      <c r="J18" s="2">
        <f>IF($A18="","",INDEX(v_data!$B$2:$L$1000,MATCH($A18,v_data!$A$3:$A$1000,0)+1,MATCH(LOWER(J$1),v_data!$B$2:$L$2,0)))</f>
        <v>0</v>
      </c>
      <c r="K18" s="2">
        <f t="shared" ref="K18" si="144">IF($A18="","",J18*K$2)</f>
        <v>0</v>
      </c>
      <c r="L18" s="2">
        <f>IF($A18="","",INDEX(v_data!$B$2:$L$1000,MATCH($A18,v_data!$A$3:$A$1000,0)+1,MATCH(LOWER(L$1),v_data!$B$2:$L$2,0)))</f>
        <v>0</v>
      </c>
      <c r="M18" s="2">
        <f t="shared" ref="M18" si="145">IF($A18="","",L18*M$2)</f>
        <v>0</v>
      </c>
      <c r="N18" s="2">
        <f>IF($A18="","",INDEX(v_data!$B$2:$L$1000,MATCH($A18,v_data!$A$3:$A$1000,0)+1,MATCH(LOWER(N$1),v_data!$B$2:$L$2,0)))</f>
        <v>1</v>
      </c>
      <c r="O18" s="2">
        <f t="shared" ref="O18" si="146">IF($A18="","",N18*O$2)</f>
        <v>9.6140786918237797</v>
      </c>
      <c r="P18" s="2">
        <f>IF($A18="","",INDEX(v_data!$B$2:$L$1000,MATCH($A18,v_data!$A$3:$A$1000,0)+1,MATCH(LOWER(P$1),v_data!$B$2:$L$2,0)))</f>
        <v>1</v>
      </c>
      <c r="Q18" s="2">
        <f t="shared" ref="Q18" si="147">IF($A18="","",P18*Q$2)</f>
        <v>-2.7990078936292302</v>
      </c>
      <c r="R18" s="2">
        <f>IF($A18="","",INDEX(v_data!$B$2:$L$1000,MATCH($A18,v_data!$A$3:$A$1000,0)+1,MATCH(LOWER(R$1),v_data!$B$2:$L$2,0)))</f>
        <v>0</v>
      </c>
      <c r="S18" s="2">
        <f t="shared" ref="S18" si="148">IF($A18="","",R18*S$2)</f>
        <v>0</v>
      </c>
      <c r="T18" s="2">
        <f>IF($A18="","",INDEX(v_data!$B$2:$L$1000,MATCH($A18,v_data!$A$3:$A$1000,0)+1,MATCH(LOWER(T$1),v_data!$B$2:$L$2,0)))</f>
        <v>0</v>
      </c>
      <c r="U18" s="2">
        <f t="shared" ref="U18" si="149">IF($A18="","",T18*U$2)</f>
        <v>0</v>
      </c>
      <c r="V18" s="2">
        <f>IF($A18="","",INDEX(v_data!$B$2:$L$1000,MATCH($A18,v_data!$A$3:$A$1000,0)+1,MATCH(LOWER(V$1),v_data!$B$2:$L$2,0)))</f>
        <v>0.75</v>
      </c>
      <c r="W18" s="2">
        <f t="shared" ref="W18" si="150">IF($A18="","",V18*W$2)</f>
        <v>-9.7199478831515247</v>
      </c>
      <c r="X18" s="2">
        <f>IF($A18="","",INDEX(v_data!$B$2:$L$1000,MATCH($A18,v_data!$A$3:$A$1000,0)+1,MATCH(LOWER(X$1),v_data!$B$2:$L$2,0)))</f>
        <v>1</v>
      </c>
      <c r="Y18" s="2">
        <f t="shared" ref="Y18" si="151">IF($A18="","",X18*Y$2)</f>
        <v>13.365994303350799</v>
      </c>
      <c r="Z18" s="2">
        <f>IF($A18="","",INDEX(v_data!$B$2:$L$1000,MATCH($A18,v_data!$A$3:$A$1000,0)+1,MATCH(LOWER(Z$1),v_data!$B$2:$L$2,0)))</f>
        <v>0</v>
      </c>
      <c r="AA18" s="2">
        <f t="shared" si="9"/>
        <v>0</v>
      </c>
      <c r="AB18" s="2">
        <f t="shared" si="101"/>
        <v>16.678945465155923</v>
      </c>
      <c r="AC18" s="2">
        <f>(SUM(G18,I18,K18,M18,O18,Q18,S18,U18,W18,Y18,AA18)+IF(AND(G18&gt;0,I18&gt;0,K18&gt;0),100,0))*VLOOKUP(B18,variables!$A$2:$B$6,2,FALSE)</f>
        <v>10.007367279093554</v>
      </c>
      <c r="AD18" s="16">
        <f>IF($A18="","",INDEX(v_data!$B$2:$X$1000,MATCH($A18,v_data!$A$3:$A$1000,0)+1,MATCH(LOWER("hours"),v_data!$B$2:$X$2,0)))</f>
        <v>17</v>
      </c>
    </row>
    <row r="19" spans="1:31" x14ac:dyDescent="0.25">
      <c r="A19" s="2" t="str">
        <f>IF(ISBLANK(v_data!A18),"",v_data!A18)</f>
        <v>RIFTOS-MKI</v>
      </c>
      <c r="B19" s="2" t="s">
        <v>4</v>
      </c>
      <c r="C19" s="2">
        <f>VLOOKUP(B19,variables!$A$2:$B$6,2,FALSE)</f>
        <v>0.6</v>
      </c>
      <c r="D19" s="4">
        <v>43190</v>
      </c>
      <c r="E19" s="4">
        <v>43189</v>
      </c>
      <c r="F19" s="2">
        <f>IF($A19="","",INDEX(v_data!$B$2:$L$1000,MATCH($A19,v_data!$A$3:$A$1000,0)+1,MATCH(LOWER(F$1),v_data!$B$2:$L$2,0)))</f>
        <v>0</v>
      </c>
      <c r="G19" s="2">
        <f t="shared" ref="G19" si="152">IF($A19="","",F19*G$2)</f>
        <v>0</v>
      </c>
      <c r="H19" s="2">
        <f>IF($A19="","",INDEX(v_data!$B$2:$L$1000,MATCH($A19,v_data!$A$3:$A$1000,0)+1,MATCH(LOWER(H$1),v_data!$B$2:$L$2,0)))</f>
        <v>0.25</v>
      </c>
      <c r="I19" s="2">
        <f t="shared" ref="I19" si="153">IF($A19="","",H19*I$2)</f>
        <v>1.083047606194385</v>
      </c>
      <c r="J19" s="2">
        <f>IF($A19="","",INDEX(v_data!$B$2:$L$1000,MATCH($A19,v_data!$A$3:$A$1000,0)+1,MATCH(LOWER(J$1),v_data!$B$2:$L$2,0)))</f>
        <v>0</v>
      </c>
      <c r="K19" s="2">
        <f t="shared" ref="K19" si="154">IF($A19="","",J19*K$2)</f>
        <v>0</v>
      </c>
      <c r="L19" s="2">
        <f>IF($A19="","",INDEX(v_data!$B$2:$L$1000,MATCH($A19,v_data!$A$3:$A$1000,0)+1,MATCH(LOWER(L$1),v_data!$B$2:$L$2,0)))</f>
        <v>0</v>
      </c>
      <c r="M19" s="2">
        <f t="shared" ref="M19" si="155">IF($A19="","",L19*M$2)</f>
        <v>0</v>
      </c>
      <c r="N19" s="2">
        <f>IF($A19="","",INDEX(v_data!$B$2:$L$1000,MATCH($A19,v_data!$A$3:$A$1000,0)+1,MATCH(LOWER(N$1),v_data!$B$2:$L$2,0)))</f>
        <v>4</v>
      </c>
      <c r="O19" s="2">
        <f t="shared" ref="O19" si="156">IF($A19="","",N19*O$2)</f>
        <v>38.456314767295119</v>
      </c>
      <c r="P19" s="2">
        <f>IF($A19="","",INDEX(v_data!$B$2:$L$1000,MATCH($A19,v_data!$A$3:$A$1000,0)+1,MATCH(LOWER(P$1),v_data!$B$2:$L$2,0)))</f>
        <v>1</v>
      </c>
      <c r="Q19" s="2">
        <f t="shared" ref="Q19" si="157">IF($A19="","",P19*Q$2)</f>
        <v>-2.7990078936292302</v>
      </c>
      <c r="R19" s="2">
        <f>IF($A19="","",INDEX(v_data!$B$2:$L$1000,MATCH($A19,v_data!$A$3:$A$1000,0)+1,MATCH(LOWER(R$1),v_data!$B$2:$L$2,0)))</f>
        <v>0</v>
      </c>
      <c r="S19" s="2">
        <f t="shared" ref="S19" si="158">IF($A19="","",R19*S$2)</f>
        <v>0</v>
      </c>
      <c r="T19" s="2">
        <f>IF($A19="","",INDEX(v_data!$B$2:$L$1000,MATCH($A19,v_data!$A$3:$A$1000,0)+1,MATCH(LOWER(T$1),v_data!$B$2:$L$2,0)))</f>
        <v>3</v>
      </c>
      <c r="U19" s="2">
        <f t="shared" ref="U19" si="159">IF($A19="","",T19*U$2)</f>
        <v>-11.19750660641502</v>
      </c>
      <c r="V19" s="2">
        <f>IF($A19="","",INDEX(v_data!$B$2:$L$1000,MATCH($A19,v_data!$A$3:$A$1000,0)+1,MATCH(LOWER(V$1),v_data!$B$2:$L$2,0)))</f>
        <v>0.75</v>
      </c>
      <c r="W19" s="2">
        <f t="shared" ref="W19" si="160">IF($A19="","",V19*W$2)</f>
        <v>-9.7199478831515247</v>
      </c>
      <c r="X19" s="2">
        <f>IF($A19="","",INDEX(v_data!$B$2:$L$1000,MATCH($A19,v_data!$A$3:$A$1000,0)+1,MATCH(LOWER(X$1),v_data!$B$2:$L$2,0)))</f>
        <v>1</v>
      </c>
      <c r="Y19" s="2">
        <f t="shared" ref="Y19" si="161">IF($A19="","",X19*Y$2)</f>
        <v>13.365994303350799</v>
      </c>
      <c r="Z19" s="2">
        <f>IF($A19="","",INDEX(v_data!$B$2:$L$1000,MATCH($A19,v_data!$A$3:$A$1000,0)+1,MATCH(LOWER(Z$1),v_data!$B$2:$L$2,0)))</f>
        <v>0</v>
      </c>
      <c r="AA19" s="2">
        <f t="shared" si="9"/>
        <v>0</v>
      </c>
      <c r="AB19" s="2">
        <f t="shared" si="101"/>
        <v>29.18889429364453</v>
      </c>
      <c r="AC19" s="2">
        <f>(SUM(G19,I19,K19,M19,O19,Q19,S19,U19,W19,Y19,AA19)+IF(AND(G19&gt;0,I19&gt;0,K19&gt;0),100,0))*VLOOKUP(B19,variables!$A$2:$B$6,2,FALSE)</f>
        <v>17.513336576186717</v>
      </c>
      <c r="AD19" s="16">
        <f>IF($A19="","",INDEX(v_data!$B$2:$X$1000,MATCH($A19,v_data!$A$3:$A$1000,0)+1,MATCH(LOWER("hours"),v_data!$B$2:$X$2,0)))</f>
        <v>18</v>
      </c>
    </row>
    <row r="20" spans="1:31" x14ac:dyDescent="0.25">
      <c r="A20" s="2" t="str">
        <f>IF(ISBLANK(v_data!A19),"",v_data!A19)</f>
        <v>AFT-28</v>
      </c>
      <c r="B20" s="2" t="s">
        <v>22</v>
      </c>
      <c r="C20" s="2">
        <f>VLOOKUP(B20,variables!$A$2:$B$6,2,FALSE)</f>
        <v>0.8</v>
      </c>
      <c r="D20" s="4">
        <v>43826</v>
      </c>
      <c r="E20" s="4">
        <v>43431</v>
      </c>
      <c r="F20" s="2">
        <f>IF($A20="","",INDEX(v_data!$B$2:$L$1000,MATCH($A20,v_data!$A$3:$A$1000,0)+1,MATCH(LOWER(F$1),v_data!$B$2:$L$2,0)))</f>
        <v>0</v>
      </c>
      <c r="G20" s="2">
        <f t="shared" ref="G20" si="162">IF($A20="","",F20*G$2)</f>
        <v>0</v>
      </c>
      <c r="H20" s="2">
        <f>IF($A20="","",INDEX(v_data!$B$2:$L$1000,MATCH($A20,v_data!$A$3:$A$1000,0)+1,MATCH(LOWER(H$1),v_data!$B$2:$L$2,0)))</f>
        <v>1</v>
      </c>
      <c r="I20" s="2">
        <f t="shared" ref="I20" si="163">IF($A20="","",H20*I$2)</f>
        <v>4.33219042477754</v>
      </c>
      <c r="J20" s="2">
        <f>IF($A20="","",INDEX(v_data!$B$2:$L$1000,MATCH($A20,v_data!$A$3:$A$1000,0)+1,MATCH(LOWER(J$1),v_data!$B$2:$L$2,0)))</f>
        <v>0</v>
      </c>
      <c r="K20" s="2">
        <f t="shared" ref="K20" si="164">IF($A20="","",J20*K$2)</f>
        <v>0</v>
      </c>
      <c r="L20" s="2">
        <f>IF($A20="","",INDEX(v_data!$B$2:$L$1000,MATCH($A20,v_data!$A$3:$A$1000,0)+1,MATCH(LOWER(L$1),v_data!$B$2:$L$2,0)))</f>
        <v>0</v>
      </c>
      <c r="M20" s="2">
        <f t="shared" ref="M20" si="165">IF($A20="","",L20*M$2)</f>
        <v>0</v>
      </c>
      <c r="N20" s="2">
        <f>IF($A20="","",INDEX(v_data!$B$2:$L$1000,MATCH($A20,v_data!$A$3:$A$1000,0)+1,MATCH(LOWER(N$1),v_data!$B$2:$L$2,0)))</f>
        <v>4</v>
      </c>
      <c r="O20" s="2">
        <f t="shared" ref="O20" si="166">IF($A20="","",N20*O$2)</f>
        <v>38.456314767295119</v>
      </c>
      <c r="P20" s="2">
        <f>IF($A20="","",INDEX(v_data!$B$2:$L$1000,MATCH($A20,v_data!$A$3:$A$1000,0)+1,MATCH(LOWER(P$1),v_data!$B$2:$L$2,0)))</f>
        <v>5</v>
      </c>
      <c r="Q20" s="2">
        <f t="shared" ref="Q20" si="167">IF($A20="","",P20*Q$2)</f>
        <v>-13.995039468146151</v>
      </c>
      <c r="R20" s="2">
        <f>IF($A20="","",INDEX(v_data!$B$2:$L$1000,MATCH($A20,v_data!$A$3:$A$1000,0)+1,MATCH(LOWER(R$1),v_data!$B$2:$L$2,0)))</f>
        <v>0</v>
      </c>
      <c r="S20" s="2">
        <f t="shared" ref="S20" si="168">IF($A20="","",R20*S$2)</f>
        <v>0</v>
      </c>
      <c r="T20" s="2">
        <f>IF($A20="","",INDEX(v_data!$B$2:$L$1000,MATCH($A20,v_data!$A$3:$A$1000,0)+1,MATCH(LOWER(T$1),v_data!$B$2:$L$2,0)))</f>
        <v>1</v>
      </c>
      <c r="U20" s="2">
        <f t="shared" ref="U20" si="169">IF($A20="","",T20*U$2)</f>
        <v>-3.7325022021383401</v>
      </c>
      <c r="V20" s="2">
        <f>IF($A20="","",INDEX(v_data!$B$2:$L$1000,MATCH($A20,v_data!$A$3:$A$1000,0)+1,MATCH(LOWER(V$1),v_data!$B$2:$L$2,0)))</f>
        <v>0.75</v>
      </c>
      <c r="W20" s="2">
        <f t="shared" ref="W20" si="170">IF($A20="","",V20*W$2)</f>
        <v>-9.7199478831515247</v>
      </c>
      <c r="X20" s="2">
        <f>IF($A20="","",INDEX(v_data!$B$2:$L$1000,MATCH($A20,v_data!$A$3:$A$1000,0)+1,MATCH(LOWER(X$1),v_data!$B$2:$L$2,0)))</f>
        <v>1</v>
      </c>
      <c r="Y20" s="2">
        <f t="shared" ref="Y20" si="171">IF($A20="","",X20*Y$2)</f>
        <v>13.365994303350799</v>
      </c>
      <c r="Z20" s="2">
        <f>IF($A20="","",INDEX(v_data!$B$2:$L$1000,MATCH($A20,v_data!$A$3:$A$1000,0)+1,MATCH(LOWER(Z$1),v_data!$B$2:$L$2,0)))</f>
        <v>0</v>
      </c>
      <c r="AA20" s="2">
        <f t="shared" si="9"/>
        <v>0</v>
      </c>
      <c r="AB20" s="2">
        <f t="shared" si="101"/>
        <v>28.707009941987444</v>
      </c>
      <c r="AC20" s="2">
        <f>(SUM(G20,I20,K20,M20,O20,Q20,S20,U20,W20,Y20,AA20)+IF(AND(G20&gt;0,I20&gt;0,K20&gt;0),100,0))*VLOOKUP(B20,variables!$A$2:$B$6,2,FALSE)</f>
        <v>22.965607953589956</v>
      </c>
      <c r="AD20" s="16">
        <f>IF($A20="","",INDEX(v_data!$B$2:$X$1000,MATCH($A20,v_data!$A$3:$A$1000,0)+1,MATCH(LOWER("hours"),v_data!$B$2:$X$2,0)))</f>
        <v>18</v>
      </c>
    </row>
    <row r="21" spans="1:31" s="1" customFormat="1" x14ac:dyDescent="0.25">
      <c r="A21" s="2" t="str">
        <f>IF(ISBLANK(v_data!A20),"",v_data!A20)</f>
        <v>VIVENTIA-VB4-845-02-IIIA</v>
      </c>
      <c r="B21" s="2" t="s">
        <v>22</v>
      </c>
      <c r="C21" s="2">
        <f>VLOOKUP(B21,variables!$A$2:$B$6,2,FALSE)</f>
        <v>0.8</v>
      </c>
      <c r="D21" s="4">
        <v>43826</v>
      </c>
      <c r="E21" s="4">
        <v>43431</v>
      </c>
      <c r="F21" s="2">
        <f>IF($A21="","",INDEX(v_data!$B$2:$L$1000,MATCH($A21,v_data!$A$3:$A$1000,0)+1,MATCH(LOWER(F$1),v_data!$B$2:$L$2,0)))</f>
        <v>0</v>
      </c>
      <c r="G21" s="2">
        <f t="shared" ref="G21:G23" si="172">IF($A21="","",F21*G$2)</f>
        <v>0</v>
      </c>
      <c r="H21" s="2">
        <f>IF($A21="","",INDEX(v_data!$B$2:$L$1000,MATCH($A21,v_data!$A$3:$A$1000,0)+1,MATCH(LOWER(H$1),v_data!$B$2:$L$2,0)))</f>
        <v>1</v>
      </c>
      <c r="I21" s="2">
        <f t="shared" ref="I21:I23" si="173">IF($A21="","",H21*I$2)</f>
        <v>4.33219042477754</v>
      </c>
      <c r="J21" s="2">
        <f>IF($A21="","",INDEX(v_data!$B$2:$L$1000,MATCH($A21,v_data!$A$3:$A$1000,0)+1,MATCH(LOWER(J$1),v_data!$B$2:$L$2,0)))</f>
        <v>1</v>
      </c>
      <c r="K21" s="2">
        <f t="shared" ref="K21:K23" si="174">IF($A21="","",J21*K$2)</f>
        <v>18.023723845739799</v>
      </c>
      <c r="L21" s="2">
        <f>IF($A21="","",INDEX(v_data!$B$2:$L$1000,MATCH($A21,v_data!$A$3:$A$1000,0)+1,MATCH(LOWER(L$1),v_data!$B$2:$L$2,0)))</f>
        <v>0</v>
      </c>
      <c r="M21" s="2">
        <f t="shared" ref="M21:M23" si="175">IF($A21="","",L21*M$2)</f>
        <v>0</v>
      </c>
      <c r="N21" s="2">
        <f>IF($A21="","",INDEX(v_data!$B$2:$L$1000,MATCH($A21,v_data!$A$3:$A$1000,0)+1,MATCH(LOWER(N$1),v_data!$B$2:$L$2,0)))</f>
        <v>2</v>
      </c>
      <c r="O21" s="2">
        <f t="shared" ref="O21:O23" si="176">IF($A21="","",N21*O$2)</f>
        <v>19.228157383647559</v>
      </c>
      <c r="P21" s="2">
        <f>IF($A21="","",INDEX(v_data!$B$2:$L$1000,MATCH($A21,v_data!$A$3:$A$1000,0)+1,MATCH(LOWER(P$1),v_data!$B$2:$L$2,0)))</f>
        <v>2</v>
      </c>
      <c r="Q21" s="2">
        <f t="shared" ref="Q21:Q23" si="177">IF($A21="","",P21*Q$2)</f>
        <v>-5.5980157872584604</v>
      </c>
      <c r="R21" s="2">
        <f>IF($A21="","",INDEX(v_data!$B$2:$L$1000,MATCH($A21,v_data!$A$3:$A$1000,0)+1,MATCH(LOWER(R$1),v_data!$B$2:$L$2,0)))</f>
        <v>0</v>
      </c>
      <c r="S21" s="2">
        <f t="shared" ref="S21:S23" si="178">IF($A21="","",R21*S$2)</f>
        <v>0</v>
      </c>
      <c r="T21" s="2">
        <f>IF($A21="","",INDEX(v_data!$B$2:$L$1000,MATCH($A21,v_data!$A$3:$A$1000,0)+1,MATCH(LOWER(T$1),v_data!$B$2:$L$2,0)))</f>
        <v>1</v>
      </c>
      <c r="U21" s="2">
        <f t="shared" ref="U21:U23" si="179">IF($A21="","",T21*U$2)</f>
        <v>-3.7325022021383401</v>
      </c>
      <c r="V21" s="2">
        <f>IF($A21="","",INDEX(v_data!$B$2:$L$1000,MATCH($A21,v_data!$A$3:$A$1000,0)+1,MATCH(LOWER(V$1),v_data!$B$2:$L$2,0)))</f>
        <v>0.75</v>
      </c>
      <c r="W21" s="2">
        <f t="shared" ref="W21:W23" si="180">IF($A21="","",V21*W$2)</f>
        <v>-9.7199478831515247</v>
      </c>
      <c r="X21" s="2">
        <f>IF($A21="","",INDEX(v_data!$B$2:$L$1000,MATCH($A21,v_data!$A$3:$A$1000,0)+1,MATCH(LOWER(X$1),v_data!$B$2:$L$2,0)))</f>
        <v>1</v>
      </c>
      <c r="Y21" s="2">
        <f t="shared" ref="Y21:Y23" si="181">IF($A21="","",X21*Y$2)</f>
        <v>13.365994303350799</v>
      </c>
      <c r="Z21" s="2">
        <f>IF($A21="","",INDEX(v_data!$B$2:$L$1000,MATCH($A21,v_data!$A$3:$A$1000,0)+1,MATCH(LOWER(Z$1),v_data!$B$2:$L$2,0)))</f>
        <v>0</v>
      </c>
      <c r="AA21" s="2">
        <f t="shared" ref="AA21:AA23" si="182">IF($A21="","",Z21*AA$2)</f>
        <v>0</v>
      </c>
      <c r="AB21" s="2">
        <f t="shared" ref="AB21:AB23" si="183">IF(A21="","",SUM(G21,I21,K21,M21,O21,Q21,S21,U21,W21,Y21,AA21))</f>
        <v>35.899600084967375</v>
      </c>
      <c r="AC21" s="2">
        <f>(SUM(G21,I21,K21,M21,O21,Q21,S21,U21,W21,Y21,AA21)+IF(AND(G21&gt;0,I21&gt;0,K21&gt;0),100,0))*VLOOKUP(B21,variables!$A$2:$B$6,2,FALSE)</f>
        <v>28.719680067973901</v>
      </c>
      <c r="AD21" s="16">
        <f>IF($A21="","",INDEX(v_data!$B$2:$X$1000,MATCH($A21,v_data!$A$3:$A$1000,0)+1,MATCH(LOWER("hours"),v_data!$B$2:$X$2,0)))</f>
        <v>19.5</v>
      </c>
      <c r="AE21"/>
    </row>
    <row r="22" spans="1:31" s="1" customFormat="1" x14ac:dyDescent="0.25">
      <c r="A22" s="2" t="str">
        <f>IF(ISBLANK(v_data!A21),"",v_data!A21)</f>
        <v>MERCK-MK-3475-177-00</v>
      </c>
      <c r="B22" s="2" t="s">
        <v>22</v>
      </c>
      <c r="C22" s="2">
        <f>VLOOKUP(B22,variables!$A$2:$B$6,2,FALSE)</f>
        <v>0.8</v>
      </c>
      <c r="D22" s="4">
        <v>43826</v>
      </c>
      <c r="E22" s="4">
        <v>43431</v>
      </c>
      <c r="F22" s="2">
        <f>IF($A22="","",INDEX(v_data!$B$2:$L$1000,MATCH($A22,v_data!$A$3:$A$1000,0)+1,MATCH(LOWER(F$1),v_data!$B$2:$L$2,0)))</f>
        <v>0</v>
      </c>
      <c r="G22" s="2">
        <f t="shared" si="172"/>
        <v>0</v>
      </c>
      <c r="H22" s="2">
        <f>IF($A22="","",INDEX(v_data!$B$2:$L$1000,MATCH($A22,v_data!$A$3:$A$1000,0)+1,MATCH(LOWER(H$1),v_data!$B$2:$L$2,0)))</f>
        <v>1</v>
      </c>
      <c r="I22" s="2">
        <f t="shared" si="173"/>
        <v>4.33219042477754</v>
      </c>
      <c r="J22" s="2">
        <f>IF($A22="","",INDEX(v_data!$B$2:$L$1000,MATCH($A22,v_data!$A$3:$A$1000,0)+1,MATCH(LOWER(J$1),v_data!$B$2:$L$2,0)))</f>
        <v>1</v>
      </c>
      <c r="K22" s="2">
        <f t="shared" si="174"/>
        <v>18.023723845739799</v>
      </c>
      <c r="L22" s="2">
        <f>IF($A22="","",INDEX(v_data!$B$2:$L$1000,MATCH($A22,v_data!$A$3:$A$1000,0)+1,MATCH(LOWER(L$1),v_data!$B$2:$L$2,0)))</f>
        <v>0</v>
      </c>
      <c r="M22" s="2">
        <f t="shared" si="175"/>
        <v>0</v>
      </c>
      <c r="N22" s="2">
        <f>IF($A22="","",INDEX(v_data!$B$2:$L$1000,MATCH($A22,v_data!$A$3:$A$1000,0)+1,MATCH(LOWER(N$1),v_data!$B$2:$L$2,0)))</f>
        <v>2</v>
      </c>
      <c r="O22" s="2">
        <f t="shared" si="176"/>
        <v>19.228157383647559</v>
      </c>
      <c r="P22" s="2">
        <f>IF($A22="","",INDEX(v_data!$B$2:$L$1000,MATCH($A22,v_data!$A$3:$A$1000,0)+1,MATCH(LOWER(P$1),v_data!$B$2:$L$2,0)))</f>
        <v>4</v>
      </c>
      <c r="Q22" s="2">
        <f t="shared" si="177"/>
        <v>-11.196031574516921</v>
      </c>
      <c r="R22" s="2">
        <f>IF($A22="","",INDEX(v_data!$B$2:$L$1000,MATCH($A22,v_data!$A$3:$A$1000,0)+1,MATCH(LOWER(R$1),v_data!$B$2:$L$2,0)))</f>
        <v>4</v>
      </c>
      <c r="S22" s="2">
        <f t="shared" si="178"/>
        <v>1.0657180283008441</v>
      </c>
      <c r="T22" s="2">
        <f>IF($A22="","",INDEX(v_data!$B$2:$L$1000,MATCH($A22,v_data!$A$3:$A$1000,0)+1,MATCH(LOWER(T$1),v_data!$B$2:$L$2,0)))</f>
        <v>0</v>
      </c>
      <c r="U22" s="2">
        <f t="shared" si="179"/>
        <v>0</v>
      </c>
      <c r="V22" s="2">
        <f>IF($A22="","",INDEX(v_data!$B$2:$L$1000,MATCH($A22,v_data!$A$3:$A$1000,0)+1,MATCH(LOWER(V$1),v_data!$B$2:$L$2,0)))</f>
        <v>0.75</v>
      </c>
      <c r="W22" s="2">
        <f t="shared" si="180"/>
        <v>-9.7199478831515247</v>
      </c>
      <c r="X22" s="2">
        <f>IF($A22="","",INDEX(v_data!$B$2:$L$1000,MATCH($A22,v_data!$A$3:$A$1000,0)+1,MATCH(LOWER(X$1),v_data!$B$2:$L$2,0)))</f>
        <v>1</v>
      </c>
      <c r="Y22" s="2">
        <f t="shared" si="181"/>
        <v>13.365994303350799</v>
      </c>
      <c r="Z22" s="2">
        <f>IF($A22="","",INDEX(v_data!$B$2:$L$1000,MATCH($A22,v_data!$A$3:$A$1000,0)+1,MATCH(LOWER(Z$1),v_data!$B$2:$L$2,0)))</f>
        <v>0</v>
      </c>
      <c r="AA22" s="2">
        <f t="shared" si="182"/>
        <v>0</v>
      </c>
      <c r="AB22" s="2">
        <f t="shared" si="183"/>
        <v>35.099804528148098</v>
      </c>
      <c r="AC22" s="2">
        <f>(SUM(G22,I22,K22,M22,O22,Q22,S22,U22,W22,Y22,AA22)+IF(AND(G22&gt;0,I22&gt;0,K22&gt;0),100,0))*VLOOKUP(B22,variables!$A$2:$B$6,2,FALSE)</f>
        <v>28.079843622518482</v>
      </c>
      <c r="AD22" s="16">
        <f>IF($A22="","",INDEX(v_data!$B$2:$X$1000,MATCH($A22,v_data!$A$3:$A$1000,0)+1,MATCH(LOWER("hours"),v_data!$B$2:$X$2,0)))</f>
        <v>19.5</v>
      </c>
      <c r="AE22"/>
    </row>
    <row r="23" spans="1:31" s="1" customFormat="1" x14ac:dyDescent="0.25">
      <c r="A23" s="2" t="str">
        <f>IF(ISBLANK(v_data!A22),"",v_data!A22)</f>
        <v>NRG-LU003</v>
      </c>
      <c r="B23" s="2" t="s">
        <v>22</v>
      </c>
      <c r="C23" s="2">
        <f>VLOOKUP(B23,variables!$A$2:$B$6,2,FALSE)</f>
        <v>0.8</v>
      </c>
      <c r="D23" s="4">
        <v>43826</v>
      </c>
      <c r="E23" s="4">
        <v>43431</v>
      </c>
      <c r="F23" s="2">
        <f>IF($A23="","",INDEX(v_data!$B$2:$L$1000,MATCH($A23,v_data!$A$3:$A$1000,0)+1,MATCH(LOWER(F$1),v_data!$B$2:$L$2,0)))</f>
        <v>0</v>
      </c>
      <c r="G23" s="2">
        <f t="shared" si="172"/>
        <v>0</v>
      </c>
      <c r="H23" s="2">
        <f>IF($A23="","",INDEX(v_data!$B$2:$L$1000,MATCH($A23,v_data!$A$3:$A$1000,0)+1,MATCH(LOWER(H$1),v_data!$B$2:$L$2,0)))</f>
        <v>1</v>
      </c>
      <c r="I23" s="2">
        <f t="shared" si="173"/>
        <v>4.33219042477754</v>
      </c>
      <c r="J23" s="2">
        <f>IF($A23="","",INDEX(v_data!$B$2:$L$1000,MATCH($A23,v_data!$A$3:$A$1000,0)+1,MATCH(LOWER(J$1),v_data!$B$2:$L$2,0)))</f>
        <v>0</v>
      </c>
      <c r="K23" s="2">
        <f t="shared" si="174"/>
        <v>0</v>
      </c>
      <c r="L23" s="2">
        <f>IF($A23="","",INDEX(v_data!$B$2:$L$1000,MATCH($A23,v_data!$A$3:$A$1000,0)+1,MATCH(LOWER(L$1),v_data!$B$2:$L$2,0)))</f>
        <v>0</v>
      </c>
      <c r="M23" s="2">
        <f t="shared" si="175"/>
        <v>0</v>
      </c>
      <c r="N23" s="2">
        <f>IF($A23="","",INDEX(v_data!$B$2:$L$1000,MATCH($A23,v_data!$A$3:$A$1000,0)+1,MATCH(LOWER(N$1),v_data!$B$2:$L$2,0)))</f>
        <v>5</v>
      </c>
      <c r="O23" s="2">
        <f t="shared" si="176"/>
        <v>48.070393459118897</v>
      </c>
      <c r="P23" s="2">
        <f>IF($A23="","",INDEX(v_data!$B$2:$L$1000,MATCH($A23,v_data!$A$3:$A$1000,0)+1,MATCH(LOWER(P$1),v_data!$B$2:$L$2,0)))</f>
        <v>14</v>
      </c>
      <c r="Q23" s="2">
        <f t="shared" si="177"/>
        <v>-39.186110510809222</v>
      </c>
      <c r="R23" s="2">
        <f>IF($A23="","",INDEX(v_data!$B$2:$L$1000,MATCH($A23,v_data!$A$3:$A$1000,0)+1,MATCH(LOWER(R$1),v_data!$B$2:$L$2,0)))</f>
        <v>0</v>
      </c>
      <c r="S23" s="2">
        <f t="shared" si="178"/>
        <v>0</v>
      </c>
      <c r="T23" s="2">
        <f>IF($A23="","",INDEX(v_data!$B$2:$L$1000,MATCH($A23,v_data!$A$3:$A$1000,0)+1,MATCH(LOWER(T$1),v_data!$B$2:$L$2,0)))</f>
        <v>0</v>
      </c>
      <c r="U23" s="2">
        <f t="shared" si="179"/>
        <v>0</v>
      </c>
      <c r="V23" s="2">
        <f>IF($A23="","",INDEX(v_data!$B$2:$L$1000,MATCH($A23,v_data!$A$3:$A$1000,0)+1,MATCH(LOWER(V$1),v_data!$B$2:$L$2,0)))</f>
        <v>0.5</v>
      </c>
      <c r="W23" s="2">
        <f t="shared" si="180"/>
        <v>-6.4799652554343501</v>
      </c>
      <c r="X23" s="2">
        <f>IF($A23="","",INDEX(v_data!$B$2:$L$1000,MATCH($A23,v_data!$A$3:$A$1000,0)+1,MATCH(LOWER(X$1),v_data!$B$2:$L$2,0)))</f>
        <v>0.5</v>
      </c>
      <c r="Y23" s="2">
        <f t="shared" si="181"/>
        <v>6.6829971516753996</v>
      </c>
      <c r="Z23" s="2">
        <f>IF($A23="","",INDEX(v_data!$B$2:$L$1000,MATCH($A23,v_data!$A$3:$A$1000,0)+1,MATCH(LOWER(Z$1),v_data!$B$2:$L$2,0)))</f>
        <v>0</v>
      </c>
      <c r="AA23" s="2">
        <f t="shared" si="182"/>
        <v>0</v>
      </c>
      <c r="AB23" s="2">
        <f t="shared" si="183"/>
        <v>13.419505269328269</v>
      </c>
      <c r="AC23" s="2">
        <f>(SUM(G23,I23,K23,M23,O23,Q23,S23,U23,W23,Y23,AA23)+IF(AND(G23&gt;0,I23&gt;0,K23&gt;0),100,0))*VLOOKUP(B23,variables!$A$2:$B$6,2,FALSE)</f>
        <v>10.735604215462615</v>
      </c>
      <c r="AD23" s="16">
        <f>IF($A23="","",INDEX(v_data!$B$2:$X$1000,MATCH($A23,v_data!$A$3:$A$1000,0)+1,MATCH(LOWER("hours"),v_data!$B$2:$X$2,0)))</f>
        <v>20</v>
      </c>
      <c r="AE23"/>
    </row>
    <row r="24" spans="1:31" s="1" customFormat="1" x14ac:dyDescent="0.25">
      <c r="A24" s="2" t="str">
        <f>IF(ISBLANK(v_data!A23),"",v_data!A23)</f>
        <v>MILLENNIUM-C16014</v>
      </c>
      <c r="B24" s="2" t="s">
        <v>22</v>
      </c>
      <c r="C24" s="2">
        <f>VLOOKUP(B24,variables!$A$2:$B$6,2,FALSE)</f>
        <v>0.8</v>
      </c>
      <c r="D24" s="4">
        <v>43826</v>
      </c>
      <c r="E24" s="4">
        <v>43431</v>
      </c>
      <c r="F24" s="2">
        <f>IF($A24="","",INDEX(v_data!$B$2:$L$1000,MATCH($A24,v_data!$A$3:$A$1000,0)+1,MATCH(LOWER(F$1),v_data!$B$2:$L$2,0)))</f>
        <v>0</v>
      </c>
      <c r="G24" s="2">
        <f t="shared" ref="G24:G87" si="184">IF($A24="","",F24*G$2)</f>
        <v>0</v>
      </c>
      <c r="H24" s="2">
        <f>IF($A24="","",INDEX(v_data!$B$2:$L$1000,MATCH($A24,v_data!$A$3:$A$1000,0)+1,MATCH(LOWER(H$1),v_data!$B$2:$L$2,0)))</f>
        <v>1</v>
      </c>
      <c r="I24" s="2">
        <f t="shared" ref="I24:I87" si="185">IF($A24="","",H24*I$2)</f>
        <v>4.33219042477754</v>
      </c>
      <c r="J24" s="2">
        <f>IF($A24="","",INDEX(v_data!$B$2:$L$1000,MATCH($A24,v_data!$A$3:$A$1000,0)+1,MATCH(LOWER(J$1),v_data!$B$2:$L$2,0)))</f>
        <v>1</v>
      </c>
      <c r="K24" s="2">
        <f t="shared" ref="K24:K87" si="186">IF($A24="","",J24*K$2)</f>
        <v>18.023723845739799</v>
      </c>
      <c r="L24" s="2">
        <f>IF($A24="","",INDEX(v_data!$B$2:$L$1000,MATCH($A24,v_data!$A$3:$A$1000,0)+1,MATCH(LOWER(L$1),v_data!$B$2:$L$2,0)))</f>
        <v>0</v>
      </c>
      <c r="M24" s="2">
        <f t="shared" ref="M24:M87" si="187">IF($A24="","",L24*M$2)</f>
        <v>0</v>
      </c>
      <c r="N24" s="2">
        <f>IF($A24="","",INDEX(v_data!$B$2:$L$1000,MATCH($A24,v_data!$A$3:$A$1000,0)+1,MATCH(LOWER(N$1),v_data!$B$2:$L$2,0)))</f>
        <v>2</v>
      </c>
      <c r="O24" s="2">
        <f t="shared" ref="O24:O87" si="188">IF($A24="","",N24*O$2)</f>
        <v>19.228157383647559</v>
      </c>
      <c r="P24" s="2">
        <f>IF($A24="","",INDEX(v_data!$B$2:$L$1000,MATCH($A24,v_data!$A$3:$A$1000,0)+1,MATCH(LOWER(P$1),v_data!$B$2:$L$2,0)))</f>
        <v>5</v>
      </c>
      <c r="Q24" s="2">
        <f t="shared" ref="Q24:Q87" si="189">IF($A24="","",P24*Q$2)</f>
        <v>-13.995039468146151</v>
      </c>
      <c r="R24" s="2">
        <f>IF($A24="","",INDEX(v_data!$B$2:$L$1000,MATCH($A24,v_data!$A$3:$A$1000,0)+1,MATCH(LOWER(R$1),v_data!$B$2:$L$2,0)))</f>
        <v>7</v>
      </c>
      <c r="S24" s="2">
        <f t="shared" ref="S24:S87" si="190">IF($A24="","",R24*S$2)</f>
        <v>1.8650065495264772</v>
      </c>
      <c r="T24" s="2">
        <f>IF($A24="","",INDEX(v_data!$B$2:$L$1000,MATCH($A24,v_data!$A$3:$A$1000,0)+1,MATCH(LOWER(T$1),v_data!$B$2:$L$2,0)))</f>
        <v>0</v>
      </c>
      <c r="U24" s="2">
        <f t="shared" ref="U24:U87" si="191">IF($A24="","",T24*U$2)</f>
        <v>0</v>
      </c>
      <c r="V24" s="2">
        <f>IF($A24="","",INDEX(v_data!$B$2:$L$1000,MATCH($A24,v_data!$A$3:$A$1000,0)+1,MATCH(LOWER(V$1),v_data!$B$2:$L$2,0)))</f>
        <v>0.75</v>
      </c>
      <c r="W24" s="2">
        <f t="shared" ref="W24:W87" si="192">IF($A24="","",V24*W$2)</f>
        <v>-9.7199478831515247</v>
      </c>
      <c r="X24" s="2">
        <f>IF($A24="","",INDEX(v_data!$B$2:$L$1000,MATCH($A24,v_data!$A$3:$A$1000,0)+1,MATCH(LOWER(X$1),v_data!$B$2:$L$2,0)))</f>
        <v>1</v>
      </c>
      <c r="Y24" s="2">
        <f t="shared" ref="Y24:Y87" si="193">IF($A24="","",X24*Y$2)</f>
        <v>13.365994303350799</v>
      </c>
      <c r="Z24" s="2">
        <f>IF($A24="","",INDEX(v_data!$B$2:$L$1000,MATCH($A24,v_data!$A$3:$A$1000,0)+1,MATCH(LOWER(Z$1),v_data!$B$2:$L$2,0)))</f>
        <v>0</v>
      </c>
      <c r="AA24" s="2">
        <f t="shared" ref="AA24:AA87" si="194">IF($A24="","",Z24*AA$2)</f>
        <v>0</v>
      </c>
      <c r="AB24" s="2">
        <f t="shared" ref="AB24:AB87" si="195">IF(A24="","",SUM(G24,I24,K24,M24,O24,Q24,S24,U24,W24,Y24,AA24))</f>
        <v>33.100085155744495</v>
      </c>
      <c r="AC24" s="2">
        <f>(SUM(G24,I24,K24,M24,O24,Q24,S24,U24,W24,Y24,AA24)+IF(AND(G24&gt;0,I24&gt;0,K24&gt;0),100,0))*VLOOKUP(B24,variables!$A$2:$B$6,2,FALSE)</f>
        <v>26.480068124595597</v>
      </c>
      <c r="AD24" s="16">
        <f>IF($A24="","",INDEX(v_data!$B$2:$X$1000,MATCH($A24,v_data!$A$3:$A$1000,0)+1,MATCH(LOWER("hours"),v_data!$B$2:$X$2,0)))</f>
        <v>21</v>
      </c>
      <c r="AE24"/>
    </row>
    <row r="25" spans="1:31" s="1" customFormat="1" x14ac:dyDescent="0.25">
      <c r="A25" s="2" t="str">
        <f>IF(ISBLANK(v_data!A24),"",v_data!A24)</f>
        <v>CITN-14</v>
      </c>
      <c r="B25" s="2" t="s">
        <v>22</v>
      </c>
      <c r="C25" s="2">
        <f>VLOOKUP(B25,variables!$A$2:$B$6,2,FALSE)</f>
        <v>0.8</v>
      </c>
      <c r="D25" s="4">
        <v>43826</v>
      </c>
      <c r="E25" s="4">
        <v>43431</v>
      </c>
      <c r="F25" s="2">
        <f>IF($A25="","",INDEX(v_data!$B$2:$L$1000,MATCH($A25,v_data!$A$3:$A$1000,0)+1,MATCH(LOWER(F$1),v_data!$B$2:$L$2,0)))</f>
        <v>0</v>
      </c>
      <c r="G25" s="2">
        <f t="shared" si="184"/>
        <v>0</v>
      </c>
      <c r="H25" s="2">
        <f>IF($A25="","",INDEX(v_data!$B$2:$L$1000,MATCH($A25,v_data!$A$3:$A$1000,0)+1,MATCH(LOWER(H$1),v_data!$B$2:$L$2,0)))</f>
        <v>1</v>
      </c>
      <c r="I25" s="2">
        <f t="shared" si="185"/>
        <v>4.33219042477754</v>
      </c>
      <c r="J25" s="2">
        <f>IF($A25="","",INDEX(v_data!$B$2:$L$1000,MATCH($A25,v_data!$A$3:$A$1000,0)+1,MATCH(LOWER(J$1),v_data!$B$2:$L$2,0)))</f>
        <v>0</v>
      </c>
      <c r="K25" s="2">
        <f t="shared" si="186"/>
        <v>0</v>
      </c>
      <c r="L25" s="2">
        <f>IF($A25="","",INDEX(v_data!$B$2:$L$1000,MATCH($A25,v_data!$A$3:$A$1000,0)+1,MATCH(LOWER(L$1),v_data!$B$2:$L$2,0)))</f>
        <v>0</v>
      </c>
      <c r="M25" s="2">
        <f t="shared" si="187"/>
        <v>0</v>
      </c>
      <c r="N25" s="2">
        <f>IF($A25="","",INDEX(v_data!$B$2:$L$1000,MATCH($A25,v_data!$A$3:$A$1000,0)+1,MATCH(LOWER(N$1),v_data!$B$2:$L$2,0)))</f>
        <v>4</v>
      </c>
      <c r="O25" s="2">
        <f t="shared" si="188"/>
        <v>38.456314767295119</v>
      </c>
      <c r="P25" s="2">
        <f>IF($A25="","",INDEX(v_data!$B$2:$L$1000,MATCH($A25,v_data!$A$3:$A$1000,0)+1,MATCH(LOWER(P$1),v_data!$B$2:$L$2,0)))</f>
        <v>7</v>
      </c>
      <c r="Q25" s="2">
        <f t="shared" si="189"/>
        <v>-19.593055255404611</v>
      </c>
      <c r="R25" s="2">
        <f>IF($A25="","",INDEX(v_data!$B$2:$L$1000,MATCH($A25,v_data!$A$3:$A$1000,0)+1,MATCH(LOWER(R$1),v_data!$B$2:$L$2,0)))</f>
        <v>0</v>
      </c>
      <c r="S25" s="2">
        <f t="shared" si="190"/>
        <v>0</v>
      </c>
      <c r="T25" s="2">
        <f>IF($A25="","",INDEX(v_data!$B$2:$L$1000,MATCH($A25,v_data!$A$3:$A$1000,0)+1,MATCH(LOWER(T$1),v_data!$B$2:$L$2,0)))</f>
        <v>0</v>
      </c>
      <c r="U25" s="2">
        <f t="shared" si="191"/>
        <v>0</v>
      </c>
      <c r="V25" s="2">
        <f>IF($A25="","",INDEX(v_data!$B$2:$L$1000,MATCH($A25,v_data!$A$3:$A$1000,0)+1,MATCH(LOWER(V$1),v_data!$B$2:$L$2,0)))</f>
        <v>0.5</v>
      </c>
      <c r="W25" s="2">
        <f t="shared" si="192"/>
        <v>-6.4799652554343501</v>
      </c>
      <c r="X25" s="2">
        <f>IF($A25="","",INDEX(v_data!$B$2:$L$1000,MATCH($A25,v_data!$A$3:$A$1000,0)+1,MATCH(LOWER(X$1),v_data!$B$2:$L$2,0)))</f>
        <v>0.5</v>
      </c>
      <c r="Y25" s="2">
        <f t="shared" si="193"/>
        <v>6.6829971516753996</v>
      </c>
      <c r="Z25" s="2">
        <f>IF($A25="","",INDEX(v_data!$B$2:$L$1000,MATCH($A25,v_data!$A$3:$A$1000,0)+1,MATCH(LOWER(Z$1),v_data!$B$2:$L$2,0)))</f>
        <v>0</v>
      </c>
      <c r="AA25" s="2">
        <f t="shared" si="194"/>
        <v>0</v>
      </c>
      <c r="AB25" s="2">
        <f t="shared" si="195"/>
        <v>23.398481832909098</v>
      </c>
      <c r="AC25" s="2">
        <f>(SUM(G25,I25,K25,M25,O25,Q25,S25,U25,W25,Y25,AA25)+IF(AND(G25&gt;0,I25&gt;0,K25&gt;0),100,0))*VLOOKUP(B25,variables!$A$2:$B$6,2,FALSE)</f>
        <v>18.718785466327279</v>
      </c>
      <c r="AD25" s="16">
        <f>IF($A25="","",INDEX(v_data!$B$2:$X$1000,MATCH($A25,v_data!$A$3:$A$1000,0)+1,MATCH(LOWER("hours"),v_data!$B$2:$X$2,0)))</f>
        <v>24</v>
      </c>
      <c r="AE25"/>
    </row>
    <row r="26" spans="1:31" s="1" customFormat="1" x14ac:dyDescent="0.25">
      <c r="A26" s="2" t="str">
        <f>IF(ISBLANK(v_data!A25),"",v_data!A25)</f>
        <v>AFT-19</v>
      </c>
      <c r="B26" s="2" t="s">
        <v>22</v>
      </c>
      <c r="C26" s="2">
        <f>VLOOKUP(B26,variables!$A$2:$B$6,2,FALSE)</f>
        <v>0.8</v>
      </c>
      <c r="D26" s="4">
        <v>43826</v>
      </c>
      <c r="E26" s="4">
        <v>43431</v>
      </c>
      <c r="F26" s="2">
        <f>IF($A26="","",INDEX(v_data!$B$2:$L$1000,MATCH($A26,v_data!$A$3:$A$1000,0)+1,MATCH(LOWER(F$1),v_data!$B$2:$L$2,0)))</f>
        <v>0</v>
      </c>
      <c r="G26" s="2">
        <f t="shared" si="184"/>
        <v>0</v>
      </c>
      <c r="H26" s="2">
        <f>IF($A26="","",INDEX(v_data!$B$2:$L$1000,MATCH($A26,v_data!$A$3:$A$1000,0)+1,MATCH(LOWER(H$1),v_data!$B$2:$L$2,0)))</f>
        <v>1</v>
      </c>
      <c r="I26" s="2">
        <f t="shared" si="185"/>
        <v>4.33219042477754</v>
      </c>
      <c r="J26" s="2">
        <f>IF($A26="","",INDEX(v_data!$B$2:$L$1000,MATCH($A26,v_data!$A$3:$A$1000,0)+1,MATCH(LOWER(J$1),v_data!$B$2:$L$2,0)))</f>
        <v>1</v>
      </c>
      <c r="K26" s="2">
        <f t="shared" si="186"/>
        <v>18.023723845739799</v>
      </c>
      <c r="L26" s="2">
        <f>IF($A26="","",INDEX(v_data!$B$2:$L$1000,MATCH($A26,v_data!$A$3:$A$1000,0)+1,MATCH(LOWER(L$1),v_data!$B$2:$L$2,0)))</f>
        <v>0</v>
      </c>
      <c r="M26" s="2">
        <f t="shared" si="187"/>
        <v>0</v>
      </c>
      <c r="N26" s="2">
        <f>IF($A26="","",INDEX(v_data!$B$2:$L$1000,MATCH($A26,v_data!$A$3:$A$1000,0)+1,MATCH(LOWER(N$1),v_data!$B$2:$L$2,0)))</f>
        <v>1</v>
      </c>
      <c r="O26" s="2">
        <f t="shared" si="188"/>
        <v>9.6140786918237797</v>
      </c>
      <c r="P26" s="2">
        <f>IF($A26="","",INDEX(v_data!$B$2:$L$1000,MATCH($A26,v_data!$A$3:$A$1000,0)+1,MATCH(LOWER(P$1),v_data!$B$2:$L$2,0)))</f>
        <v>2</v>
      </c>
      <c r="Q26" s="2">
        <f t="shared" si="189"/>
        <v>-5.5980157872584604</v>
      </c>
      <c r="R26" s="2">
        <f>IF($A26="","",INDEX(v_data!$B$2:$L$1000,MATCH($A26,v_data!$A$3:$A$1000,0)+1,MATCH(LOWER(R$1),v_data!$B$2:$L$2,0)))</f>
        <v>2</v>
      </c>
      <c r="S26" s="2">
        <f t="shared" si="190"/>
        <v>0.53285901415042203</v>
      </c>
      <c r="T26" s="2">
        <f>IF($A26="","",INDEX(v_data!$B$2:$L$1000,MATCH($A26,v_data!$A$3:$A$1000,0)+1,MATCH(LOWER(T$1),v_data!$B$2:$L$2,0)))</f>
        <v>0</v>
      </c>
      <c r="U26" s="2">
        <f t="shared" si="191"/>
        <v>0</v>
      </c>
      <c r="V26" s="2">
        <f>IF($A26="","",INDEX(v_data!$B$2:$L$1000,MATCH($A26,v_data!$A$3:$A$1000,0)+1,MATCH(LOWER(V$1),v_data!$B$2:$L$2,0)))</f>
        <v>0.75</v>
      </c>
      <c r="W26" s="2">
        <f t="shared" si="192"/>
        <v>-9.7199478831515247</v>
      </c>
      <c r="X26" s="2">
        <f>IF($A26="","",INDEX(v_data!$B$2:$L$1000,MATCH($A26,v_data!$A$3:$A$1000,0)+1,MATCH(LOWER(X$1),v_data!$B$2:$L$2,0)))</f>
        <v>1</v>
      </c>
      <c r="Y26" s="2">
        <f t="shared" si="193"/>
        <v>13.365994303350799</v>
      </c>
      <c r="Z26" s="2">
        <f>IF($A26="","",INDEX(v_data!$B$2:$L$1000,MATCH($A26,v_data!$A$3:$A$1000,0)+1,MATCH(LOWER(Z$1),v_data!$B$2:$L$2,0)))</f>
        <v>0</v>
      </c>
      <c r="AA26" s="2">
        <f t="shared" si="194"/>
        <v>0</v>
      </c>
      <c r="AB26" s="2">
        <f t="shared" si="195"/>
        <v>30.550882609432353</v>
      </c>
      <c r="AC26" s="2">
        <f>(SUM(G26,I26,K26,M26,O26,Q26,S26,U26,W26,Y26,AA26)+IF(AND(G26&gt;0,I26&gt;0,K26&gt;0),100,0))*VLOOKUP(B26,variables!$A$2:$B$6,2,FALSE)</f>
        <v>24.440706087545884</v>
      </c>
      <c r="AD26" s="16">
        <f>IF($A26="","",INDEX(v_data!$B$2:$X$1000,MATCH($A26,v_data!$A$3:$A$1000,0)+1,MATCH(LOWER("hours"),v_data!$B$2:$X$2,0)))</f>
        <v>30</v>
      </c>
      <c r="AE26"/>
    </row>
    <row r="27" spans="1:31" s="1" customFormat="1" x14ac:dyDescent="0.25">
      <c r="A27" s="2" t="str">
        <f>IF(ISBLANK(v_data!A26),"",v_data!A26)</f>
        <v>AFT-25-COMET</v>
      </c>
      <c r="B27" s="2" t="s">
        <v>22</v>
      </c>
      <c r="C27" s="2">
        <f>VLOOKUP(B27,variables!$A$2:$B$6,2,FALSE)</f>
        <v>0.8</v>
      </c>
      <c r="D27" s="4">
        <v>43826</v>
      </c>
      <c r="E27" s="4">
        <v>43431</v>
      </c>
      <c r="F27" s="2">
        <f>IF($A27="","",INDEX(v_data!$B$2:$L$1000,MATCH($A27,v_data!$A$3:$A$1000,0)+1,MATCH(LOWER(F$1),v_data!$B$2:$L$2,0)))</f>
        <v>0</v>
      </c>
      <c r="G27" s="2">
        <f t="shared" si="184"/>
        <v>0</v>
      </c>
      <c r="H27" s="2">
        <f>IF($A27="","",INDEX(v_data!$B$2:$L$1000,MATCH($A27,v_data!$A$3:$A$1000,0)+1,MATCH(LOWER(H$1),v_data!$B$2:$L$2,0)))</f>
        <v>1</v>
      </c>
      <c r="I27" s="2">
        <f t="shared" si="185"/>
        <v>4.33219042477754</v>
      </c>
      <c r="J27" s="2">
        <f>IF($A27="","",INDEX(v_data!$B$2:$L$1000,MATCH($A27,v_data!$A$3:$A$1000,0)+1,MATCH(LOWER(J$1),v_data!$B$2:$L$2,0)))</f>
        <v>0</v>
      </c>
      <c r="K27" s="2">
        <f t="shared" si="186"/>
        <v>0</v>
      </c>
      <c r="L27" s="2">
        <f>IF($A27="","",INDEX(v_data!$B$2:$L$1000,MATCH($A27,v_data!$A$3:$A$1000,0)+1,MATCH(LOWER(L$1),v_data!$B$2:$L$2,0)))</f>
        <v>0</v>
      </c>
      <c r="M27" s="2">
        <f t="shared" si="187"/>
        <v>0</v>
      </c>
      <c r="N27" s="2">
        <f>IF($A27="","",INDEX(v_data!$B$2:$L$1000,MATCH($A27,v_data!$A$3:$A$1000,0)+1,MATCH(LOWER(N$1),v_data!$B$2:$L$2,0)))</f>
        <v>1</v>
      </c>
      <c r="O27" s="2">
        <f t="shared" si="188"/>
        <v>9.6140786918237797</v>
      </c>
      <c r="P27" s="2">
        <f>IF($A27="","",INDEX(v_data!$B$2:$L$1000,MATCH($A27,v_data!$A$3:$A$1000,0)+1,MATCH(LOWER(P$1),v_data!$B$2:$L$2,0)))</f>
        <v>4</v>
      </c>
      <c r="Q27" s="2">
        <f t="shared" si="189"/>
        <v>-11.196031574516921</v>
      </c>
      <c r="R27" s="2">
        <f>IF($A27="","",INDEX(v_data!$B$2:$L$1000,MATCH($A27,v_data!$A$3:$A$1000,0)+1,MATCH(LOWER(R$1),v_data!$B$2:$L$2,0)))</f>
        <v>1</v>
      </c>
      <c r="S27" s="2">
        <f t="shared" si="190"/>
        <v>0.26642950707521101</v>
      </c>
      <c r="T27" s="2">
        <f>IF($A27="","",INDEX(v_data!$B$2:$L$1000,MATCH($A27,v_data!$A$3:$A$1000,0)+1,MATCH(LOWER(T$1),v_data!$B$2:$L$2,0)))</f>
        <v>0</v>
      </c>
      <c r="U27" s="2">
        <f t="shared" si="191"/>
        <v>0</v>
      </c>
      <c r="V27" s="2">
        <f>IF($A27="","",INDEX(v_data!$B$2:$L$1000,MATCH($A27,v_data!$A$3:$A$1000,0)+1,MATCH(LOWER(V$1),v_data!$B$2:$L$2,0)))</f>
        <v>0.75</v>
      </c>
      <c r="W27" s="2">
        <f t="shared" si="192"/>
        <v>-9.7199478831515247</v>
      </c>
      <c r="X27" s="2">
        <f>IF($A27="","",INDEX(v_data!$B$2:$L$1000,MATCH($A27,v_data!$A$3:$A$1000,0)+1,MATCH(LOWER(X$1),v_data!$B$2:$L$2,0)))</f>
        <v>1</v>
      </c>
      <c r="Y27" s="2">
        <f t="shared" si="193"/>
        <v>13.365994303350799</v>
      </c>
      <c r="Z27" s="2">
        <f>IF($A27="","",INDEX(v_data!$B$2:$L$1000,MATCH($A27,v_data!$A$3:$A$1000,0)+1,MATCH(LOWER(Z$1),v_data!$B$2:$L$2,0)))</f>
        <v>0</v>
      </c>
      <c r="AA27" s="2">
        <f t="shared" si="194"/>
        <v>0</v>
      </c>
      <c r="AB27" s="2">
        <f t="shared" si="195"/>
        <v>6.6627134693588843</v>
      </c>
      <c r="AC27" s="2">
        <f>(SUM(G27,I27,K27,M27,O27,Q27,S27,U27,W27,Y27,AA27)+IF(AND(G27&gt;0,I27&gt;0,K27&gt;0),100,0))*VLOOKUP(B27,variables!$A$2:$B$6,2,FALSE)</f>
        <v>5.3301707754871082</v>
      </c>
      <c r="AD27" s="16">
        <f>IF($A27="","",INDEX(v_data!$B$2:$X$1000,MATCH($A27,v_data!$A$3:$A$1000,0)+1,MATCH(LOWER("hours"),v_data!$B$2:$X$2,0)))</f>
        <v>35</v>
      </c>
      <c r="AE27"/>
    </row>
    <row r="28" spans="1:31" x14ac:dyDescent="0.25">
      <c r="A28" s="2" t="str">
        <f>IF(ISBLANK(v_data!A27),"",v_data!A27)</f>
        <v>I3Y-MC-JPCF/NSABP-B-58</v>
      </c>
      <c r="B28" s="2" t="s">
        <v>22</v>
      </c>
      <c r="C28" s="2">
        <f>VLOOKUP(B28,variables!$A$2:$B$6,2,FALSE)</f>
        <v>0.8</v>
      </c>
      <c r="D28" s="4">
        <v>43826</v>
      </c>
      <c r="E28" s="4">
        <v>43431</v>
      </c>
      <c r="F28" s="2">
        <f>IF($A28="","",INDEX(v_data!$B$2:$L$1000,MATCH($A28,v_data!$A$3:$A$1000,0)+1,MATCH(LOWER(F$1),v_data!$B$2:$L$2,0)))</f>
        <v>0</v>
      </c>
      <c r="G28" s="2">
        <f t="shared" si="184"/>
        <v>0</v>
      </c>
      <c r="H28" s="2">
        <f>IF($A28="","",INDEX(v_data!$B$2:$L$1000,MATCH($A28,v_data!$A$3:$A$1000,0)+1,MATCH(LOWER(H$1),v_data!$B$2:$L$2,0)))</f>
        <v>1</v>
      </c>
      <c r="I28" s="2">
        <f t="shared" si="185"/>
        <v>4.33219042477754</v>
      </c>
      <c r="J28" s="2">
        <f>IF($A28="","",INDEX(v_data!$B$2:$L$1000,MATCH($A28,v_data!$A$3:$A$1000,0)+1,MATCH(LOWER(J$1),v_data!$B$2:$L$2,0)))</f>
        <v>0</v>
      </c>
      <c r="K28" s="2">
        <f t="shared" si="186"/>
        <v>0</v>
      </c>
      <c r="L28" s="2">
        <f>IF($A28="","",INDEX(v_data!$B$2:$L$1000,MATCH($A28,v_data!$A$3:$A$1000,0)+1,MATCH(LOWER(L$1),v_data!$B$2:$L$2,0)))</f>
        <v>0</v>
      </c>
      <c r="M28" s="2">
        <f t="shared" si="187"/>
        <v>0</v>
      </c>
      <c r="N28" s="2">
        <f>IF($A28="","",INDEX(v_data!$B$2:$L$1000,MATCH($A28,v_data!$A$3:$A$1000,0)+1,MATCH(LOWER(N$1),v_data!$B$2:$L$2,0)))</f>
        <v>3</v>
      </c>
      <c r="O28" s="2">
        <f t="shared" si="188"/>
        <v>28.842236075471341</v>
      </c>
      <c r="P28" s="2">
        <f>IF($A28="","",INDEX(v_data!$B$2:$L$1000,MATCH($A28,v_data!$A$3:$A$1000,0)+1,MATCH(LOWER(P$1),v_data!$B$2:$L$2,0)))</f>
        <v>5</v>
      </c>
      <c r="Q28" s="2">
        <f t="shared" si="189"/>
        <v>-13.995039468146151</v>
      </c>
      <c r="R28" s="2">
        <f>IF($A28="","",INDEX(v_data!$B$2:$L$1000,MATCH($A28,v_data!$A$3:$A$1000,0)+1,MATCH(LOWER(R$1),v_data!$B$2:$L$2,0)))</f>
        <v>0</v>
      </c>
      <c r="S28" s="2">
        <f t="shared" si="190"/>
        <v>0</v>
      </c>
      <c r="T28" s="2">
        <f>IF($A28="","",INDEX(v_data!$B$2:$L$1000,MATCH($A28,v_data!$A$3:$A$1000,0)+1,MATCH(LOWER(T$1),v_data!$B$2:$L$2,0)))</f>
        <v>0</v>
      </c>
      <c r="U28" s="2">
        <f t="shared" si="191"/>
        <v>0</v>
      </c>
      <c r="V28" s="2">
        <f>IF($A28="","",INDEX(v_data!$B$2:$L$1000,MATCH($A28,v_data!$A$3:$A$1000,0)+1,MATCH(LOWER(V$1),v_data!$B$2:$L$2,0)))</f>
        <v>0.75</v>
      </c>
      <c r="W28" s="2">
        <f t="shared" si="192"/>
        <v>-9.7199478831515247</v>
      </c>
      <c r="X28" s="2">
        <f>IF($A28="","",INDEX(v_data!$B$2:$L$1000,MATCH($A28,v_data!$A$3:$A$1000,0)+1,MATCH(LOWER(X$1),v_data!$B$2:$L$2,0)))</f>
        <v>1</v>
      </c>
      <c r="Y28" s="2">
        <f t="shared" si="193"/>
        <v>13.365994303350799</v>
      </c>
      <c r="Z28" s="2">
        <f>IF($A28="","",INDEX(v_data!$B$2:$L$1000,MATCH($A28,v_data!$A$3:$A$1000,0)+1,MATCH(LOWER(Z$1),v_data!$B$2:$L$2,0)))</f>
        <v>0</v>
      </c>
      <c r="AA28" s="2">
        <f t="shared" si="194"/>
        <v>0</v>
      </c>
      <c r="AB28" s="2">
        <f t="shared" si="195"/>
        <v>22.825433452302008</v>
      </c>
      <c r="AC28" s="2">
        <f>(SUM(G28,I28,K28,M28,O28,Q28,S28,U28,W28,Y28,AA28)+IF(AND(G28&gt;0,I28&gt;0,K28&gt;0),100,0))*VLOOKUP(B28,variables!$A$2:$B$6,2,FALSE)</f>
        <v>18.260346761841607</v>
      </c>
      <c r="AD28" s="16">
        <f>IF($A28="","",INDEX(v_data!$B$2:$X$1000,MATCH($A28,v_data!$A$3:$A$1000,0)+1,MATCH(LOWER("hours"),v_data!$B$2:$X$2,0)))</f>
        <v>40</v>
      </c>
    </row>
    <row r="29" spans="1:31" x14ac:dyDescent="0.25">
      <c r="A29" s="2" t="str">
        <f>IF(ISBLANK(v_data!A28),"",v_data!A28)</f>
        <v>URCC-14040</v>
      </c>
      <c r="B29" s="2" t="s">
        <v>22</v>
      </c>
      <c r="C29" s="2">
        <f>VLOOKUP(B29,variables!$A$2:$B$6,2,FALSE)</f>
        <v>0.8</v>
      </c>
      <c r="D29" s="4">
        <v>43826</v>
      </c>
      <c r="E29" s="4">
        <v>43431</v>
      </c>
      <c r="F29" s="2">
        <f>IF($A29="","",INDEX(v_data!$B$2:$L$1000,MATCH($A29,v_data!$A$3:$A$1000,0)+1,MATCH(LOWER(F$1),v_data!$B$2:$L$2,0)))</f>
        <v>0</v>
      </c>
      <c r="G29" s="2">
        <f t="shared" si="184"/>
        <v>0</v>
      </c>
      <c r="H29" s="2">
        <f>IF($A29="","",INDEX(v_data!$B$2:$L$1000,MATCH($A29,v_data!$A$3:$A$1000,0)+1,MATCH(LOWER(H$1),v_data!$B$2:$L$2,0)))</f>
        <v>1</v>
      </c>
      <c r="I29" s="2">
        <f t="shared" si="185"/>
        <v>4.33219042477754</v>
      </c>
      <c r="J29" s="2">
        <f>IF($A29="","",INDEX(v_data!$B$2:$L$1000,MATCH($A29,v_data!$A$3:$A$1000,0)+1,MATCH(LOWER(J$1),v_data!$B$2:$L$2,0)))</f>
        <v>0</v>
      </c>
      <c r="K29" s="2">
        <f t="shared" si="186"/>
        <v>0</v>
      </c>
      <c r="L29" s="2">
        <f>IF($A29="","",INDEX(v_data!$B$2:$L$1000,MATCH($A29,v_data!$A$3:$A$1000,0)+1,MATCH(LOWER(L$1),v_data!$B$2:$L$2,0)))</f>
        <v>0</v>
      </c>
      <c r="M29" s="2">
        <f t="shared" si="187"/>
        <v>0</v>
      </c>
      <c r="N29" s="2">
        <f>IF($A29="","",INDEX(v_data!$B$2:$L$1000,MATCH($A29,v_data!$A$3:$A$1000,0)+1,MATCH(LOWER(N$1),v_data!$B$2:$L$2,0)))</f>
        <v>9</v>
      </c>
      <c r="O29" s="2">
        <f t="shared" si="188"/>
        <v>86.526708226414016</v>
      </c>
      <c r="P29" s="2">
        <f>IF($A29="","",INDEX(v_data!$B$2:$L$1000,MATCH($A29,v_data!$A$3:$A$1000,0)+1,MATCH(LOWER(P$1),v_data!$B$2:$L$2,0)))</f>
        <v>15</v>
      </c>
      <c r="Q29" s="2">
        <f t="shared" si="189"/>
        <v>-41.985118404438452</v>
      </c>
      <c r="R29" s="2">
        <f>IF($A29="","",INDEX(v_data!$B$2:$L$1000,MATCH($A29,v_data!$A$3:$A$1000,0)+1,MATCH(LOWER(R$1),v_data!$B$2:$L$2,0)))</f>
        <v>0</v>
      </c>
      <c r="S29" s="2">
        <f t="shared" si="190"/>
        <v>0</v>
      </c>
      <c r="T29" s="2">
        <f>IF($A29="","",INDEX(v_data!$B$2:$L$1000,MATCH($A29,v_data!$A$3:$A$1000,0)+1,MATCH(LOWER(T$1),v_data!$B$2:$L$2,0)))</f>
        <v>2</v>
      </c>
      <c r="U29" s="2">
        <f t="shared" si="191"/>
        <v>-7.4650044042766801</v>
      </c>
      <c r="V29" s="2">
        <f>IF($A29="","",INDEX(v_data!$B$2:$L$1000,MATCH($A29,v_data!$A$3:$A$1000,0)+1,MATCH(LOWER(V$1),v_data!$B$2:$L$2,0)))</f>
        <v>0.75</v>
      </c>
      <c r="W29" s="2">
        <f t="shared" si="192"/>
        <v>-9.7199478831515247</v>
      </c>
      <c r="X29" s="2">
        <f>IF($A29="","",INDEX(v_data!$B$2:$L$1000,MATCH($A29,v_data!$A$3:$A$1000,0)+1,MATCH(LOWER(X$1),v_data!$B$2:$L$2,0)))</f>
        <v>0.5</v>
      </c>
      <c r="Y29" s="2">
        <f t="shared" si="193"/>
        <v>6.6829971516753996</v>
      </c>
      <c r="Z29" s="2">
        <f>IF($A29="","",INDEX(v_data!$B$2:$L$1000,MATCH($A29,v_data!$A$3:$A$1000,0)+1,MATCH(LOWER(Z$1),v_data!$B$2:$L$2,0)))</f>
        <v>0</v>
      </c>
      <c r="AA29" s="2">
        <f t="shared" si="194"/>
        <v>0</v>
      </c>
      <c r="AB29" s="2">
        <f t="shared" si="195"/>
        <v>38.371825111000291</v>
      </c>
      <c r="AC29" s="2">
        <f>(SUM(G29,I29,K29,M29,O29,Q29,S29,U29,W29,Y29,AA29)+IF(AND(G29&gt;0,I29&gt;0,K29&gt;0),100,0))*VLOOKUP(B29,variables!$A$2:$B$6,2,FALSE)</f>
        <v>30.697460088800234</v>
      </c>
      <c r="AD29" s="16">
        <f>IF($A29="","",INDEX(v_data!$B$2:$X$1000,MATCH($A29,v_data!$A$3:$A$1000,0)+1,MATCH(LOWER("hours"),v_data!$B$2:$X$2,0)))</f>
        <v>40</v>
      </c>
    </row>
    <row r="30" spans="1:31" x14ac:dyDescent="0.25">
      <c r="A30" s="2" t="str">
        <f>IF(ISBLANK(v_data!A29),"",v_data!A29)</f>
        <v>SWOG-S1605</v>
      </c>
      <c r="B30" s="2" t="s">
        <v>22</v>
      </c>
      <c r="C30" s="2">
        <f>VLOOKUP(B30,variables!$A$2:$B$6,2,FALSE)</f>
        <v>0.8</v>
      </c>
      <c r="D30" s="4">
        <v>43826</v>
      </c>
      <c r="E30" s="4">
        <v>43431</v>
      </c>
      <c r="F30" s="2">
        <f>IF($A30="","",INDEX(v_data!$B$2:$L$1000,MATCH($A30,v_data!$A$3:$A$1000,0)+1,MATCH(LOWER(F$1),v_data!$B$2:$L$2,0)))</f>
        <v>0</v>
      </c>
      <c r="G30" s="2">
        <f t="shared" si="184"/>
        <v>0</v>
      </c>
      <c r="H30" s="2">
        <f>IF($A30="","",INDEX(v_data!$B$2:$L$1000,MATCH($A30,v_data!$A$3:$A$1000,0)+1,MATCH(LOWER(H$1),v_data!$B$2:$L$2,0)))</f>
        <v>1</v>
      </c>
      <c r="I30" s="2">
        <f t="shared" si="185"/>
        <v>4.33219042477754</v>
      </c>
      <c r="J30" s="2">
        <f>IF($A30="","",INDEX(v_data!$B$2:$L$1000,MATCH($A30,v_data!$A$3:$A$1000,0)+1,MATCH(LOWER(J$1),v_data!$B$2:$L$2,0)))</f>
        <v>0</v>
      </c>
      <c r="K30" s="2">
        <f t="shared" si="186"/>
        <v>0</v>
      </c>
      <c r="L30" s="2">
        <f>IF($A30="","",INDEX(v_data!$B$2:$L$1000,MATCH($A30,v_data!$A$3:$A$1000,0)+1,MATCH(LOWER(L$1),v_data!$B$2:$L$2,0)))</f>
        <v>0</v>
      </c>
      <c r="M30" s="2">
        <f t="shared" si="187"/>
        <v>0</v>
      </c>
      <c r="N30" s="2">
        <f>IF($A30="","",INDEX(v_data!$B$2:$L$1000,MATCH($A30,v_data!$A$3:$A$1000,0)+1,MATCH(LOWER(N$1),v_data!$B$2:$L$2,0)))</f>
        <v>4</v>
      </c>
      <c r="O30" s="2">
        <f t="shared" si="188"/>
        <v>38.456314767295119</v>
      </c>
      <c r="P30" s="2">
        <f>IF($A30="","",INDEX(v_data!$B$2:$L$1000,MATCH($A30,v_data!$A$3:$A$1000,0)+1,MATCH(LOWER(P$1),v_data!$B$2:$L$2,0)))</f>
        <v>7</v>
      </c>
      <c r="Q30" s="2">
        <f t="shared" si="189"/>
        <v>-19.593055255404611</v>
      </c>
      <c r="R30" s="2">
        <f>IF($A30="","",INDEX(v_data!$B$2:$L$1000,MATCH($A30,v_data!$A$3:$A$1000,0)+1,MATCH(LOWER(R$1),v_data!$B$2:$L$2,0)))</f>
        <v>0</v>
      </c>
      <c r="S30" s="2">
        <f t="shared" si="190"/>
        <v>0</v>
      </c>
      <c r="T30" s="2">
        <f>IF($A30="","",INDEX(v_data!$B$2:$L$1000,MATCH($A30,v_data!$A$3:$A$1000,0)+1,MATCH(LOWER(T$1),v_data!$B$2:$L$2,0)))</f>
        <v>2</v>
      </c>
      <c r="U30" s="2">
        <f t="shared" si="191"/>
        <v>-7.4650044042766801</v>
      </c>
      <c r="V30" s="2">
        <f>IF($A30="","",INDEX(v_data!$B$2:$L$1000,MATCH($A30,v_data!$A$3:$A$1000,0)+1,MATCH(LOWER(V$1),v_data!$B$2:$L$2,0)))</f>
        <v>0.5</v>
      </c>
      <c r="W30" s="2">
        <f t="shared" si="192"/>
        <v>-6.4799652554343501</v>
      </c>
      <c r="X30" s="2">
        <f>IF($A30="","",INDEX(v_data!$B$2:$L$1000,MATCH($A30,v_data!$A$3:$A$1000,0)+1,MATCH(LOWER(X$1),v_data!$B$2:$L$2,0)))</f>
        <v>0.5</v>
      </c>
      <c r="Y30" s="2">
        <f t="shared" si="193"/>
        <v>6.6829971516753996</v>
      </c>
      <c r="Z30" s="2">
        <f>IF($A30="","",INDEX(v_data!$B$2:$L$1000,MATCH($A30,v_data!$A$3:$A$1000,0)+1,MATCH(LOWER(Z$1),v_data!$B$2:$L$2,0)))</f>
        <v>1</v>
      </c>
      <c r="AA30" s="2">
        <f t="shared" si="194"/>
        <v>24.3031804679799</v>
      </c>
      <c r="AB30" s="2">
        <f t="shared" si="195"/>
        <v>40.236657896612321</v>
      </c>
      <c r="AC30" s="2">
        <f>(SUM(G30,I30,K30,M30,O30,Q30,S30,U30,W30,Y30,AA30)+IF(AND(G30&gt;0,I30&gt;0,K30&gt;0),100,0))*VLOOKUP(B30,variables!$A$2:$B$6,2,FALSE)</f>
        <v>32.189326317289861</v>
      </c>
      <c r="AD30" s="16">
        <f>IF($A30="","",INDEX(v_data!$B$2:$X$1000,MATCH($A30,v_data!$A$3:$A$1000,0)+1,MATCH(LOWER("hours"),v_data!$B$2:$X$2,0)))</f>
        <v>42</v>
      </c>
    </row>
    <row r="31" spans="1:31" x14ac:dyDescent="0.25">
      <c r="A31" s="2" t="str">
        <f>IF(ISBLANK(v_data!A30),"",v_data!A30)</f>
        <v>ROSSER-2017-1/ALTOR-16</v>
      </c>
      <c r="B31" s="2" t="s">
        <v>22</v>
      </c>
      <c r="C31" s="2">
        <f>VLOOKUP(B31,variables!$A$2:$B$6,2,FALSE)</f>
        <v>0.8</v>
      </c>
      <c r="D31" s="4">
        <v>43826</v>
      </c>
      <c r="E31" s="4">
        <v>43431</v>
      </c>
      <c r="F31" s="2">
        <f>IF($A31="","",INDEX(v_data!$B$2:$L$1000,MATCH($A31,v_data!$A$3:$A$1000,0)+1,MATCH(LOWER(F$1),v_data!$B$2:$L$2,0)))</f>
        <v>1</v>
      </c>
      <c r="G31" s="2">
        <f t="shared" si="184"/>
        <v>1.88563782198456</v>
      </c>
      <c r="H31" s="2">
        <f>IF($A31="","",INDEX(v_data!$B$2:$L$1000,MATCH($A31,v_data!$A$3:$A$1000,0)+1,MATCH(LOWER(H$1),v_data!$B$2:$L$2,0)))</f>
        <v>1</v>
      </c>
      <c r="I31" s="2">
        <f t="shared" si="185"/>
        <v>4.33219042477754</v>
      </c>
      <c r="J31" s="2">
        <f>IF($A31="","",INDEX(v_data!$B$2:$L$1000,MATCH($A31,v_data!$A$3:$A$1000,0)+1,MATCH(LOWER(J$1),v_data!$B$2:$L$2,0)))</f>
        <v>1</v>
      </c>
      <c r="K31" s="2">
        <f t="shared" si="186"/>
        <v>18.023723845739799</v>
      </c>
      <c r="L31" s="2">
        <f>IF($A31="","",INDEX(v_data!$B$2:$L$1000,MATCH($A31,v_data!$A$3:$A$1000,0)+1,MATCH(LOWER(L$1),v_data!$B$2:$L$2,0)))</f>
        <v>0</v>
      </c>
      <c r="M31" s="2">
        <f t="shared" si="187"/>
        <v>0</v>
      </c>
      <c r="N31" s="2">
        <f>IF($A31="","",INDEX(v_data!$B$2:$L$1000,MATCH($A31,v_data!$A$3:$A$1000,0)+1,MATCH(LOWER(N$1),v_data!$B$2:$L$2,0)))</f>
        <v>3</v>
      </c>
      <c r="O31" s="2">
        <f t="shared" si="188"/>
        <v>28.842236075471341</v>
      </c>
      <c r="P31" s="2">
        <f>IF($A31="","",INDEX(v_data!$B$2:$L$1000,MATCH($A31,v_data!$A$3:$A$1000,0)+1,MATCH(LOWER(P$1),v_data!$B$2:$L$2,0)))</f>
        <v>2</v>
      </c>
      <c r="Q31" s="2">
        <f t="shared" si="189"/>
        <v>-5.5980157872584604</v>
      </c>
      <c r="R31" s="2">
        <f>IF($A31="","",INDEX(v_data!$B$2:$L$1000,MATCH($A31,v_data!$A$3:$A$1000,0)+1,MATCH(LOWER(R$1),v_data!$B$2:$L$2,0)))</f>
        <v>0</v>
      </c>
      <c r="S31" s="2">
        <f t="shared" si="190"/>
        <v>0</v>
      </c>
      <c r="T31" s="2">
        <f>IF($A31="","",INDEX(v_data!$B$2:$L$1000,MATCH($A31,v_data!$A$3:$A$1000,0)+1,MATCH(LOWER(T$1),v_data!$B$2:$L$2,0)))</f>
        <v>0</v>
      </c>
      <c r="U31" s="2">
        <f t="shared" si="191"/>
        <v>0</v>
      </c>
      <c r="V31" s="2">
        <f>IF($A31="","",INDEX(v_data!$B$2:$L$1000,MATCH($A31,v_data!$A$3:$A$1000,0)+1,MATCH(LOWER(V$1),v_data!$B$2:$L$2,0)))</f>
        <v>0.75</v>
      </c>
      <c r="W31" s="2">
        <f t="shared" si="192"/>
        <v>-9.7199478831515247</v>
      </c>
      <c r="X31" s="2">
        <f>IF($A31="","",INDEX(v_data!$B$2:$L$1000,MATCH($A31,v_data!$A$3:$A$1000,0)+1,MATCH(LOWER(X$1),v_data!$B$2:$L$2,0)))</f>
        <v>1</v>
      </c>
      <c r="Y31" s="2">
        <f t="shared" si="193"/>
        <v>13.365994303350799</v>
      </c>
      <c r="Z31" s="2">
        <f>IF($A31="","",INDEX(v_data!$B$2:$L$1000,MATCH($A31,v_data!$A$3:$A$1000,0)+1,MATCH(LOWER(Z$1),v_data!$B$2:$L$2,0)))</f>
        <v>0</v>
      </c>
      <c r="AA31" s="2">
        <f t="shared" si="194"/>
        <v>0</v>
      </c>
      <c r="AB31" s="2">
        <f t="shared" si="195"/>
        <v>51.131818800914047</v>
      </c>
      <c r="AC31" s="2">
        <f>(SUM(G31,I31,K31,M31,O31,Q31,S31,U31,W31,Y31,AA31)+IF(AND(G31&gt;0,I31&gt;0,K31&gt;0),100,0))*VLOOKUP(B31,variables!$A$2:$B$6,2,FALSE)</f>
        <v>120.90545504073125</v>
      </c>
      <c r="AD31" s="16">
        <f>IF($A31="","",INDEX(v_data!$B$2:$X$1000,MATCH($A31,v_data!$A$3:$A$1000,0)+1,MATCH(LOWER("hours"),v_data!$B$2:$X$2,0)))</f>
        <v>42</v>
      </c>
    </row>
    <row r="32" spans="1:31" x14ac:dyDescent="0.25">
      <c r="A32" s="2" t="str">
        <f>IF(ISBLANK(v_data!A31),"",v_data!A31)</f>
        <v>DS8201-A-U201</v>
      </c>
      <c r="B32" s="2" t="s">
        <v>22</v>
      </c>
      <c r="C32" s="2">
        <f>VLOOKUP(B32,variables!$A$2:$B$6,2,FALSE)</f>
        <v>0.8</v>
      </c>
      <c r="D32" s="4">
        <v>43826</v>
      </c>
      <c r="E32" s="4">
        <v>43431</v>
      </c>
      <c r="F32" s="2">
        <f>IF($A32="","",INDEX(v_data!$B$2:$L$1000,MATCH($A32,v_data!$A$3:$A$1000,0)+1,MATCH(LOWER(F$1),v_data!$B$2:$L$2,0)))</f>
        <v>0</v>
      </c>
      <c r="G32" s="2">
        <f t="shared" si="184"/>
        <v>0</v>
      </c>
      <c r="H32" s="2">
        <f>IF($A32="","",INDEX(v_data!$B$2:$L$1000,MATCH($A32,v_data!$A$3:$A$1000,0)+1,MATCH(LOWER(H$1),v_data!$B$2:$L$2,0)))</f>
        <v>1</v>
      </c>
      <c r="I32" s="2">
        <f t="shared" si="185"/>
        <v>4.33219042477754</v>
      </c>
      <c r="J32" s="2">
        <f>IF($A32="","",INDEX(v_data!$B$2:$L$1000,MATCH($A32,v_data!$A$3:$A$1000,0)+1,MATCH(LOWER(J$1),v_data!$B$2:$L$2,0)))</f>
        <v>1</v>
      </c>
      <c r="K32" s="2">
        <f t="shared" si="186"/>
        <v>18.023723845739799</v>
      </c>
      <c r="L32" s="2">
        <f>IF($A32="","",INDEX(v_data!$B$2:$L$1000,MATCH($A32,v_data!$A$3:$A$1000,0)+1,MATCH(LOWER(L$1),v_data!$B$2:$L$2,0)))</f>
        <v>0</v>
      </c>
      <c r="M32" s="2">
        <f t="shared" si="187"/>
        <v>0</v>
      </c>
      <c r="N32" s="2">
        <f>IF($A32="","",INDEX(v_data!$B$2:$L$1000,MATCH($A32,v_data!$A$3:$A$1000,0)+1,MATCH(LOWER(N$1),v_data!$B$2:$L$2,0)))</f>
        <v>3</v>
      </c>
      <c r="O32" s="2">
        <f t="shared" si="188"/>
        <v>28.842236075471341</v>
      </c>
      <c r="P32" s="2">
        <f>IF($A32="","",INDEX(v_data!$B$2:$L$1000,MATCH($A32,v_data!$A$3:$A$1000,0)+1,MATCH(LOWER(P$1),v_data!$B$2:$L$2,0)))</f>
        <v>3</v>
      </c>
      <c r="Q32" s="2">
        <f t="shared" si="189"/>
        <v>-8.3970236808876901</v>
      </c>
      <c r="R32" s="2">
        <f>IF($A32="","",INDEX(v_data!$B$2:$L$1000,MATCH($A32,v_data!$A$3:$A$1000,0)+1,MATCH(LOWER(R$1),v_data!$B$2:$L$2,0)))</f>
        <v>0</v>
      </c>
      <c r="S32" s="2">
        <f t="shared" si="190"/>
        <v>0</v>
      </c>
      <c r="T32" s="2">
        <f>IF($A32="","",INDEX(v_data!$B$2:$L$1000,MATCH($A32,v_data!$A$3:$A$1000,0)+1,MATCH(LOWER(T$1),v_data!$B$2:$L$2,0)))</f>
        <v>0</v>
      </c>
      <c r="U32" s="2">
        <f t="shared" si="191"/>
        <v>0</v>
      </c>
      <c r="V32" s="2">
        <f>IF($A32="","",INDEX(v_data!$B$2:$L$1000,MATCH($A32,v_data!$A$3:$A$1000,0)+1,MATCH(LOWER(V$1),v_data!$B$2:$L$2,0)))</f>
        <v>0.75</v>
      </c>
      <c r="W32" s="2">
        <f t="shared" si="192"/>
        <v>-9.7199478831515247</v>
      </c>
      <c r="X32" s="2">
        <f>IF($A32="","",INDEX(v_data!$B$2:$L$1000,MATCH($A32,v_data!$A$3:$A$1000,0)+1,MATCH(LOWER(X$1),v_data!$B$2:$L$2,0)))</f>
        <v>1</v>
      </c>
      <c r="Y32" s="2">
        <f t="shared" si="193"/>
        <v>13.365994303350799</v>
      </c>
      <c r="Z32" s="2">
        <f>IF($A32="","",INDEX(v_data!$B$2:$L$1000,MATCH($A32,v_data!$A$3:$A$1000,0)+1,MATCH(LOWER(Z$1),v_data!$B$2:$L$2,0)))</f>
        <v>0</v>
      </c>
      <c r="AA32" s="2">
        <f t="shared" si="194"/>
        <v>0</v>
      </c>
      <c r="AB32" s="2">
        <f t="shared" si="195"/>
        <v>46.447173085300264</v>
      </c>
      <c r="AC32" s="2">
        <f>(SUM(G32,I32,K32,M32,O32,Q32,S32,U32,W32,Y32,AA32)+IF(AND(G32&gt;0,I32&gt;0,K32&gt;0),100,0))*VLOOKUP(B32,variables!$A$2:$B$6,2,FALSE)</f>
        <v>37.157738468240211</v>
      </c>
      <c r="AD32" s="16">
        <f>IF($A32="","",INDEX(v_data!$B$2:$X$1000,MATCH($A32,v_data!$A$3:$A$1000,0)+1,MATCH(LOWER("hours"),v_data!$B$2:$X$2,0)))</f>
        <v>50</v>
      </c>
    </row>
    <row r="33" spans="1:30" x14ac:dyDescent="0.25">
      <c r="A33" s="2" t="str">
        <f>IF(ISBLANK(v_data!A32),"",v_data!A32)</f>
        <v>SWOG-S1800A</v>
      </c>
      <c r="B33" s="2" t="s">
        <v>22</v>
      </c>
      <c r="C33" s="2">
        <f>VLOOKUP(B33,variables!$A$2:$B$6,2,FALSE)</f>
        <v>0.8</v>
      </c>
      <c r="D33" s="4">
        <v>43826</v>
      </c>
      <c r="E33" s="4">
        <v>43431</v>
      </c>
      <c r="F33" s="2">
        <f>IF($A33="","",INDEX(v_data!$B$2:$L$1000,MATCH($A33,v_data!$A$3:$A$1000,0)+1,MATCH(LOWER(F$1),v_data!$B$2:$L$2,0)))</f>
        <v>0</v>
      </c>
      <c r="G33" s="2">
        <f t="shared" si="184"/>
        <v>0</v>
      </c>
      <c r="H33" s="2">
        <f>IF($A33="","",INDEX(v_data!$B$2:$L$1000,MATCH($A33,v_data!$A$3:$A$1000,0)+1,MATCH(LOWER(H$1),v_data!$B$2:$L$2,0)))</f>
        <v>1</v>
      </c>
      <c r="I33" s="2">
        <f t="shared" si="185"/>
        <v>4.33219042477754</v>
      </c>
      <c r="J33" s="2">
        <f>IF($A33="","",INDEX(v_data!$B$2:$L$1000,MATCH($A33,v_data!$A$3:$A$1000,0)+1,MATCH(LOWER(J$1),v_data!$B$2:$L$2,0)))</f>
        <v>0</v>
      </c>
      <c r="K33" s="2">
        <f t="shared" si="186"/>
        <v>0</v>
      </c>
      <c r="L33" s="2">
        <f>IF($A33="","",INDEX(v_data!$B$2:$L$1000,MATCH($A33,v_data!$A$3:$A$1000,0)+1,MATCH(LOWER(L$1),v_data!$B$2:$L$2,0)))</f>
        <v>0</v>
      </c>
      <c r="M33" s="2">
        <f t="shared" si="187"/>
        <v>0</v>
      </c>
      <c r="N33" s="2">
        <f>IF($A33="","",INDEX(v_data!$B$2:$L$1000,MATCH($A33,v_data!$A$3:$A$1000,0)+1,MATCH(LOWER(N$1),v_data!$B$2:$L$2,0)))</f>
        <v>5</v>
      </c>
      <c r="O33" s="2">
        <f t="shared" si="188"/>
        <v>48.070393459118897</v>
      </c>
      <c r="P33" s="2">
        <f>IF($A33="","",INDEX(v_data!$B$2:$L$1000,MATCH($A33,v_data!$A$3:$A$1000,0)+1,MATCH(LOWER(P$1),v_data!$B$2:$L$2,0)))</f>
        <v>12</v>
      </c>
      <c r="Q33" s="2">
        <f t="shared" si="189"/>
        <v>-33.588094723550761</v>
      </c>
      <c r="R33" s="2">
        <f>IF($A33="","",INDEX(v_data!$B$2:$L$1000,MATCH($A33,v_data!$A$3:$A$1000,0)+1,MATCH(LOWER(R$1),v_data!$B$2:$L$2,0)))</f>
        <v>0</v>
      </c>
      <c r="S33" s="2">
        <f t="shared" si="190"/>
        <v>0</v>
      </c>
      <c r="T33" s="2">
        <f>IF($A33="","",INDEX(v_data!$B$2:$L$1000,MATCH($A33,v_data!$A$3:$A$1000,0)+1,MATCH(LOWER(T$1),v_data!$B$2:$L$2,0)))</f>
        <v>0</v>
      </c>
      <c r="U33" s="2">
        <f t="shared" si="191"/>
        <v>0</v>
      </c>
      <c r="V33" s="2">
        <f>IF($A33="","",INDEX(v_data!$B$2:$L$1000,MATCH($A33,v_data!$A$3:$A$1000,0)+1,MATCH(LOWER(V$1),v_data!$B$2:$L$2,0)))</f>
        <v>0.5</v>
      </c>
      <c r="W33" s="2">
        <f t="shared" si="192"/>
        <v>-6.4799652554343501</v>
      </c>
      <c r="X33" s="2">
        <f>IF($A33="","",INDEX(v_data!$B$2:$L$1000,MATCH($A33,v_data!$A$3:$A$1000,0)+1,MATCH(LOWER(X$1),v_data!$B$2:$L$2,0)))</f>
        <v>0.5</v>
      </c>
      <c r="Y33" s="2">
        <f t="shared" si="193"/>
        <v>6.6829971516753996</v>
      </c>
      <c r="Z33" s="2">
        <f>IF($A33="","",INDEX(v_data!$B$2:$L$1000,MATCH($A33,v_data!$A$3:$A$1000,0)+1,MATCH(LOWER(Z$1),v_data!$B$2:$L$2,0)))</f>
        <v>1</v>
      </c>
      <c r="AA33" s="2">
        <f t="shared" si="194"/>
        <v>24.3031804679799</v>
      </c>
      <c r="AB33" s="2">
        <f t="shared" si="195"/>
        <v>43.32070152456663</v>
      </c>
      <c r="AC33" s="2">
        <f>(SUM(G33,I33,K33,M33,O33,Q33,S33,U33,W33,Y33,AA33)+IF(AND(G33&gt;0,I33&gt;0,K33&gt;0),100,0))*VLOOKUP(B33,variables!$A$2:$B$6,2,FALSE)</f>
        <v>34.656561219653305</v>
      </c>
      <c r="AD33" s="16">
        <f>IF($A33="","",INDEX(v_data!$B$2:$X$1000,MATCH($A33,v_data!$A$3:$A$1000,0)+1,MATCH(LOWER("hours"),v_data!$B$2:$X$2,0)))</f>
        <v>51</v>
      </c>
    </row>
    <row r="34" spans="1:30" x14ac:dyDescent="0.25">
      <c r="A34" s="2" t="str">
        <f>IF(ISBLANK(v_data!A33),"",v_data!A33)</f>
        <v>SWOG-S1418</v>
      </c>
      <c r="B34" s="2" t="s">
        <v>22</v>
      </c>
      <c r="C34" s="2">
        <f>VLOOKUP(B34,variables!$A$2:$B$6,2,FALSE)</f>
        <v>0.8</v>
      </c>
      <c r="D34" s="4">
        <v>43826</v>
      </c>
      <c r="E34" s="4">
        <v>43431</v>
      </c>
      <c r="F34" s="2">
        <f>IF($A34="","",INDEX(v_data!$B$2:$L$1000,MATCH($A34,v_data!$A$3:$A$1000,0)+1,MATCH(LOWER(F$1),v_data!$B$2:$L$2,0)))</f>
        <v>0</v>
      </c>
      <c r="G34" s="2">
        <f t="shared" si="184"/>
        <v>0</v>
      </c>
      <c r="H34" s="2">
        <f>IF($A34="","",INDEX(v_data!$B$2:$L$1000,MATCH($A34,v_data!$A$3:$A$1000,0)+1,MATCH(LOWER(H$1),v_data!$B$2:$L$2,0)))</f>
        <v>1</v>
      </c>
      <c r="I34" s="2">
        <f t="shared" si="185"/>
        <v>4.33219042477754</v>
      </c>
      <c r="J34" s="2">
        <f>IF($A34="","",INDEX(v_data!$B$2:$L$1000,MATCH($A34,v_data!$A$3:$A$1000,0)+1,MATCH(LOWER(J$1),v_data!$B$2:$L$2,0)))</f>
        <v>0</v>
      </c>
      <c r="K34" s="2">
        <f t="shared" si="186"/>
        <v>0</v>
      </c>
      <c r="L34" s="2">
        <f>IF($A34="","",INDEX(v_data!$B$2:$L$1000,MATCH($A34,v_data!$A$3:$A$1000,0)+1,MATCH(LOWER(L$1),v_data!$B$2:$L$2,0)))</f>
        <v>0</v>
      </c>
      <c r="M34" s="2">
        <f t="shared" si="187"/>
        <v>0</v>
      </c>
      <c r="N34" s="2">
        <f>IF($A34="","",INDEX(v_data!$B$2:$L$1000,MATCH($A34,v_data!$A$3:$A$1000,0)+1,MATCH(LOWER(N$1),v_data!$B$2:$L$2,0)))</f>
        <v>4</v>
      </c>
      <c r="O34" s="2">
        <f t="shared" si="188"/>
        <v>38.456314767295119</v>
      </c>
      <c r="P34" s="2">
        <f>IF($A34="","",INDEX(v_data!$B$2:$L$1000,MATCH($A34,v_data!$A$3:$A$1000,0)+1,MATCH(LOWER(P$1),v_data!$B$2:$L$2,0)))</f>
        <v>8</v>
      </c>
      <c r="Q34" s="2">
        <f t="shared" si="189"/>
        <v>-22.392063149033842</v>
      </c>
      <c r="R34" s="2">
        <f>IF($A34="","",INDEX(v_data!$B$2:$L$1000,MATCH($A34,v_data!$A$3:$A$1000,0)+1,MATCH(LOWER(R$1),v_data!$B$2:$L$2,0)))</f>
        <v>0</v>
      </c>
      <c r="S34" s="2">
        <f t="shared" si="190"/>
        <v>0</v>
      </c>
      <c r="T34" s="2">
        <f>IF($A34="","",INDEX(v_data!$B$2:$L$1000,MATCH($A34,v_data!$A$3:$A$1000,0)+1,MATCH(LOWER(T$1),v_data!$B$2:$L$2,0)))</f>
        <v>0</v>
      </c>
      <c r="U34" s="2">
        <f t="shared" si="191"/>
        <v>0</v>
      </c>
      <c r="V34" s="2">
        <f>IF($A34="","",INDEX(v_data!$B$2:$L$1000,MATCH($A34,v_data!$A$3:$A$1000,0)+1,MATCH(LOWER(V$1),v_data!$B$2:$L$2,0)))</f>
        <v>0.5</v>
      </c>
      <c r="W34" s="2">
        <f t="shared" si="192"/>
        <v>-6.4799652554343501</v>
      </c>
      <c r="X34" s="2">
        <f>IF($A34="","",INDEX(v_data!$B$2:$L$1000,MATCH($A34,v_data!$A$3:$A$1000,0)+1,MATCH(LOWER(X$1),v_data!$B$2:$L$2,0)))</f>
        <v>0.5</v>
      </c>
      <c r="Y34" s="2">
        <f t="shared" si="193"/>
        <v>6.6829971516753996</v>
      </c>
      <c r="Z34" s="2">
        <f>IF($A34="","",INDEX(v_data!$B$2:$L$1000,MATCH($A34,v_data!$A$3:$A$1000,0)+1,MATCH(LOWER(Z$1),v_data!$B$2:$L$2,0)))</f>
        <v>1</v>
      </c>
      <c r="AA34" s="2">
        <f t="shared" si="194"/>
        <v>24.3031804679799</v>
      </c>
      <c r="AB34" s="2">
        <f t="shared" si="195"/>
        <v>44.902654407259767</v>
      </c>
      <c r="AC34" s="2">
        <f>(SUM(G34,I34,K34,M34,O34,Q34,S34,U34,W34,Y34,AA34)+IF(AND(G34&gt;0,I34&gt;0,K34&gt;0),100,0))*VLOOKUP(B34,variables!$A$2:$B$6,2,FALSE)</f>
        <v>35.922123525807812</v>
      </c>
      <c r="AD34" s="16">
        <f>IF($A34="","",INDEX(v_data!$B$2:$X$1000,MATCH($A34,v_data!$A$3:$A$1000,0)+1,MATCH(LOWER("hours"),v_data!$B$2:$X$2,0)))</f>
        <v>54</v>
      </c>
    </row>
    <row r="35" spans="1:30" x14ac:dyDescent="0.25">
      <c r="A35" s="2" t="str">
        <f>IF(ISBLANK(v_data!A34),"",v_data!A34)</f>
        <v>NRG-LU005</v>
      </c>
      <c r="B35" s="2" t="s">
        <v>22</v>
      </c>
      <c r="C35" s="2">
        <f>VLOOKUP(B35,variables!$A$2:$B$6,2,FALSE)</f>
        <v>0.8</v>
      </c>
      <c r="D35" s="4">
        <v>43826</v>
      </c>
      <c r="E35" s="4">
        <v>43431</v>
      </c>
      <c r="F35" s="2">
        <f>IF($A35="","",INDEX(v_data!$B$2:$L$1000,MATCH($A35,v_data!$A$3:$A$1000,0)+1,MATCH(LOWER(F$1),v_data!$B$2:$L$2,0)))</f>
        <v>0</v>
      </c>
      <c r="G35" s="2">
        <f t="shared" si="184"/>
        <v>0</v>
      </c>
      <c r="H35" s="2">
        <f>IF($A35="","",INDEX(v_data!$B$2:$L$1000,MATCH($A35,v_data!$A$3:$A$1000,0)+1,MATCH(LOWER(H$1),v_data!$B$2:$L$2,0)))</f>
        <v>1</v>
      </c>
      <c r="I35" s="2">
        <f t="shared" si="185"/>
        <v>4.33219042477754</v>
      </c>
      <c r="J35" s="2">
        <f>IF($A35="","",INDEX(v_data!$B$2:$L$1000,MATCH($A35,v_data!$A$3:$A$1000,0)+1,MATCH(LOWER(J$1),v_data!$B$2:$L$2,0)))</f>
        <v>0</v>
      </c>
      <c r="K35" s="2">
        <f t="shared" si="186"/>
        <v>0</v>
      </c>
      <c r="L35" s="2">
        <f>IF($A35="","",INDEX(v_data!$B$2:$L$1000,MATCH($A35,v_data!$A$3:$A$1000,0)+1,MATCH(LOWER(L$1),v_data!$B$2:$L$2,0)))</f>
        <v>0</v>
      </c>
      <c r="M35" s="2">
        <f t="shared" si="187"/>
        <v>0</v>
      </c>
      <c r="N35" s="2">
        <f>IF($A35="","",INDEX(v_data!$B$2:$L$1000,MATCH($A35,v_data!$A$3:$A$1000,0)+1,MATCH(LOWER(N$1),v_data!$B$2:$L$2,0)))</f>
        <v>2</v>
      </c>
      <c r="O35" s="2">
        <f t="shared" si="188"/>
        <v>19.228157383647559</v>
      </c>
      <c r="P35" s="2">
        <f>IF($A35="","",INDEX(v_data!$B$2:$L$1000,MATCH($A35,v_data!$A$3:$A$1000,0)+1,MATCH(LOWER(P$1),v_data!$B$2:$L$2,0)))</f>
        <v>0</v>
      </c>
      <c r="Q35" s="2">
        <f t="shared" si="189"/>
        <v>0</v>
      </c>
      <c r="R35" s="2">
        <f>IF($A35="","",INDEX(v_data!$B$2:$L$1000,MATCH($A35,v_data!$A$3:$A$1000,0)+1,MATCH(LOWER(R$1),v_data!$B$2:$L$2,0)))</f>
        <v>0</v>
      </c>
      <c r="S35" s="2">
        <f t="shared" si="190"/>
        <v>0</v>
      </c>
      <c r="T35" s="2">
        <f>IF($A35="","",INDEX(v_data!$B$2:$L$1000,MATCH($A35,v_data!$A$3:$A$1000,0)+1,MATCH(LOWER(T$1),v_data!$B$2:$L$2,0)))</f>
        <v>0</v>
      </c>
      <c r="U35" s="2">
        <f t="shared" si="191"/>
        <v>0</v>
      </c>
      <c r="V35" s="2">
        <f>IF($A35="","",INDEX(v_data!$B$2:$L$1000,MATCH($A35,v_data!$A$3:$A$1000,0)+1,MATCH(LOWER(V$1),v_data!$B$2:$L$2,0)))</f>
        <v>0.5</v>
      </c>
      <c r="W35" s="2">
        <f t="shared" si="192"/>
        <v>-6.4799652554343501</v>
      </c>
      <c r="X35" s="2">
        <f>IF($A35="","",INDEX(v_data!$B$2:$L$1000,MATCH($A35,v_data!$A$3:$A$1000,0)+1,MATCH(LOWER(X$1),v_data!$B$2:$L$2,0)))</f>
        <v>0.5</v>
      </c>
      <c r="Y35" s="2">
        <f t="shared" si="193"/>
        <v>6.6829971516753996</v>
      </c>
      <c r="Z35" s="2">
        <f>IF($A35="","",INDEX(v_data!$B$2:$L$1000,MATCH($A35,v_data!$A$3:$A$1000,0)+1,MATCH(LOWER(Z$1),v_data!$B$2:$L$2,0)))</f>
        <v>1</v>
      </c>
      <c r="AA35" s="2">
        <f t="shared" si="194"/>
        <v>24.3031804679799</v>
      </c>
      <c r="AB35" s="2">
        <f t="shared" si="195"/>
        <v>48.066560172646049</v>
      </c>
      <c r="AC35" s="2">
        <f>(SUM(G35,I35,K35,M35,O35,Q35,S35,U35,W35,Y35,AA35)+IF(AND(G35&gt;0,I35&gt;0,K35&gt;0),100,0))*VLOOKUP(B35,variables!$A$2:$B$6,2,FALSE)</f>
        <v>38.453248138116841</v>
      </c>
      <c r="AD35" s="16">
        <f>IF($A35="","",INDEX(v_data!$B$2:$X$1000,MATCH($A35,v_data!$A$3:$A$1000,0)+1,MATCH(LOWER("hours"),v_data!$B$2:$X$2,0)))</f>
        <v>60</v>
      </c>
    </row>
    <row r="36" spans="1:30" x14ac:dyDescent="0.25">
      <c r="A36" s="2" t="str">
        <f>IF(ISBLANK(v_data!A35),"",v_data!A35)</f>
        <v>NRG-GY018</v>
      </c>
      <c r="B36" s="2" t="s">
        <v>22</v>
      </c>
      <c r="C36" s="2">
        <f>VLOOKUP(B36,variables!$A$2:$B$6,2,FALSE)</f>
        <v>0.8</v>
      </c>
      <c r="D36" s="4">
        <v>43826</v>
      </c>
      <c r="E36" s="4">
        <v>43431</v>
      </c>
      <c r="F36" s="2">
        <f>IF($A36="","",INDEX(v_data!$B$2:$L$1000,MATCH($A36,v_data!$A$3:$A$1000,0)+1,MATCH(LOWER(F$1),v_data!$B$2:$L$2,0)))</f>
        <v>0</v>
      </c>
      <c r="G36" s="2">
        <f t="shared" si="184"/>
        <v>0</v>
      </c>
      <c r="H36" s="2">
        <f>IF($A36="","",INDEX(v_data!$B$2:$L$1000,MATCH($A36,v_data!$A$3:$A$1000,0)+1,MATCH(LOWER(H$1),v_data!$B$2:$L$2,0)))</f>
        <v>1</v>
      </c>
      <c r="I36" s="2">
        <f t="shared" si="185"/>
        <v>4.33219042477754</v>
      </c>
      <c r="J36" s="2">
        <f>IF($A36="","",INDEX(v_data!$B$2:$L$1000,MATCH($A36,v_data!$A$3:$A$1000,0)+1,MATCH(LOWER(J$1),v_data!$B$2:$L$2,0)))</f>
        <v>0</v>
      </c>
      <c r="K36" s="2">
        <f t="shared" si="186"/>
        <v>0</v>
      </c>
      <c r="L36" s="2">
        <f>IF($A36="","",INDEX(v_data!$B$2:$L$1000,MATCH($A36,v_data!$A$3:$A$1000,0)+1,MATCH(LOWER(L$1),v_data!$B$2:$L$2,0)))</f>
        <v>0</v>
      </c>
      <c r="M36" s="2">
        <f t="shared" si="187"/>
        <v>0</v>
      </c>
      <c r="N36" s="2">
        <f>IF($A36="","",INDEX(v_data!$B$2:$L$1000,MATCH($A36,v_data!$A$3:$A$1000,0)+1,MATCH(LOWER(N$1),v_data!$B$2:$L$2,0)))</f>
        <v>4</v>
      </c>
      <c r="O36" s="2">
        <f t="shared" si="188"/>
        <v>38.456314767295119</v>
      </c>
      <c r="P36" s="2">
        <f>IF($A36="","",INDEX(v_data!$B$2:$L$1000,MATCH($A36,v_data!$A$3:$A$1000,0)+1,MATCH(LOWER(P$1),v_data!$B$2:$L$2,0)))</f>
        <v>8</v>
      </c>
      <c r="Q36" s="2">
        <f t="shared" si="189"/>
        <v>-22.392063149033842</v>
      </c>
      <c r="R36" s="2">
        <f>IF($A36="","",INDEX(v_data!$B$2:$L$1000,MATCH($A36,v_data!$A$3:$A$1000,0)+1,MATCH(LOWER(R$1),v_data!$B$2:$L$2,0)))</f>
        <v>0</v>
      </c>
      <c r="S36" s="2">
        <f t="shared" si="190"/>
        <v>0</v>
      </c>
      <c r="T36" s="2">
        <f>IF($A36="","",INDEX(v_data!$B$2:$L$1000,MATCH($A36,v_data!$A$3:$A$1000,0)+1,MATCH(LOWER(T$1),v_data!$B$2:$L$2,0)))</f>
        <v>0</v>
      </c>
      <c r="U36" s="2">
        <f t="shared" si="191"/>
        <v>0</v>
      </c>
      <c r="V36" s="2">
        <f>IF($A36="","",INDEX(v_data!$B$2:$L$1000,MATCH($A36,v_data!$A$3:$A$1000,0)+1,MATCH(LOWER(V$1),v_data!$B$2:$L$2,0)))</f>
        <v>0.5</v>
      </c>
      <c r="W36" s="2">
        <f t="shared" si="192"/>
        <v>-6.4799652554343501</v>
      </c>
      <c r="X36" s="2">
        <f>IF($A36="","",INDEX(v_data!$B$2:$L$1000,MATCH($A36,v_data!$A$3:$A$1000,0)+1,MATCH(LOWER(X$1),v_data!$B$2:$L$2,0)))</f>
        <v>0.5</v>
      </c>
      <c r="Y36" s="2">
        <f t="shared" si="193"/>
        <v>6.6829971516753996</v>
      </c>
      <c r="Z36" s="2">
        <f>IF($A36="","",INDEX(v_data!$B$2:$L$1000,MATCH($A36,v_data!$A$3:$A$1000,0)+1,MATCH(LOWER(Z$1),v_data!$B$2:$L$2,0)))</f>
        <v>1</v>
      </c>
      <c r="AA36" s="2">
        <f t="shared" si="194"/>
        <v>24.3031804679799</v>
      </c>
      <c r="AB36" s="2">
        <f t="shared" si="195"/>
        <v>44.902654407259767</v>
      </c>
      <c r="AC36" s="2">
        <f>(SUM(G36,I36,K36,M36,O36,Q36,S36,U36,W36,Y36,AA36)+IF(AND(G36&gt;0,I36&gt;0,K36&gt;0),100,0))*VLOOKUP(B36,variables!$A$2:$B$6,2,FALSE)</f>
        <v>35.922123525807812</v>
      </c>
      <c r="AD36" s="16">
        <f>IF($A36="","",INDEX(v_data!$B$2:$X$1000,MATCH($A36,v_data!$A$3:$A$1000,0)+1,MATCH(LOWER("hours"),v_data!$B$2:$X$2,0)))</f>
        <v>60</v>
      </c>
    </row>
    <row r="37" spans="1:30" x14ac:dyDescent="0.25">
      <c r="A37" s="2" t="str">
        <f>IF(ISBLANK(v_data!A36),"",v_data!A36)</f>
        <v>GOG-3015/YO39523</v>
      </c>
      <c r="B37" s="2" t="s">
        <v>22</v>
      </c>
      <c r="C37" s="2">
        <f>VLOOKUP(B37,variables!$A$2:$B$6,2,FALSE)</f>
        <v>0.8</v>
      </c>
      <c r="D37" s="4">
        <v>43826</v>
      </c>
      <c r="E37" s="4">
        <v>43431</v>
      </c>
      <c r="F37" s="2">
        <f>IF($A37="","",INDEX(v_data!$B$2:$L$1000,MATCH($A37,v_data!$A$3:$A$1000,0)+1,MATCH(LOWER(F$1),v_data!$B$2:$L$2,0)))</f>
        <v>0</v>
      </c>
      <c r="G37" s="2">
        <f t="shared" si="184"/>
        <v>0</v>
      </c>
      <c r="H37" s="2">
        <f>IF($A37="","",INDEX(v_data!$B$2:$L$1000,MATCH($A37,v_data!$A$3:$A$1000,0)+1,MATCH(LOWER(H$1),v_data!$B$2:$L$2,0)))</f>
        <v>1</v>
      </c>
      <c r="I37" s="2">
        <f t="shared" si="185"/>
        <v>4.33219042477754</v>
      </c>
      <c r="J37" s="2">
        <f>IF($A37="","",INDEX(v_data!$B$2:$L$1000,MATCH($A37,v_data!$A$3:$A$1000,0)+1,MATCH(LOWER(J$1),v_data!$B$2:$L$2,0)))</f>
        <v>1</v>
      </c>
      <c r="K37" s="2">
        <f t="shared" si="186"/>
        <v>18.023723845739799</v>
      </c>
      <c r="L37" s="2">
        <f>IF($A37="","",INDEX(v_data!$B$2:$L$1000,MATCH($A37,v_data!$A$3:$A$1000,0)+1,MATCH(LOWER(L$1),v_data!$B$2:$L$2,0)))</f>
        <v>0</v>
      </c>
      <c r="M37" s="2">
        <f t="shared" si="187"/>
        <v>0</v>
      </c>
      <c r="N37" s="2">
        <f>IF($A37="","",INDEX(v_data!$B$2:$L$1000,MATCH($A37,v_data!$A$3:$A$1000,0)+1,MATCH(LOWER(N$1),v_data!$B$2:$L$2,0)))</f>
        <v>1</v>
      </c>
      <c r="O37" s="2">
        <f t="shared" si="188"/>
        <v>9.6140786918237797</v>
      </c>
      <c r="P37" s="2">
        <f>IF($A37="","",INDEX(v_data!$B$2:$L$1000,MATCH($A37,v_data!$A$3:$A$1000,0)+1,MATCH(LOWER(P$1),v_data!$B$2:$L$2,0)))</f>
        <v>1</v>
      </c>
      <c r="Q37" s="2">
        <f t="shared" si="189"/>
        <v>-2.7990078936292302</v>
      </c>
      <c r="R37" s="2">
        <f>IF($A37="","",INDEX(v_data!$B$2:$L$1000,MATCH($A37,v_data!$A$3:$A$1000,0)+1,MATCH(LOWER(R$1),v_data!$B$2:$L$2,0)))</f>
        <v>0</v>
      </c>
      <c r="S37" s="2">
        <f t="shared" si="190"/>
        <v>0</v>
      </c>
      <c r="T37" s="2">
        <f>IF($A37="","",INDEX(v_data!$B$2:$L$1000,MATCH($A37,v_data!$A$3:$A$1000,0)+1,MATCH(LOWER(T$1),v_data!$B$2:$L$2,0)))</f>
        <v>0</v>
      </c>
      <c r="U37" s="2">
        <f t="shared" si="191"/>
        <v>0</v>
      </c>
      <c r="V37" s="2">
        <f>IF($A37="","",INDEX(v_data!$B$2:$L$1000,MATCH($A37,v_data!$A$3:$A$1000,0)+1,MATCH(LOWER(V$1),v_data!$B$2:$L$2,0)))</f>
        <v>0.75</v>
      </c>
      <c r="W37" s="2">
        <f t="shared" si="192"/>
        <v>-9.7199478831515247</v>
      </c>
      <c r="X37" s="2">
        <f>IF($A37="","",INDEX(v_data!$B$2:$L$1000,MATCH($A37,v_data!$A$3:$A$1000,0)+1,MATCH(LOWER(X$1),v_data!$B$2:$L$2,0)))</f>
        <v>1</v>
      </c>
      <c r="Y37" s="2">
        <f t="shared" si="193"/>
        <v>13.365994303350799</v>
      </c>
      <c r="Z37" s="2">
        <f>IF($A37="","",INDEX(v_data!$B$2:$L$1000,MATCH($A37,v_data!$A$3:$A$1000,0)+1,MATCH(LOWER(Z$1),v_data!$B$2:$L$2,0)))</f>
        <v>0</v>
      </c>
      <c r="AA37" s="2">
        <f t="shared" si="194"/>
        <v>0</v>
      </c>
      <c r="AB37" s="2">
        <f t="shared" si="195"/>
        <v>32.817031488911155</v>
      </c>
      <c r="AC37" s="2">
        <f>(SUM(G37,I37,K37,M37,O37,Q37,S37,U37,W37,Y37,AA37)+IF(AND(G37&gt;0,I37&gt;0,K37&gt;0),100,0))*VLOOKUP(B37,variables!$A$2:$B$6,2,FALSE)</f>
        <v>26.253625191128926</v>
      </c>
      <c r="AD37" s="16">
        <f>IF($A37="","",INDEX(v_data!$B$2:$X$1000,MATCH($A37,v_data!$A$3:$A$1000,0)+1,MATCH(LOWER("hours"),v_data!$B$2:$X$2,0)))</f>
        <v>65</v>
      </c>
    </row>
    <row r="38" spans="1:30" x14ac:dyDescent="0.25">
      <c r="A38" s="2" t="str">
        <f>IF(ISBLANK(v_data!A37),"",v_data!A37)</f>
        <v>ALTOR-CA-ALT-803-01-14</v>
      </c>
      <c r="B38" s="2" t="s">
        <v>22</v>
      </c>
      <c r="C38" s="2">
        <f>VLOOKUP(B38,variables!$A$2:$B$6,2,FALSE)</f>
        <v>0.8</v>
      </c>
      <c r="D38" s="4">
        <v>43826</v>
      </c>
      <c r="E38" s="4">
        <v>43431</v>
      </c>
      <c r="F38" s="2">
        <f>IF($A38="","",INDEX(v_data!$B$2:$L$1000,MATCH($A38,v_data!$A$3:$A$1000,0)+1,MATCH(LOWER(F$1),v_data!$B$2:$L$2,0)))</f>
        <v>1</v>
      </c>
      <c r="G38" s="2">
        <f t="shared" si="184"/>
        <v>1.88563782198456</v>
      </c>
      <c r="H38" s="2">
        <f>IF($A38="","",INDEX(v_data!$B$2:$L$1000,MATCH($A38,v_data!$A$3:$A$1000,0)+1,MATCH(LOWER(H$1),v_data!$B$2:$L$2,0)))</f>
        <v>1</v>
      </c>
      <c r="I38" s="2">
        <f t="shared" si="185"/>
        <v>4.33219042477754</v>
      </c>
      <c r="J38" s="2">
        <f>IF($A38="","",INDEX(v_data!$B$2:$L$1000,MATCH($A38,v_data!$A$3:$A$1000,0)+1,MATCH(LOWER(J$1),v_data!$B$2:$L$2,0)))</f>
        <v>1</v>
      </c>
      <c r="K38" s="2">
        <f t="shared" si="186"/>
        <v>18.023723845739799</v>
      </c>
      <c r="L38" s="2">
        <f>IF($A38="","",INDEX(v_data!$B$2:$L$1000,MATCH($A38,v_data!$A$3:$A$1000,0)+1,MATCH(LOWER(L$1),v_data!$B$2:$L$2,0)))</f>
        <v>0</v>
      </c>
      <c r="M38" s="2">
        <f t="shared" si="187"/>
        <v>0</v>
      </c>
      <c r="N38" s="2">
        <f>IF($A38="","",INDEX(v_data!$B$2:$L$1000,MATCH($A38,v_data!$A$3:$A$1000,0)+1,MATCH(LOWER(N$1),v_data!$B$2:$L$2,0)))</f>
        <v>4</v>
      </c>
      <c r="O38" s="2">
        <f t="shared" si="188"/>
        <v>38.456314767295119</v>
      </c>
      <c r="P38" s="2">
        <f>IF($A38="","",INDEX(v_data!$B$2:$L$1000,MATCH($A38,v_data!$A$3:$A$1000,0)+1,MATCH(LOWER(P$1),v_data!$B$2:$L$2,0)))</f>
        <v>4</v>
      </c>
      <c r="Q38" s="2">
        <f t="shared" si="189"/>
        <v>-11.196031574516921</v>
      </c>
      <c r="R38" s="2">
        <f>IF($A38="","",INDEX(v_data!$B$2:$L$1000,MATCH($A38,v_data!$A$3:$A$1000,0)+1,MATCH(LOWER(R$1),v_data!$B$2:$L$2,0)))</f>
        <v>2</v>
      </c>
      <c r="S38" s="2">
        <f t="shared" si="190"/>
        <v>0.53285901415042203</v>
      </c>
      <c r="T38" s="2">
        <f>IF($A38="","",INDEX(v_data!$B$2:$L$1000,MATCH($A38,v_data!$A$3:$A$1000,0)+1,MATCH(LOWER(T$1),v_data!$B$2:$L$2,0)))</f>
        <v>5</v>
      </c>
      <c r="U38" s="2">
        <f t="shared" si="191"/>
        <v>-18.662511010691702</v>
      </c>
      <c r="V38" s="2">
        <f>IF($A38="","",INDEX(v_data!$B$2:$L$1000,MATCH($A38,v_data!$A$3:$A$1000,0)+1,MATCH(LOWER(V$1),v_data!$B$2:$L$2,0)))</f>
        <v>0.75</v>
      </c>
      <c r="W38" s="2">
        <f t="shared" si="192"/>
        <v>-9.7199478831515247</v>
      </c>
      <c r="X38" s="2">
        <f>IF($A38="","",INDEX(v_data!$B$2:$L$1000,MATCH($A38,v_data!$A$3:$A$1000,0)+1,MATCH(LOWER(X$1),v_data!$B$2:$L$2,0)))</f>
        <v>1</v>
      </c>
      <c r="Y38" s="2">
        <f t="shared" si="193"/>
        <v>13.365994303350799</v>
      </c>
      <c r="Z38" s="2">
        <f>IF($A38="","",INDEX(v_data!$B$2:$L$1000,MATCH($A38,v_data!$A$3:$A$1000,0)+1,MATCH(LOWER(Z$1),v_data!$B$2:$L$2,0)))</f>
        <v>0</v>
      </c>
      <c r="AA38" s="2">
        <f t="shared" si="194"/>
        <v>0</v>
      </c>
      <c r="AB38" s="2">
        <f t="shared" si="195"/>
        <v>37.018229708938094</v>
      </c>
      <c r="AC38" s="2">
        <f>(SUM(G38,I38,K38,M38,O38,Q38,S38,U38,W38,Y38,AA38)+IF(AND(G38&gt;0,I38&gt;0,K38&gt;0),100,0))*VLOOKUP(B38,variables!$A$2:$B$6,2,FALSE)</f>
        <v>109.61458376715048</v>
      </c>
      <c r="AD38" s="16">
        <f>IF($A38="","",INDEX(v_data!$B$2:$X$1000,MATCH($A38,v_data!$A$3:$A$1000,0)+1,MATCH(LOWER("hours"),v_data!$B$2:$X$2,0)))</f>
        <v>66</v>
      </c>
    </row>
    <row r="39" spans="1:30" x14ac:dyDescent="0.25">
      <c r="A39" s="2" t="str">
        <f>IF(ISBLANK(v_data!A38),"",v_data!A38)</f>
        <v>ACOBA-2017-2</v>
      </c>
      <c r="B39" s="2" t="s">
        <v>22</v>
      </c>
      <c r="C39" s="2">
        <f>VLOOKUP(B39,variables!$A$2:$B$6,2,FALSE)</f>
        <v>0.8</v>
      </c>
      <c r="D39" s="4">
        <v>43826</v>
      </c>
      <c r="E39" s="4">
        <v>43431</v>
      </c>
      <c r="F39" s="2">
        <f>IF($A39="","",INDEX(v_data!$B$2:$L$1000,MATCH($A39,v_data!$A$3:$A$1000,0)+1,MATCH(LOWER(F$1),v_data!$B$2:$L$2,0)))</f>
        <v>1</v>
      </c>
      <c r="G39" s="2">
        <f t="shared" si="184"/>
        <v>1.88563782198456</v>
      </c>
      <c r="H39" s="2">
        <f>IF($A39="","",INDEX(v_data!$B$2:$L$1000,MATCH($A39,v_data!$A$3:$A$1000,0)+1,MATCH(LOWER(H$1),v_data!$B$2:$L$2,0)))</f>
        <v>1</v>
      </c>
      <c r="I39" s="2">
        <f t="shared" si="185"/>
        <v>4.33219042477754</v>
      </c>
      <c r="J39" s="2">
        <f>IF($A39="","",INDEX(v_data!$B$2:$L$1000,MATCH($A39,v_data!$A$3:$A$1000,0)+1,MATCH(LOWER(J$1),v_data!$B$2:$L$2,0)))</f>
        <v>1</v>
      </c>
      <c r="K39" s="2">
        <f t="shared" si="186"/>
        <v>18.023723845739799</v>
      </c>
      <c r="L39" s="2">
        <f>IF($A39="","",INDEX(v_data!$B$2:$L$1000,MATCH($A39,v_data!$A$3:$A$1000,0)+1,MATCH(LOWER(L$1),v_data!$B$2:$L$2,0)))</f>
        <v>0</v>
      </c>
      <c r="M39" s="2">
        <f t="shared" si="187"/>
        <v>0</v>
      </c>
      <c r="N39" s="2">
        <f>IF($A39="","",INDEX(v_data!$B$2:$L$1000,MATCH($A39,v_data!$A$3:$A$1000,0)+1,MATCH(LOWER(N$1),v_data!$B$2:$L$2,0)))</f>
        <v>4</v>
      </c>
      <c r="O39" s="2">
        <f t="shared" si="188"/>
        <v>38.456314767295119</v>
      </c>
      <c r="P39" s="2">
        <f>IF($A39="","",INDEX(v_data!$B$2:$L$1000,MATCH($A39,v_data!$A$3:$A$1000,0)+1,MATCH(LOWER(P$1),v_data!$B$2:$L$2,0)))</f>
        <v>5</v>
      </c>
      <c r="Q39" s="2">
        <f t="shared" si="189"/>
        <v>-13.995039468146151</v>
      </c>
      <c r="R39" s="2">
        <f>IF($A39="","",INDEX(v_data!$B$2:$L$1000,MATCH($A39,v_data!$A$3:$A$1000,0)+1,MATCH(LOWER(R$1),v_data!$B$2:$L$2,0)))</f>
        <v>0</v>
      </c>
      <c r="S39" s="2">
        <f t="shared" si="190"/>
        <v>0</v>
      </c>
      <c r="T39" s="2">
        <f>IF($A39="","",INDEX(v_data!$B$2:$L$1000,MATCH($A39,v_data!$A$3:$A$1000,0)+1,MATCH(LOWER(T$1),v_data!$B$2:$L$2,0)))</f>
        <v>0</v>
      </c>
      <c r="U39" s="2">
        <f t="shared" si="191"/>
        <v>0</v>
      </c>
      <c r="V39" s="2">
        <f>IF($A39="","",INDEX(v_data!$B$2:$L$1000,MATCH($A39,v_data!$A$3:$A$1000,0)+1,MATCH(LOWER(V$1),v_data!$B$2:$L$2,0)))</f>
        <v>0.75</v>
      </c>
      <c r="W39" s="2">
        <f t="shared" si="192"/>
        <v>-9.7199478831515247</v>
      </c>
      <c r="X39" s="2">
        <f>IF($A39="","",INDEX(v_data!$B$2:$L$1000,MATCH($A39,v_data!$A$3:$A$1000,0)+1,MATCH(LOWER(X$1),v_data!$B$2:$L$2,0)))</f>
        <v>1</v>
      </c>
      <c r="Y39" s="2">
        <f t="shared" si="193"/>
        <v>13.365994303350799</v>
      </c>
      <c r="Z39" s="2">
        <f>IF($A39="","",INDEX(v_data!$B$2:$L$1000,MATCH($A39,v_data!$A$3:$A$1000,0)+1,MATCH(LOWER(Z$1),v_data!$B$2:$L$2,0)))</f>
        <v>1</v>
      </c>
      <c r="AA39" s="2">
        <f t="shared" si="194"/>
        <v>24.3031804679799</v>
      </c>
      <c r="AB39" s="2">
        <f t="shared" si="195"/>
        <v>76.65205427983004</v>
      </c>
      <c r="AC39" s="2">
        <f>(SUM(G39,I39,K39,M39,O39,Q39,S39,U39,W39,Y39,AA39)+IF(AND(G39&gt;0,I39&gt;0,K39&gt;0),100,0))*VLOOKUP(B39,variables!$A$2:$B$6,2,FALSE)</f>
        <v>141.32164342386406</v>
      </c>
      <c r="AD39" s="16">
        <f>IF($A39="","",INDEX(v_data!$B$2:$X$1000,MATCH($A39,v_data!$A$3:$A$1000,0)+1,MATCH(LOWER("hours"),v_data!$B$2:$X$2,0)))</f>
        <v>77</v>
      </c>
    </row>
    <row r="40" spans="1:30" x14ac:dyDescent="0.25">
      <c r="A40" s="2" t="str">
        <f>IF(ISBLANK(v_data!A39),"",v_data!A39)</f>
        <v>ROSSER-2015-4/ML29793</v>
      </c>
      <c r="B40" s="2" t="s">
        <v>22</v>
      </c>
      <c r="C40" s="2">
        <f>VLOOKUP(B40,variables!$A$2:$B$6,2,FALSE)</f>
        <v>0.8</v>
      </c>
      <c r="D40" s="4">
        <v>43826</v>
      </c>
      <c r="E40" s="4">
        <v>43431</v>
      </c>
      <c r="F40" s="2">
        <f>IF($A40="","",INDEX(v_data!$B$2:$L$1000,MATCH($A40,v_data!$A$3:$A$1000,0)+1,MATCH(LOWER(F$1),v_data!$B$2:$L$2,0)))</f>
        <v>1</v>
      </c>
      <c r="G40" s="2">
        <f t="shared" si="184"/>
        <v>1.88563782198456</v>
      </c>
      <c r="H40" s="2">
        <f>IF($A40="","",INDEX(v_data!$B$2:$L$1000,MATCH($A40,v_data!$A$3:$A$1000,0)+1,MATCH(LOWER(H$1),v_data!$B$2:$L$2,0)))</f>
        <v>1</v>
      </c>
      <c r="I40" s="2">
        <f t="shared" si="185"/>
        <v>4.33219042477754</v>
      </c>
      <c r="J40" s="2">
        <f>IF($A40="","",INDEX(v_data!$B$2:$L$1000,MATCH($A40,v_data!$A$3:$A$1000,0)+1,MATCH(LOWER(J$1),v_data!$B$2:$L$2,0)))</f>
        <v>1</v>
      </c>
      <c r="K40" s="2">
        <f t="shared" si="186"/>
        <v>18.023723845739799</v>
      </c>
      <c r="L40" s="2">
        <f>IF($A40="","",INDEX(v_data!$B$2:$L$1000,MATCH($A40,v_data!$A$3:$A$1000,0)+1,MATCH(LOWER(L$1),v_data!$B$2:$L$2,0)))</f>
        <v>0</v>
      </c>
      <c r="M40" s="2">
        <f t="shared" si="187"/>
        <v>0</v>
      </c>
      <c r="N40" s="2">
        <f>IF($A40="","",INDEX(v_data!$B$2:$L$1000,MATCH($A40,v_data!$A$3:$A$1000,0)+1,MATCH(LOWER(N$1),v_data!$B$2:$L$2,0)))</f>
        <v>8</v>
      </c>
      <c r="O40" s="2">
        <f t="shared" si="188"/>
        <v>76.912629534590238</v>
      </c>
      <c r="P40" s="2">
        <f>IF($A40="","",INDEX(v_data!$B$2:$L$1000,MATCH($A40,v_data!$A$3:$A$1000,0)+1,MATCH(LOWER(P$1),v_data!$B$2:$L$2,0)))</f>
        <v>6</v>
      </c>
      <c r="Q40" s="2">
        <f t="shared" si="189"/>
        <v>-16.79404736177538</v>
      </c>
      <c r="R40" s="2">
        <f>IF($A40="","",INDEX(v_data!$B$2:$L$1000,MATCH($A40,v_data!$A$3:$A$1000,0)+1,MATCH(LOWER(R$1),v_data!$B$2:$L$2,0)))</f>
        <v>3</v>
      </c>
      <c r="S40" s="2">
        <f t="shared" si="190"/>
        <v>0.7992885212256331</v>
      </c>
      <c r="T40" s="2">
        <f>IF($A40="","",INDEX(v_data!$B$2:$L$1000,MATCH($A40,v_data!$A$3:$A$1000,0)+1,MATCH(LOWER(T$1),v_data!$B$2:$L$2,0)))</f>
        <v>0</v>
      </c>
      <c r="U40" s="2">
        <f t="shared" si="191"/>
        <v>0</v>
      </c>
      <c r="V40" s="2">
        <f>IF($A40="","",INDEX(v_data!$B$2:$L$1000,MATCH($A40,v_data!$A$3:$A$1000,0)+1,MATCH(LOWER(V$1),v_data!$B$2:$L$2,0)))</f>
        <v>0.75</v>
      </c>
      <c r="W40" s="2">
        <f t="shared" si="192"/>
        <v>-9.7199478831515247</v>
      </c>
      <c r="X40" s="2">
        <f>IF($A40="","",INDEX(v_data!$B$2:$L$1000,MATCH($A40,v_data!$A$3:$A$1000,0)+1,MATCH(LOWER(X$1),v_data!$B$2:$L$2,0)))</f>
        <v>1</v>
      </c>
      <c r="Y40" s="2">
        <f t="shared" si="193"/>
        <v>13.365994303350799</v>
      </c>
      <c r="Z40" s="2">
        <f>IF($A40="","",INDEX(v_data!$B$2:$L$1000,MATCH($A40,v_data!$A$3:$A$1000,0)+1,MATCH(LOWER(Z$1),v_data!$B$2:$L$2,0)))</f>
        <v>0</v>
      </c>
      <c r="AA40" s="2">
        <f t="shared" si="194"/>
        <v>0</v>
      </c>
      <c r="AB40" s="2">
        <f t="shared" si="195"/>
        <v>88.805469206741662</v>
      </c>
      <c r="AC40" s="2">
        <f>(SUM(G40,I40,K40,M40,O40,Q40,S40,U40,W40,Y40,AA40)+IF(AND(G40&gt;0,I40&gt;0,K40&gt;0),100,0))*VLOOKUP(B40,variables!$A$2:$B$6,2,FALSE)</f>
        <v>151.04437536539334</v>
      </c>
      <c r="AD40" s="16">
        <f>IF($A40="","",INDEX(v_data!$B$2:$X$1000,MATCH($A40,v_data!$A$3:$A$1000,0)+1,MATCH(LOWER("hours"),v_data!$B$2:$X$2,0)))</f>
        <v>112</v>
      </c>
    </row>
    <row r="41" spans="1:30" hidden="1" x14ac:dyDescent="0.25">
      <c r="A41" s="2" t="str">
        <f>IF(ISBLANK(v_data!A40),"",v_data!A40)</f>
        <v/>
      </c>
      <c r="B41" s="2" t="s">
        <v>22</v>
      </c>
      <c r="C41" s="2">
        <f>VLOOKUP(B41,variables!$A$2:$B$6,2,FALSE)</f>
        <v>0.8</v>
      </c>
      <c r="D41" s="4">
        <v>43826</v>
      </c>
      <c r="E41" s="4">
        <v>43431</v>
      </c>
      <c r="F41" s="2" t="str">
        <f>IF($A41="","",INDEX(v_data!$B$2:$L$1000,MATCH($A41,v_data!$A$3:$A$1000,0)+1,MATCH(LOWER(F$1),v_data!$B$2:$L$2,0)))</f>
        <v/>
      </c>
      <c r="G41" s="2" t="str">
        <f t="shared" si="184"/>
        <v/>
      </c>
      <c r="H41" s="2" t="str">
        <f>IF($A41="","",INDEX(v_data!$B$2:$L$1000,MATCH($A41,v_data!$A$3:$A$1000,0)+1,MATCH(LOWER(H$1),v_data!$B$2:$L$2,0)))</f>
        <v/>
      </c>
      <c r="I41" s="2" t="str">
        <f t="shared" si="185"/>
        <v/>
      </c>
      <c r="J41" s="2" t="str">
        <f>IF($A41="","",INDEX(v_data!$B$2:$L$1000,MATCH($A41,v_data!$A$3:$A$1000,0)+1,MATCH(LOWER(J$1),v_data!$B$2:$L$2,0)))</f>
        <v/>
      </c>
      <c r="K41" s="2" t="str">
        <f t="shared" si="186"/>
        <v/>
      </c>
      <c r="L41" s="2" t="str">
        <f>IF($A41="","",INDEX(v_data!$B$2:$L$1000,MATCH($A41,v_data!$A$3:$A$1000,0)+1,MATCH(LOWER(L$1),v_data!$B$2:$L$2,0)))</f>
        <v/>
      </c>
      <c r="M41" s="2" t="str">
        <f t="shared" si="187"/>
        <v/>
      </c>
      <c r="N41" s="2" t="str">
        <f>IF($A41="","",INDEX(v_data!$B$2:$L$1000,MATCH($A41,v_data!$A$3:$A$1000,0)+1,MATCH(LOWER(N$1),v_data!$B$2:$L$2,0)))</f>
        <v/>
      </c>
      <c r="O41" s="2" t="str">
        <f t="shared" si="188"/>
        <v/>
      </c>
      <c r="P41" s="2" t="str">
        <f>IF($A41="","",INDEX(v_data!$B$2:$L$1000,MATCH($A41,v_data!$A$3:$A$1000,0)+1,MATCH(LOWER(P$1),v_data!$B$2:$L$2,0)))</f>
        <v/>
      </c>
      <c r="Q41" s="2" t="str">
        <f t="shared" si="189"/>
        <v/>
      </c>
      <c r="R41" s="2" t="str">
        <f>IF($A41="","",INDEX(v_data!$B$2:$L$1000,MATCH($A41,v_data!$A$3:$A$1000,0)+1,MATCH(LOWER(R$1),v_data!$B$2:$L$2,0)))</f>
        <v/>
      </c>
      <c r="S41" s="2" t="str">
        <f t="shared" si="190"/>
        <v/>
      </c>
      <c r="T41" s="2" t="str">
        <f>IF($A41="","",INDEX(v_data!$B$2:$L$1000,MATCH($A41,v_data!$A$3:$A$1000,0)+1,MATCH(LOWER(T$1),v_data!$B$2:$L$2,0)))</f>
        <v/>
      </c>
      <c r="U41" s="2" t="str">
        <f t="shared" si="191"/>
        <v/>
      </c>
      <c r="V41" s="2" t="str">
        <f>IF($A41="","",INDEX(v_data!$B$2:$L$1000,MATCH($A41,v_data!$A$3:$A$1000,0)+1,MATCH(LOWER(V$1),v_data!$B$2:$L$2,0)))</f>
        <v/>
      </c>
      <c r="W41" s="2" t="str">
        <f t="shared" si="192"/>
        <v/>
      </c>
      <c r="X41" s="2" t="str">
        <f>IF($A41="","",INDEX(v_data!$B$2:$L$1000,MATCH($A41,v_data!$A$3:$A$1000,0)+1,MATCH(LOWER(X$1),v_data!$B$2:$L$2,0)))</f>
        <v/>
      </c>
      <c r="Y41" s="2" t="str">
        <f t="shared" si="193"/>
        <v/>
      </c>
      <c r="Z41" s="2" t="str">
        <f>IF($A41="","",INDEX(v_data!$B$2:$L$1000,MATCH($A41,v_data!$A$3:$A$1000,0)+1,MATCH(LOWER(Z$1),v_data!$B$2:$L$2,0)))</f>
        <v/>
      </c>
      <c r="AA41" s="2" t="str">
        <f t="shared" si="194"/>
        <v/>
      </c>
      <c r="AB41" s="2" t="str">
        <f t="shared" si="195"/>
        <v/>
      </c>
      <c r="AC41" s="2">
        <f>(SUM(G41,I41,K41,M41,O41,Q41,S41,U41,W41,Y41,AA41)+IF(AND(G41&gt;0,I41&gt;0,K41&gt;0),100,0))*VLOOKUP(B41,variables!$A$2:$B$6,2,FALSE)</f>
        <v>80</v>
      </c>
      <c r="AD41" s="16" t="str">
        <f>IF($A41="","",INDEX(v_data!$B$2:$X$1000,MATCH($A41,v_data!$A$3:$A$1000,0)+1,MATCH(LOWER("hours"),v_data!$B$2:$X$2,0)))</f>
        <v/>
      </c>
    </row>
    <row r="42" spans="1:30" hidden="1" x14ac:dyDescent="0.25">
      <c r="A42" s="2" t="str">
        <f>IF(ISBLANK(v_data!A41),"",v_data!A41)</f>
        <v/>
      </c>
      <c r="B42" s="2" t="s">
        <v>22</v>
      </c>
      <c r="C42" s="2">
        <f>VLOOKUP(B42,variables!$A$2:$B$6,2,FALSE)</f>
        <v>0.8</v>
      </c>
      <c r="D42" s="4">
        <v>43826</v>
      </c>
      <c r="E42" s="4">
        <v>43431</v>
      </c>
      <c r="F42" s="2" t="str">
        <f>IF($A42="","",INDEX(v_data!$B$2:$L$1000,MATCH($A42,v_data!$A$3:$A$1000,0)+1,MATCH(LOWER(F$1),v_data!$B$2:$L$2,0)))</f>
        <v/>
      </c>
      <c r="G42" s="2" t="str">
        <f t="shared" si="184"/>
        <v/>
      </c>
      <c r="H42" s="2" t="str">
        <f>IF($A42="","",INDEX(v_data!$B$2:$L$1000,MATCH($A42,v_data!$A$3:$A$1000,0)+1,MATCH(LOWER(H$1),v_data!$B$2:$L$2,0)))</f>
        <v/>
      </c>
      <c r="I42" s="2" t="str">
        <f t="shared" si="185"/>
        <v/>
      </c>
      <c r="J42" s="2" t="str">
        <f>IF($A42="","",INDEX(v_data!$B$2:$L$1000,MATCH($A42,v_data!$A$3:$A$1000,0)+1,MATCH(LOWER(J$1),v_data!$B$2:$L$2,0)))</f>
        <v/>
      </c>
      <c r="K42" s="2" t="str">
        <f t="shared" si="186"/>
        <v/>
      </c>
      <c r="L42" s="2" t="str">
        <f>IF($A42="","",INDEX(v_data!$B$2:$L$1000,MATCH($A42,v_data!$A$3:$A$1000,0)+1,MATCH(LOWER(L$1),v_data!$B$2:$L$2,0)))</f>
        <v/>
      </c>
      <c r="M42" s="2" t="str">
        <f t="shared" si="187"/>
        <v/>
      </c>
      <c r="N42" s="2" t="str">
        <f>IF($A42="","",INDEX(v_data!$B$2:$L$1000,MATCH($A42,v_data!$A$3:$A$1000,0)+1,MATCH(LOWER(N$1),v_data!$B$2:$L$2,0)))</f>
        <v/>
      </c>
      <c r="O42" s="2" t="str">
        <f t="shared" si="188"/>
        <v/>
      </c>
      <c r="P42" s="2" t="str">
        <f>IF($A42="","",INDEX(v_data!$B$2:$L$1000,MATCH($A42,v_data!$A$3:$A$1000,0)+1,MATCH(LOWER(P$1),v_data!$B$2:$L$2,0)))</f>
        <v/>
      </c>
      <c r="Q42" s="2" t="str">
        <f t="shared" si="189"/>
        <v/>
      </c>
      <c r="R42" s="2" t="str">
        <f>IF($A42="","",INDEX(v_data!$B$2:$L$1000,MATCH($A42,v_data!$A$3:$A$1000,0)+1,MATCH(LOWER(R$1),v_data!$B$2:$L$2,0)))</f>
        <v/>
      </c>
      <c r="S42" s="2" t="str">
        <f t="shared" si="190"/>
        <v/>
      </c>
      <c r="T42" s="2" t="str">
        <f>IF($A42="","",INDEX(v_data!$B$2:$L$1000,MATCH($A42,v_data!$A$3:$A$1000,0)+1,MATCH(LOWER(T$1),v_data!$B$2:$L$2,0)))</f>
        <v/>
      </c>
      <c r="U42" s="2" t="str">
        <f t="shared" si="191"/>
        <v/>
      </c>
      <c r="V42" s="2" t="str">
        <f>IF($A42="","",INDEX(v_data!$B$2:$L$1000,MATCH($A42,v_data!$A$3:$A$1000,0)+1,MATCH(LOWER(V$1),v_data!$B$2:$L$2,0)))</f>
        <v/>
      </c>
      <c r="W42" s="2" t="str">
        <f t="shared" si="192"/>
        <v/>
      </c>
      <c r="X42" s="2" t="str">
        <f>IF($A42="","",INDEX(v_data!$B$2:$L$1000,MATCH($A42,v_data!$A$3:$A$1000,0)+1,MATCH(LOWER(X$1),v_data!$B$2:$L$2,0)))</f>
        <v/>
      </c>
      <c r="Y42" s="2" t="str">
        <f t="shared" si="193"/>
        <v/>
      </c>
      <c r="Z42" s="2" t="str">
        <f>IF($A42="","",INDEX(v_data!$B$2:$L$1000,MATCH($A42,v_data!$A$3:$A$1000,0)+1,MATCH(LOWER(Z$1),v_data!$B$2:$L$2,0)))</f>
        <v/>
      </c>
      <c r="AA42" s="2" t="str">
        <f t="shared" si="194"/>
        <v/>
      </c>
      <c r="AB42" s="2" t="str">
        <f t="shared" si="195"/>
        <v/>
      </c>
      <c r="AC42" s="2">
        <f>(SUM(G42,I42,K42,M42,O42,Q42,S42,U42,W42,Y42,AA42)+IF(AND(G42&gt;0,I42&gt;0,K42&gt;0),100,0))*VLOOKUP(B42,variables!$A$2:$B$6,2,FALSE)</f>
        <v>80</v>
      </c>
      <c r="AD42" s="16" t="str">
        <f>IF($A42="","",INDEX(v_data!$B$2:$X$1000,MATCH($A42,v_data!$A$3:$A$1000,0)+1,MATCH(LOWER("hours"),v_data!$B$2:$X$2,0)))</f>
        <v/>
      </c>
    </row>
    <row r="43" spans="1:30" hidden="1" x14ac:dyDescent="0.25">
      <c r="A43" s="2" t="str">
        <f>IF(ISBLANK(v_data!A42),"",v_data!A42)</f>
        <v/>
      </c>
      <c r="B43" s="2" t="s">
        <v>22</v>
      </c>
      <c r="C43" s="2">
        <f>VLOOKUP(B43,variables!$A$2:$B$6,2,FALSE)</f>
        <v>0.8</v>
      </c>
      <c r="D43" s="4">
        <v>43826</v>
      </c>
      <c r="E43" s="4">
        <v>43431</v>
      </c>
      <c r="F43" s="2" t="str">
        <f>IF($A43="","",INDEX(v_data!$B$2:$L$1000,MATCH($A43,v_data!$A$3:$A$1000,0)+1,MATCH(LOWER(F$1),v_data!$B$2:$L$2,0)))</f>
        <v/>
      </c>
      <c r="G43" s="2" t="str">
        <f t="shared" si="184"/>
        <v/>
      </c>
      <c r="H43" s="2" t="str">
        <f>IF($A43="","",INDEX(v_data!$B$2:$L$1000,MATCH($A43,v_data!$A$3:$A$1000,0)+1,MATCH(LOWER(H$1),v_data!$B$2:$L$2,0)))</f>
        <v/>
      </c>
      <c r="I43" s="2" t="str">
        <f t="shared" si="185"/>
        <v/>
      </c>
      <c r="J43" s="2" t="str">
        <f>IF($A43="","",INDEX(v_data!$B$2:$L$1000,MATCH($A43,v_data!$A$3:$A$1000,0)+1,MATCH(LOWER(J$1),v_data!$B$2:$L$2,0)))</f>
        <v/>
      </c>
      <c r="K43" s="2" t="str">
        <f t="shared" si="186"/>
        <v/>
      </c>
      <c r="L43" s="2" t="str">
        <f>IF($A43="","",INDEX(v_data!$B$2:$L$1000,MATCH($A43,v_data!$A$3:$A$1000,0)+1,MATCH(LOWER(L$1),v_data!$B$2:$L$2,0)))</f>
        <v/>
      </c>
      <c r="M43" s="2" t="str">
        <f t="shared" si="187"/>
        <v/>
      </c>
      <c r="N43" s="2" t="str">
        <f>IF($A43="","",INDEX(v_data!$B$2:$L$1000,MATCH($A43,v_data!$A$3:$A$1000,0)+1,MATCH(LOWER(N$1),v_data!$B$2:$L$2,0)))</f>
        <v/>
      </c>
      <c r="O43" s="2" t="str">
        <f t="shared" si="188"/>
        <v/>
      </c>
      <c r="P43" s="2" t="str">
        <f>IF($A43="","",INDEX(v_data!$B$2:$L$1000,MATCH($A43,v_data!$A$3:$A$1000,0)+1,MATCH(LOWER(P$1),v_data!$B$2:$L$2,0)))</f>
        <v/>
      </c>
      <c r="Q43" s="2" t="str">
        <f t="shared" si="189"/>
        <v/>
      </c>
      <c r="R43" s="2" t="str">
        <f>IF($A43="","",INDEX(v_data!$B$2:$L$1000,MATCH($A43,v_data!$A$3:$A$1000,0)+1,MATCH(LOWER(R$1),v_data!$B$2:$L$2,0)))</f>
        <v/>
      </c>
      <c r="S43" s="2" t="str">
        <f t="shared" si="190"/>
        <v/>
      </c>
      <c r="T43" s="2" t="str">
        <f>IF($A43="","",INDEX(v_data!$B$2:$L$1000,MATCH($A43,v_data!$A$3:$A$1000,0)+1,MATCH(LOWER(T$1),v_data!$B$2:$L$2,0)))</f>
        <v/>
      </c>
      <c r="U43" s="2" t="str">
        <f t="shared" si="191"/>
        <v/>
      </c>
      <c r="V43" s="2" t="str">
        <f>IF($A43="","",INDEX(v_data!$B$2:$L$1000,MATCH($A43,v_data!$A$3:$A$1000,0)+1,MATCH(LOWER(V$1),v_data!$B$2:$L$2,0)))</f>
        <v/>
      </c>
      <c r="W43" s="2" t="str">
        <f t="shared" si="192"/>
        <v/>
      </c>
      <c r="X43" s="2" t="str">
        <f>IF($A43="","",INDEX(v_data!$B$2:$L$1000,MATCH($A43,v_data!$A$3:$A$1000,0)+1,MATCH(LOWER(X$1),v_data!$B$2:$L$2,0)))</f>
        <v/>
      </c>
      <c r="Y43" s="2" t="str">
        <f t="shared" si="193"/>
        <v/>
      </c>
      <c r="Z43" s="2" t="str">
        <f>IF($A43="","",INDEX(v_data!$B$2:$L$1000,MATCH($A43,v_data!$A$3:$A$1000,0)+1,MATCH(LOWER(Z$1),v_data!$B$2:$L$2,0)))</f>
        <v/>
      </c>
      <c r="AA43" s="2" t="str">
        <f t="shared" si="194"/>
        <v/>
      </c>
      <c r="AB43" s="2" t="str">
        <f t="shared" si="195"/>
        <v/>
      </c>
      <c r="AC43" s="2">
        <f>(SUM(G43,I43,K43,M43,O43,Q43,S43,U43,W43,Y43,AA43)+IF(AND(G43&gt;0,I43&gt;0,K43&gt;0),100,0))*VLOOKUP(B43,variables!$A$2:$B$6,2,FALSE)</f>
        <v>80</v>
      </c>
      <c r="AD43" s="16" t="str">
        <f>IF($A43="","",INDEX(v_data!$B$2:$X$1000,MATCH($A43,v_data!$A$3:$A$1000,0)+1,MATCH(LOWER("hours"),v_data!$B$2:$X$2,0)))</f>
        <v/>
      </c>
    </row>
    <row r="44" spans="1:30" hidden="1" x14ac:dyDescent="0.25">
      <c r="A44" s="2" t="str">
        <f>IF(ISBLANK(v_data!A43),"",v_data!A43)</f>
        <v/>
      </c>
      <c r="B44" s="2" t="s">
        <v>22</v>
      </c>
      <c r="C44" s="2">
        <f>VLOOKUP(B44,variables!$A$2:$B$6,2,FALSE)</f>
        <v>0.8</v>
      </c>
      <c r="D44" s="4">
        <v>43826</v>
      </c>
      <c r="E44" s="4">
        <v>43431</v>
      </c>
      <c r="F44" s="2" t="str">
        <f>IF($A44="","",INDEX(v_data!$B$2:$L$1000,MATCH($A44,v_data!$A$3:$A$1000,0)+1,MATCH(LOWER(F$1),v_data!$B$2:$L$2,0)))</f>
        <v/>
      </c>
      <c r="G44" s="2" t="str">
        <f t="shared" si="184"/>
        <v/>
      </c>
      <c r="H44" s="2" t="str">
        <f>IF($A44="","",INDEX(v_data!$B$2:$L$1000,MATCH($A44,v_data!$A$3:$A$1000,0)+1,MATCH(LOWER(H$1),v_data!$B$2:$L$2,0)))</f>
        <v/>
      </c>
      <c r="I44" s="2" t="str">
        <f t="shared" si="185"/>
        <v/>
      </c>
      <c r="J44" s="2" t="str">
        <f>IF($A44="","",INDEX(v_data!$B$2:$L$1000,MATCH($A44,v_data!$A$3:$A$1000,0)+1,MATCH(LOWER(J$1),v_data!$B$2:$L$2,0)))</f>
        <v/>
      </c>
      <c r="K44" s="2" t="str">
        <f t="shared" si="186"/>
        <v/>
      </c>
      <c r="L44" s="2" t="str">
        <f>IF($A44="","",INDEX(v_data!$B$2:$L$1000,MATCH($A44,v_data!$A$3:$A$1000,0)+1,MATCH(LOWER(L$1),v_data!$B$2:$L$2,0)))</f>
        <v/>
      </c>
      <c r="M44" s="2" t="str">
        <f t="shared" si="187"/>
        <v/>
      </c>
      <c r="N44" s="2" t="str">
        <f>IF($A44="","",INDEX(v_data!$B$2:$L$1000,MATCH($A44,v_data!$A$3:$A$1000,0)+1,MATCH(LOWER(N$1),v_data!$B$2:$L$2,0)))</f>
        <v/>
      </c>
      <c r="O44" s="2" t="str">
        <f t="shared" si="188"/>
        <v/>
      </c>
      <c r="P44" s="2" t="str">
        <f>IF($A44="","",INDEX(v_data!$B$2:$L$1000,MATCH($A44,v_data!$A$3:$A$1000,0)+1,MATCH(LOWER(P$1),v_data!$B$2:$L$2,0)))</f>
        <v/>
      </c>
      <c r="Q44" s="2" t="str">
        <f t="shared" si="189"/>
        <v/>
      </c>
      <c r="R44" s="2" t="str">
        <f>IF($A44="","",INDEX(v_data!$B$2:$L$1000,MATCH($A44,v_data!$A$3:$A$1000,0)+1,MATCH(LOWER(R$1),v_data!$B$2:$L$2,0)))</f>
        <v/>
      </c>
      <c r="S44" s="2" t="str">
        <f t="shared" si="190"/>
        <v/>
      </c>
      <c r="T44" s="2" t="str">
        <f>IF($A44="","",INDEX(v_data!$B$2:$L$1000,MATCH($A44,v_data!$A$3:$A$1000,0)+1,MATCH(LOWER(T$1),v_data!$B$2:$L$2,0)))</f>
        <v/>
      </c>
      <c r="U44" s="2" t="str">
        <f t="shared" si="191"/>
        <v/>
      </c>
      <c r="V44" s="2" t="str">
        <f>IF($A44="","",INDEX(v_data!$B$2:$L$1000,MATCH($A44,v_data!$A$3:$A$1000,0)+1,MATCH(LOWER(V$1),v_data!$B$2:$L$2,0)))</f>
        <v/>
      </c>
      <c r="W44" s="2" t="str">
        <f t="shared" si="192"/>
        <v/>
      </c>
      <c r="X44" s="2" t="str">
        <f>IF($A44="","",INDEX(v_data!$B$2:$L$1000,MATCH($A44,v_data!$A$3:$A$1000,0)+1,MATCH(LOWER(X$1),v_data!$B$2:$L$2,0)))</f>
        <v/>
      </c>
      <c r="Y44" s="2" t="str">
        <f t="shared" si="193"/>
        <v/>
      </c>
      <c r="Z44" s="2" t="str">
        <f>IF($A44="","",INDEX(v_data!$B$2:$L$1000,MATCH($A44,v_data!$A$3:$A$1000,0)+1,MATCH(LOWER(Z$1),v_data!$B$2:$L$2,0)))</f>
        <v/>
      </c>
      <c r="AA44" s="2" t="str">
        <f t="shared" si="194"/>
        <v/>
      </c>
      <c r="AB44" s="2" t="str">
        <f t="shared" si="195"/>
        <v/>
      </c>
      <c r="AC44" s="2">
        <f>(SUM(G44,I44,K44,M44,O44,Q44,S44,U44,W44,Y44,AA44)+IF(AND(G44&gt;0,I44&gt;0,K44&gt;0),100,0))*VLOOKUP(B44,variables!$A$2:$B$6,2,FALSE)</f>
        <v>80</v>
      </c>
      <c r="AD44" s="16" t="str">
        <f>IF($A44="","",INDEX(v_data!$B$2:$X$1000,MATCH($A44,v_data!$A$3:$A$1000,0)+1,MATCH(LOWER("hours"),v_data!$B$2:$X$2,0)))</f>
        <v/>
      </c>
    </row>
    <row r="45" spans="1:30" hidden="1" x14ac:dyDescent="0.25">
      <c r="A45" s="2" t="str">
        <f>IF(ISBLANK(v_data!A44),"",v_data!A44)</f>
        <v/>
      </c>
      <c r="B45" s="2" t="s">
        <v>22</v>
      </c>
      <c r="C45" s="2">
        <f>VLOOKUP(B45,variables!$A$2:$B$6,2,FALSE)</f>
        <v>0.8</v>
      </c>
      <c r="D45" s="4">
        <v>43826</v>
      </c>
      <c r="E45" s="4">
        <v>43431</v>
      </c>
      <c r="F45" s="2" t="str">
        <f>IF($A45="","",INDEX(v_data!$B$2:$L$1000,MATCH($A45,v_data!$A$3:$A$1000,0)+1,MATCH(LOWER(F$1),v_data!$B$2:$L$2,0)))</f>
        <v/>
      </c>
      <c r="G45" s="2" t="str">
        <f t="shared" si="184"/>
        <v/>
      </c>
      <c r="H45" s="2" t="str">
        <f>IF($A45="","",INDEX(v_data!$B$2:$L$1000,MATCH($A45,v_data!$A$3:$A$1000,0)+1,MATCH(LOWER(H$1),v_data!$B$2:$L$2,0)))</f>
        <v/>
      </c>
      <c r="I45" s="2" t="str">
        <f t="shared" si="185"/>
        <v/>
      </c>
      <c r="J45" s="2" t="str">
        <f>IF($A45="","",INDEX(v_data!$B$2:$L$1000,MATCH($A45,v_data!$A$3:$A$1000,0)+1,MATCH(LOWER(J$1),v_data!$B$2:$L$2,0)))</f>
        <v/>
      </c>
      <c r="K45" s="2" t="str">
        <f t="shared" si="186"/>
        <v/>
      </c>
      <c r="L45" s="2" t="str">
        <f>IF($A45="","",INDEX(v_data!$B$2:$L$1000,MATCH($A45,v_data!$A$3:$A$1000,0)+1,MATCH(LOWER(L$1),v_data!$B$2:$L$2,0)))</f>
        <v/>
      </c>
      <c r="M45" s="2" t="str">
        <f t="shared" si="187"/>
        <v/>
      </c>
      <c r="N45" s="2" t="str">
        <f>IF($A45="","",INDEX(v_data!$B$2:$L$1000,MATCH($A45,v_data!$A$3:$A$1000,0)+1,MATCH(LOWER(N$1),v_data!$B$2:$L$2,0)))</f>
        <v/>
      </c>
      <c r="O45" s="2" t="str">
        <f t="shared" si="188"/>
        <v/>
      </c>
      <c r="P45" s="2" t="str">
        <f>IF($A45="","",INDEX(v_data!$B$2:$L$1000,MATCH($A45,v_data!$A$3:$A$1000,0)+1,MATCH(LOWER(P$1),v_data!$B$2:$L$2,0)))</f>
        <v/>
      </c>
      <c r="Q45" s="2" t="str">
        <f t="shared" si="189"/>
        <v/>
      </c>
      <c r="R45" s="2" t="str">
        <f>IF($A45="","",INDEX(v_data!$B$2:$L$1000,MATCH($A45,v_data!$A$3:$A$1000,0)+1,MATCH(LOWER(R$1),v_data!$B$2:$L$2,0)))</f>
        <v/>
      </c>
      <c r="S45" s="2" t="str">
        <f t="shared" si="190"/>
        <v/>
      </c>
      <c r="T45" s="2" t="str">
        <f>IF($A45="","",INDEX(v_data!$B$2:$L$1000,MATCH($A45,v_data!$A$3:$A$1000,0)+1,MATCH(LOWER(T$1),v_data!$B$2:$L$2,0)))</f>
        <v/>
      </c>
      <c r="U45" s="2" t="str">
        <f t="shared" si="191"/>
        <v/>
      </c>
      <c r="V45" s="2" t="str">
        <f>IF($A45="","",INDEX(v_data!$B$2:$L$1000,MATCH($A45,v_data!$A$3:$A$1000,0)+1,MATCH(LOWER(V$1),v_data!$B$2:$L$2,0)))</f>
        <v/>
      </c>
      <c r="W45" s="2" t="str">
        <f t="shared" si="192"/>
        <v/>
      </c>
      <c r="X45" s="2" t="str">
        <f>IF($A45="","",INDEX(v_data!$B$2:$L$1000,MATCH($A45,v_data!$A$3:$A$1000,0)+1,MATCH(LOWER(X$1),v_data!$B$2:$L$2,0)))</f>
        <v/>
      </c>
      <c r="Y45" s="2" t="str">
        <f t="shared" si="193"/>
        <v/>
      </c>
      <c r="Z45" s="2" t="str">
        <f>IF($A45="","",INDEX(v_data!$B$2:$L$1000,MATCH($A45,v_data!$A$3:$A$1000,0)+1,MATCH(LOWER(Z$1),v_data!$B$2:$L$2,0)))</f>
        <v/>
      </c>
      <c r="AA45" s="2" t="str">
        <f t="shared" si="194"/>
        <v/>
      </c>
      <c r="AB45" s="2" t="str">
        <f t="shared" si="195"/>
        <v/>
      </c>
      <c r="AC45" s="2">
        <f>(SUM(G45,I45,K45,M45,O45,Q45,S45,U45,W45,Y45,AA45)+IF(AND(G45&gt;0,I45&gt;0,K45&gt;0),100,0))*VLOOKUP(B45,variables!$A$2:$B$6,2,FALSE)</f>
        <v>80</v>
      </c>
      <c r="AD45" s="16" t="str">
        <f>IF($A45="","",INDEX(v_data!$B$2:$X$1000,MATCH($A45,v_data!$A$3:$A$1000,0)+1,MATCH(LOWER("hours"),v_data!$B$2:$X$2,0)))</f>
        <v/>
      </c>
    </row>
    <row r="46" spans="1:30" hidden="1" x14ac:dyDescent="0.25">
      <c r="A46" s="2" t="str">
        <f>IF(ISBLANK(v_data!A45),"",v_data!A45)</f>
        <v/>
      </c>
      <c r="B46" s="2" t="s">
        <v>22</v>
      </c>
      <c r="C46" s="2">
        <f>VLOOKUP(B46,variables!$A$2:$B$6,2,FALSE)</f>
        <v>0.8</v>
      </c>
      <c r="D46" s="4">
        <v>43826</v>
      </c>
      <c r="E46" s="4">
        <v>43431</v>
      </c>
      <c r="F46" s="2" t="str">
        <f>IF($A46="","",INDEX(v_data!$B$2:$L$1000,MATCH($A46,v_data!$A$3:$A$1000,0)+1,MATCH(LOWER(F$1),v_data!$B$2:$L$2,0)))</f>
        <v/>
      </c>
      <c r="G46" s="2" t="str">
        <f t="shared" si="184"/>
        <v/>
      </c>
      <c r="H46" s="2" t="str">
        <f>IF($A46="","",INDEX(v_data!$B$2:$L$1000,MATCH($A46,v_data!$A$3:$A$1000,0)+1,MATCH(LOWER(H$1),v_data!$B$2:$L$2,0)))</f>
        <v/>
      </c>
      <c r="I46" s="2" t="str">
        <f t="shared" si="185"/>
        <v/>
      </c>
      <c r="J46" s="2" t="str">
        <f>IF($A46="","",INDEX(v_data!$B$2:$L$1000,MATCH($A46,v_data!$A$3:$A$1000,0)+1,MATCH(LOWER(J$1),v_data!$B$2:$L$2,0)))</f>
        <v/>
      </c>
      <c r="K46" s="2" t="str">
        <f t="shared" si="186"/>
        <v/>
      </c>
      <c r="L46" s="2" t="str">
        <f>IF($A46="","",INDEX(v_data!$B$2:$L$1000,MATCH($A46,v_data!$A$3:$A$1000,0)+1,MATCH(LOWER(L$1),v_data!$B$2:$L$2,0)))</f>
        <v/>
      </c>
      <c r="M46" s="2" t="str">
        <f t="shared" si="187"/>
        <v/>
      </c>
      <c r="N46" s="2" t="str">
        <f>IF($A46="","",INDEX(v_data!$B$2:$L$1000,MATCH($A46,v_data!$A$3:$A$1000,0)+1,MATCH(LOWER(N$1),v_data!$B$2:$L$2,0)))</f>
        <v/>
      </c>
      <c r="O46" s="2" t="str">
        <f t="shared" si="188"/>
        <v/>
      </c>
      <c r="P46" s="2" t="str">
        <f>IF($A46="","",INDEX(v_data!$B$2:$L$1000,MATCH($A46,v_data!$A$3:$A$1000,0)+1,MATCH(LOWER(P$1),v_data!$B$2:$L$2,0)))</f>
        <v/>
      </c>
      <c r="Q46" s="2" t="str">
        <f t="shared" si="189"/>
        <v/>
      </c>
      <c r="R46" s="2" t="str">
        <f>IF($A46="","",INDEX(v_data!$B$2:$L$1000,MATCH($A46,v_data!$A$3:$A$1000,0)+1,MATCH(LOWER(R$1),v_data!$B$2:$L$2,0)))</f>
        <v/>
      </c>
      <c r="S46" s="2" t="str">
        <f t="shared" si="190"/>
        <v/>
      </c>
      <c r="T46" s="2" t="str">
        <f>IF($A46="","",INDEX(v_data!$B$2:$L$1000,MATCH($A46,v_data!$A$3:$A$1000,0)+1,MATCH(LOWER(T$1),v_data!$B$2:$L$2,0)))</f>
        <v/>
      </c>
      <c r="U46" s="2" t="str">
        <f t="shared" si="191"/>
        <v/>
      </c>
      <c r="V46" s="2" t="str">
        <f>IF($A46="","",INDEX(v_data!$B$2:$L$1000,MATCH($A46,v_data!$A$3:$A$1000,0)+1,MATCH(LOWER(V$1),v_data!$B$2:$L$2,0)))</f>
        <v/>
      </c>
      <c r="W46" s="2" t="str">
        <f t="shared" si="192"/>
        <v/>
      </c>
      <c r="X46" s="2" t="str">
        <f>IF($A46="","",INDEX(v_data!$B$2:$L$1000,MATCH($A46,v_data!$A$3:$A$1000,0)+1,MATCH(LOWER(X$1),v_data!$B$2:$L$2,0)))</f>
        <v/>
      </c>
      <c r="Y46" s="2" t="str">
        <f t="shared" si="193"/>
        <v/>
      </c>
      <c r="Z46" s="2" t="str">
        <f>IF($A46="","",INDEX(v_data!$B$2:$L$1000,MATCH($A46,v_data!$A$3:$A$1000,0)+1,MATCH(LOWER(Z$1),v_data!$B$2:$L$2,0)))</f>
        <v/>
      </c>
      <c r="AA46" s="2" t="str">
        <f t="shared" si="194"/>
        <v/>
      </c>
      <c r="AB46" s="2" t="str">
        <f t="shared" si="195"/>
        <v/>
      </c>
      <c r="AC46" s="2">
        <f>(SUM(G46,I46,K46,M46,O46,Q46,S46,U46,W46,Y46,AA46)+IF(AND(G46&gt;0,I46&gt;0,K46&gt;0),100,0))*VLOOKUP(B46,variables!$A$2:$B$6,2,FALSE)</f>
        <v>80</v>
      </c>
      <c r="AD46" s="16" t="str">
        <f>IF($A46="","",INDEX(v_data!$B$2:$X$1000,MATCH($A46,v_data!$A$3:$A$1000,0)+1,MATCH(LOWER("hours"),v_data!$B$2:$X$2,0)))</f>
        <v/>
      </c>
    </row>
    <row r="47" spans="1:30" hidden="1" x14ac:dyDescent="0.25">
      <c r="A47" s="2" t="str">
        <f>IF(ISBLANK(v_data!A46),"",v_data!A46)</f>
        <v/>
      </c>
      <c r="B47" s="2" t="s">
        <v>22</v>
      </c>
      <c r="C47" s="2">
        <f>VLOOKUP(B47,variables!$A$2:$B$6,2,FALSE)</f>
        <v>0.8</v>
      </c>
      <c r="D47" s="4">
        <v>43826</v>
      </c>
      <c r="E47" s="4">
        <v>43431</v>
      </c>
      <c r="F47" s="2" t="str">
        <f>IF($A47="","",INDEX(v_data!$B$2:$L$1000,MATCH($A47,v_data!$A$3:$A$1000,0)+1,MATCH(LOWER(F$1),v_data!$B$2:$L$2,0)))</f>
        <v/>
      </c>
      <c r="G47" s="2" t="str">
        <f t="shared" si="184"/>
        <v/>
      </c>
      <c r="H47" s="2" t="str">
        <f>IF($A47="","",INDEX(v_data!$B$2:$L$1000,MATCH($A47,v_data!$A$3:$A$1000,0)+1,MATCH(LOWER(H$1),v_data!$B$2:$L$2,0)))</f>
        <v/>
      </c>
      <c r="I47" s="2" t="str">
        <f t="shared" si="185"/>
        <v/>
      </c>
      <c r="J47" s="2" t="str">
        <f>IF($A47="","",INDEX(v_data!$B$2:$L$1000,MATCH($A47,v_data!$A$3:$A$1000,0)+1,MATCH(LOWER(J$1),v_data!$B$2:$L$2,0)))</f>
        <v/>
      </c>
      <c r="K47" s="2" t="str">
        <f t="shared" si="186"/>
        <v/>
      </c>
      <c r="L47" s="2" t="str">
        <f>IF($A47="","",INDEX(v_data!$B$2:$L$1000,MATCH($A47,v_data!$A$3:$A$1000,0)+1,MATCH(LOWER(L$1),v_data!$B$2:$L$2,0)))</f>
        <v/>
      </c>
      <c r="M47" s="2" t="str">
        <f t="shared" si="187"/>
        <v/>
      </c>
      <c r="N47" s="2" t="str">
        <f>IF($A47="","",INDEX(v_data!$B$2:$L$1000,MATCH($A47,v_data!$A$3:$A$1000,0)+1,MATCH(LOWER(N$1),v_data!$B$2:$L$2,0)))</f>
        <v/>
      </c>
      <c r="O47" s="2" t="str">
        <f t="shared" si="188"/>
        <v/>
      </c>
      <c r="P47" s="2" t="str">
        <f>IF($A47="","",INDEX(v_data!$B$2:$L$1000,MATCH($A47,v_data!$A$3:$A$1000,0)+1,MATCH(LOWER(P$1),v_data!$B$2:$L$2,0)))</f>
        <v/>
      </c>
      <c r="Q47" s="2" t="str">
        <f t="shared" si="189"/>
        <v/>
      </c>
      <c r="R47" s="2" t="str">
        <f>IF($A47="","",INDEX(v_data!$B$2:$L$1000,MATCH($A47,v_data!$A$3:$A$1000,0)+1,MATCH(LOWER(R$1),v_data!$B$2:$L$2,0)))</f>
        <v/>
      </c>
      <c r="S47" s="2" t="str">
        <f t="shared" si="190"/>
        <v/>
      </c>
      <c r="T47" s="2" t="str">
        <f>IF($A47="","",INDEX(v_data!$B$2:$L$1000,MATCH($A47,v_data!$A$3:$A$1000,0)+1,MATCH(LOWER(T$1),v_data!$B$2:$L$2,0)))</f>
        <v/>
      </c>
      <c r="U47" s="2" t="str">
        <f t="shared" si="191"/>
        <v/>
      </c>
      <c r="V47" s="2" t="str">
        <f>IF($A47="","",INDEX(v_data!$B$2:$L$1000,MATCH($A47,v_data!$A$3:$A$1000,0)+1,MATCH(LOWER(V$1),v_data!$B$2:$L$2,0)))</f>
        <v/>
      </c>
      <c r="W47" s="2" t="str">
        <f t="shared" si="192"/>
        <v/>
      </c>
      <c r="X47" s="2" t="str">
        <f>IF($A47="","",INDEX(v_data!$B$2:$L$1000,MATCH($A47,v_data!$A$3:$A$1000,0)+1,MATCH(LOWER(X$1),v_data!$B$2:$L$2,0)))</f>
        <v/>
      </c>
      <c r="Y47" s="2" t="str">
        <f t="shared" si="193"/>
        <v/>
      </c>
      <c r="Z47" s="2" t="str">
        <f>IF($A47="","",INDEX(v_data!$B$2:$L$1000,MATCH($A47,v_data!$A$3:$A$1000,0)+1,MATCH(LOWER(Z$1),v_data!$B$2:$L$2,0)))</f>
        <v/>
      </c>
      <c r="AA47" s="2" t="str">
        <f t="shared" si="194"/>
        <v/>
      </c>
      <c r="AB47" s="2" t="str">
        <f t="shared" si="195"/>
        <v/>
      </c>
      <c r="AC47" s="2">
        <f>(SUM(G47,I47,K47,M47,O47,Q47,S47,U47,W47,Y47,AA47)+IF(AND(G47&gt;0,I47&gt;0,K47&gt;0),100,0))*VLOOKUP(B47,variables!$A$2:$B$6,2,FALSE)</f>
        <v>80</v>
      </c>
      <c r="AD47" s="16" t="str">
        <f>IF($A47="","",INDEX(v_data!$B$2:$X$1000,MATCH($A47,v_data!$A$3:$A$1000,0)+1,MATCH(LOWER("hours"),v_data!$B$2:$X$2,0)))</f>
        <v/>
      </c>
    </row>
    <row r="48" spans="1:30" hidden="1" x14ac:dyDescent="0.25">
      <c r="A48" s="2" t="str">
        <f>IF(ISBLANK(v_data!A47),"",v_data!A47)</f>
        <v/>
      </c>
      <c r="B48" s="2" t="s">
        <v>22</v>
      </c>
      <c r="C48" s="2">
        <f>VLOOKUP(B48,variables!$A$2:$B$6,2,FALSE)</f>
        <v>0.8</v>
      </c>
      <c r="D48" s="4">
        <v>43826</v>
      </c>
      <c r="E48" s="4">
        <v>43431</v>
      </c>
      <c r="F48" s="2" t="str">
        <f>IF($A48="","",INDEX(v_data!$B$2:$L$1000,MATCH($A48,v_data!$A$3:$A$1000,0)+1,MATCH(LOWER(F$1),v_data!$B$2:$L$2,0)))</f>
        <v/>
      </c>
      <c r="G48" s="2" t="str">
        <f t="shared" si="184"/>
        <v/>
      </c>
      <c r="H48" s="2" t="str">
        <f>IF($A48="","",INDEX(v_data!$B$2:$L$1000,MATCH($A48,v_data!$A$3:$A$1000,0)+1,MATCH(LOWER(H$1),v_data!$B$2:$L$2,0)))</f>
        <v/>
      </c>
      <c r="I48" s="2" t="str">
        <f t="shared" si="185"/>
        <v/>
      </c>
      <c r="J48" s="2" t="str">
        <f>IF($A48="","",INDEX(v_data!$B$2:$L$1000,MATCH($A48,v_data!$A$3:$A$1000,0)+1,MATCH(LOWER(J$1),v_data!$B$2:$L$2,0)))</f>
        <v/>
      </c>
      <c r="K48" s="2" t="str">
        <f t="shared" si="186"/>
        <v/>
      </c>
      <c r="L48" s="2" t="str">
        <f>IF($A48="","",INDEX(v_data!$B$2:$L$1000,MATCH($A48,v_data!$A$3:$A$1000,0)+1,MATCH(LOWER(L$1),v_data!$B$2:$L$2,0)))</f>
        <v/>
      </c>
      <c r="M48" s="2" t="str">
        <f t="shared" si="187"/>
        <v/>
      </c>
      <c r="N48" s="2" t="str">
        <f>IF($A48="","",INDEX(v_data!$B$2:$L$1000,MATCH($A48,v_data!$A$3:$A$1000,0)+1,MATCH(LOWER(N$1),v_data!$B$2:$L$2,0)))</f>
        <v/>
      </c>
      <c r="O48" s="2" t="str">
        <f t="shared" si="188"/>
        <v/>
      </c>
      <c r="P48" s="2" t="str">
        <f>IF($A48="","",INDEX(v_data!$B$2:$L$1000,MATCH($A48,v_data!$A$3:$A$1000,0)+1,MATCH(LOWER(P$1),v_data!$B$2:$L$2,0)))</f>
        <v/>
      </c>
      <c r="Q48" s="2" t="str">
        <f t="shared" si="189"/>
        <v/>
      </c>
      <c r="R48" s="2" t="str">
        <f>IF($A48="","",INDEX(v_data!$B$2:$L$1000,MATCH($A48,v_data!$A$3:$A$1000,0)+1,MATCH(LOWER(R$1),v_data!$B$2:$L$2,0)))</f>
        <v/>
      </c>
      <c r="S48" s="2" t="str">
        <f t="shared" si="190"/>
        <v/>
      </c>
      <c r="T48" s="2" t="str">
        <f>IF($A48="","",INDEX(v_data!$B$2:$L$1000,MATCH($A48,v_data!$A$3:$A$1000,0)+1,MATCH(LOWER(T$1),v_data!$B$2:$L$2,0)))</f>
        <v/>
      </c>
      <c r="U48" s="2" t="str">
        <f t="shared" si="191"/>
        <v/>
      </c>
      <c r="V48" s="2" t="str">
        <f>IF($A48="","",INDEX(v_data!$B$2:$L$1000,MATCH($A48,v_data!$A$3:$A$1000,0)+1,MATCH(LOWER(V$1),v_data!$B$2:$L$2,0)))</f>
        <v/>
      </c>
      <c r="W48" s="2" t="str">
        <f t="shared" si="192"/>
        <v/>
      </c>
      <c r="X48" s="2" t="str">
        <f>IF($A48="","",INDEX(v_data!$B$2:$L$1000,MATCH($A48,v_data!$A$3:$A$1000,0)+1,MATCH(LOWER(X$1),v_data!$B$2:$L$2,0)))</f>
        <v/>
      </c>
      <c r="Y48" s="2" t="str">
        <f t="shared" si="193"/>
        <v/>
      </c>
      <c r="Z48" s="2" t="str">
        <f>IF($A48="","",INDEX(v_data!$B$2:$L$1000,MATCH($A48,v_data!$A$3:$A$1000,0)+1,MATCH(LOWER(Z$1),v_data!$B$2:$L$2,0)))</f>
        <v/>
      </c>
      <c r="AA48" s="2" t="str">
        <f t="shared" si="194"/>
        <v/>
      </c>
      <c r="AB48" s="2" t="str">
        <f t="shared" si="195"/>
        <v/>
      </c>
      <c r="AC48" s="2">
        <f>(SUM(G48,I48,K48,M48,O48,Q48,S48,U48,W48,Y48,AA48)+IF(AND(G48&gt;0,I48&gt;0,K48&gt;0),100,0))*VLOOKUP(B48,variables!$A$2:$B$6,2,FALSE)</f>
        <v>80</v>
      </c>
      <c r="AD48" s="16" t="str">
        <f>IF($A48="","",INDEX(v_data!$B$2:$X$1000,MATCH($A48,v_data!$A$3:$A$1000,0)+1,MATCH(LOWER("hours"),v_data!$B$2:$X$2,0)))</f>
        <v/>
      </c>
    </row>
    <row r="49" spans="1:30" hidden="1" x14ac:dyDescent="0.25">
      <c r="A49" s="2" t="str">
        <f>IF(ISBLANK(v_data!A48),"",v_data!A48)</f>
        <v/>
      </c>
      <c r="B49" s="2" t="s">
        <v>22</v>
      </c>
      <c r="C49" s="2">
        <f>VLOOKUP(B49,variables!$A$2:$B$6,2,FALSE)</f>
        <v>0.8</v>
      </c>
      <c r="D49" s="4">
        <v>43826</v>
      </c>
      <c r="E49" s="4">
        <v>43431</v>
      </c>
      <c r="F49" s="2" t="str">
        <f>IF($A49="","",INDEX(v_data!$B$2:$L$1000,MATCH($A49,v_data!$A$3:$A$1000,0)+1,MATCH(LOWER(F$1),v_data!$B$2:$L$2,0)))</f>
        <v/>
      </c>
      <c r="G49" s="2" t="str">
        <f t="shared" si="184"/>
        <v/>
      </c>
      <c r="H49" s="2" t="str">
        <f>IF($A49="","",INDEX(v_data!$B$2:$L$1000,MATCH($A49,v_data!$A$3:$A$1000,0)+1,MATCH(LOWER(H$1),v_data!$B$2:$L$2,0)))</f>
        <v/>
      </c>
      <c r="I49" s="2" t="str">
        <f t="shared" si="185"/>
        <v/>
      </c>
      <c r="J49" s="2" t="str">
        <f>IF($A49="","",INDEX(v_data!$B$2:$L$1000,MATCH($A49,v_data!$A$3:$A$1000,0)+1,MATCH(LOWER(J$1),v_data!$B$2:$L$2,0)))</f>
        <v/>
      </c>
      <c r="K49" s="2" t="str">
        <f t="shared" si="186"/>
        <v/>
      </c>
      <c r="L49" s="2" t="str">
        <f>IF($A49="","",INDEX(v_data!$B$2:$L$1000,MATCH($A49,v_data!$A$3:$A$1000,0)+1,MATCH(LOWER(L$1),v_data!$B$2:$L$2,0)))</f>
        <v/>
      </c>
      <c r="M49" s="2" t="str">
        <f t="shared" si="187"/>
        <v/>
      </c>
      <c r="N49" s="2" t="str">
        <f>IF($A49="","",INDEX(v_data!$B$2:$L$1000,MATCH($A49,v_data!$A$3:$A$1000,0)+1,MATCH(LOWER(N$1),v_data!$B$2:$L$2,0)))</f>
        <v/>
      </c>
      <c r="O49" s="2" t="str">
        <f t="shared" si="188"/>
        <v/>
      </c>
      <c r="P49" s="2" t="str">
        <f>IF($A49="","",INDEX(v_data!$B$2:$L$1000,MATCH($A49,v_data!$A$3:$A$1000,0)+1,MATCH(LOWER(P$1),v_data!$B$2:$L$2,0)))</f>
        <v/>
      </c>
      <c r="Q49" s="2" t="str">
        <f t="shared" si="189"/>
        <v/>
      </c>
      <c r="R49" s="2" t="str">
        <f>IF($A49="","",INDEX(v_data!$B$2:$L$1000,MATCH($A49,v_data!$A$3:$A$1000,0)+1,MATCH(LOWER(R$1),v_data!$B$2:$L$2,0)))</f>
        <v/>
      </c>
      <c r="S49" s="2" t="str">
        <f t="shared" si="190"/>
        <v/>
      </c>
      <c r="T49" s="2" t="str">
        <f>IF($A49="","",INDEX(v_data!$B$2:$L$1000,MATCH($A49,v_data!$A$3:$A$1000,0)+1,MATCH(LOWER(T$1),v_data!$B$2:$L$2,0)))</f>
        <v/>
      </c>
      <c r="U49" s="2" t="str">
        <f t="shared" si="191"/>
        <v/>
      </c>
      <c r="V49" s="2" t="str">
        <f>IF($A49="","",INDEX(v_data!$B$2:$L$1000,MATCH($A49,v_data!$A$3:$A$1000,0)+1,MATCH(LOWER(V$1),v_data!$B$2:$L$2,0)))</f>
        <v/>
      </c>
      <c r="W49" s="2" t="str">
        <f t="shared" si="192"/>
        <v/>
      </c>
      <c r="X49" s="2" t="str">
        <f>IF($A49="","",INDEX(v_data!$B$2:$L$1000,MATCH($A49,v_data!$A$3:$A$1000,0)+1,MATCH(LOWER(X$1),v_data!$B$2:$L$2,0)))</f>
        <v/>
      </c>
      <c r="Y49" s="2" t="str">
        <f t="shared" si="193"/>
        <v/>
      </c>
      <c r="Z49" s="2" t="str">
        <f>IF($A49="","",INDEX(v_data!$B$2:$L$1000,MATCH($A49,v_data!$A$3:$A$1000,0)+1,MATCH(LOWER(Z$1),v_data!$B$2:$L$2,0)))</f>
        <v/>
      </c>
      <c r="AA49" s="2" t="str">
        <f t="shared" si="194"/>
        <v/>
      </c>
      <c r="AB49" s="2" t="str">
        <f t="shared" si="195"/>
        <v/>
      </c>
      <c r="AC49" s="2">
        <f>(SUM(G49,I49,K49,M49,O49,Q49,S49,U49,W49,Y49,AA49)+IF(AND(G49&gt;0,I49&gt;0,K49&gt;0),100,0))*VLOOKUP(B49,variables!$A$2:$B$6,2,FALSE)</f>
        <v>80</v>
      </c>
      <c r="AD49" s="16" t="str">
        <f>IF($A49="","",INDEX(v_data!$B$2:$X$1000,MATCH($A49,v_data!$A$3:$A$1000,0)+1,MATCH(LOWER("hours"),v_data!$B$2:$X$2,0)))</f>
        <v/>
      </c>
    </row>
    <row r="50" spans="1:30" hidden="1" x14ac:dyDescent="0.25">
      <c r="A50" s="2" t="str">
        <f>IF(ISBLANK(v_data!A49),"",v_data!A49)</f>
        <v/>
      </c>
      <c r="B50" s="2" t="s">
        <v>22</v>
      </c>
      <c r="C50" s="2">
        <f>VLOOKUP(B50,variables!$A$2:$B$6,2,FALSE)</f>
        <v>0.8</v>
      </c>
      <c r="D50" s="4">
        <v>43826</v>
      </c>
      <c r="E50" s="4">
        <v>43431</v>
      </c>
      <c r="F50" s="2" t="str">
        <f>IF($A50="","",INDEX(v_data!$B$2:$L$1000,MATCH($A50,v_data!$A$3:$A$1000,0)+1,MATCH(LOWER(F$1),v_data!$B$2:$L$2,0)))</f>
        <v/>
      </c>
      <c r="G50" s="2" t="str">
        <f t="shared" si="184"/>
        <v/>
      </c>
      <c r="H50" s="2" t="str">
        <f>IF($A50="","",INDEX(v_data!$B$2:$L$1000,MATCH($A50,v_data!$A$3:$A$1000,0)+1,MATCH(LOWER(H$1),v_data!$B$2:$L$2,0)))</f>
        <v/>
      </c>
      <c r="I50" s="2" t="str">
        <f t="shared" si="185"/>
        <v/>
      </c>
      <c r="J50" s="2" t="str">
        <f>IF($A50="","",INDEX(v_data!$B$2:$L$1000,MATCH($A50,v_data!$A$3:$A$1000,0)+1,MATCH(LOWER(J$1),v_data!$B$2:$L$2,0)))</f>
        <v/>
      </c>
      <c r="K50" s="2" t="str">
        <f t="shared" si="186"/>
        <v/>
      </c>
      <c r="L50" s="2" t="str">
        <f>IF($A50="","",INDEX(v_data!$B$2:$L$1000,MATCH($A50,v_data!$A$3:$A$1000,0)+1,MATCH(LOWER(L$1),v_data!$B$2:$L$2,0)))</f>
        <v/>
      </c>
      <c r="M50" s="2" t="str">
        <f t="shared" si="187"/>
        <v/>
      </c>
      <c r="N50" s="2" t="str">
        <f>IF($A50="","",INDEX(v_data!$B$2:$L$1000,MATCH($A50,v_data!$A$3:$A$1000,0)+1,MATCH(LOWER(N$1),v_data!$B$2:$L$2,0)))</f>
        <v/>
      </c>
      <c r="O50" s="2" t="str">
        <f t="shared" si="188"/>
        <v/>
      </c>
      <c r="P50" s="2" t="str">
        <f>IF($A50="","",INDEX(v_data!$B$2:$L$1000,MATCH($A50,v_data!$A$3:$A$1000,0)+1,MATCH(LOWER(P$1),v_data!$B$2:$L$2,0)))</f>
        <v/>
      </c>
      <c r="Q50" s="2" t="str">
        <f t="shared" si="189"/>
        <v/>
      </c>
      <c r="R50" s="2" t="str">
        <f>IF($A50="","",INDEX(v_data!$B$2:$L$1000,MATCH($A50,v_data!$A$3:$A$1000,0)+1,MATCH(LOWER(R$1),v_data!$B$2:$L$2,0)))</f>
        <v/>
      </c>
      <c r="S50" s="2" t="str">
        <f t="shared" si="190"/>
        <v/>
      </c>
      <c r="T50" s="2" t="str">
        <f>IF($A50="","",INDEX(v_data!$B$2:$L$1000,MATCH($A50,v_data!$A$3:$A$1000,0)+1,MATCH(LOWER(T$1),v_data!$B$2:$L$2,0)))</f>
        <v/>
      </c>
      <c r="U50" s="2" t="str">
        <f t="shared" si="191"/>
        <v/>
      </c>
      <c r="V50" s="2" t="str">
        <f>IF($A50="","",INDEX(v_data!$B$2:$L$1000,MATCH($A50,v_data!$A$3:$A$1000,0)+1,MATCH(LOWER(V$1),v_data!$B$2:$L$2,0)))</f>
        <v/>
      </c>
      <c r="W50" s="2" t="str">
        <f t="shared" si="192"/>
        <v/>
      </c>
      <c r="X50" s="2" t="str">
        <f>IF($A50="","",INDEX(v_data!$B$2:$L$1000,MATCH($A50,v_data!$A$3:$A$1000,0)+1,MATCH(LOWER(X$1),v_data!$B$2:$L$2,0)))</f>
        <v/>
      </c>
      <c r="Y50" s="2" t="str">
        <f t="shared" si="193"/>
        <v/>
      </c>
      <c r="Z50" s="2" t="str">
        <f>IF($A50="","",INDEX(v_data!$B$2:$L$1000,MATCH($A50,v_data!$A$3:$A$1000,0)+1,MATCH(LOWER(Z$1),v_data!$B$2:$L$2,0)))</f>
        <v/>
      </c>
      <c r="AA50" s="2" t="str">
        <f t="shared" si="194"/>
        <v/>
      </c>
      <c r="AB50" s="2" t="str">
        <f t="shared" si="195"/>
        <v/>
      </c>
      <c r="AC50" s="2">
        <f>(SUM(G50,I50,K50,M50,O50,Q50,S50,U50,W50,Y50,AA50)+IF(AND(G50&gt;0,I50&gt;0,K50&gt;0),100,0))*VLOOKUP(B50,variables!$A$2:$B$6,2,FALSE)</f>
        <v>80</v>
      </c>
      <c r="AD50" s="16" t="str">
        <f>IF($A50="","",INDEX(v_data!$B$2:$X$1000,MATCH($A50,v_data!$A$3:$A$1000,0)+1,MATCH(LOWER("hours"),v_data!$B$2:$X$2,0)))</f>
        <v/>
      </c>
    </row>
    <row r="51" spans="1:30" hidden="1" x14ac:dyDescent="0.25">
      <c r="A51" s="2" t="str">
        <f>IF(ISBLANK(v_data!A50),"",v_data!A50)</f>
        <v/>
      </c>
      <c r="B51" s="2" t="s">
        <v>22</v>
      </c>
      <c r="C51" s="2">
        <f>VLOOKUP(B51,variables!$A$2:$B$6,2,FALSE)</f>
        <v>0.8</v>
      </c>
      <c r="D51" s="4">
        <v>43826</v>
      </c>
      <c r="E51" s="4">
        <v>43431</v>
      </c>
      <c r="F51" s="2" t="str">
        <f>IF($A51="","",INDEX(v_data!$B$2:$L$1000,MATCH($A51,v_data!$A$3:$A$1000,0)+1,MATCH(LOWER(F$1),v_data!$B$2:$L$2,0)))</f>
        <v/>
      </c>
      <c r="G51" s="2" t="str">
        <f t="shared" si="184"/>
        <v/>
      </c>
      <c r="H51" s="2" t="str">
        <f>IF($A51="","",INDEX(v_data!$B$2:$L$1000,MATCH($A51,v_data!$A$3:$A$1000,0)+1,MATCH(LOWER(H$1),v_data!$B$2:$L$2,0)))</f>
        <v/>
      </c>
      <c r="I51" s="2" t="str">
        <f t="shared" si="185"/>
        <v/>
      </c>
      <c r="J51" s="2" t="str">
        <f>IF($A51="","",INDEX(v_data!$B$2:$L$1000,MATCH($A51,v_data!$A$3:$A$1000,0)+1,MATCH(LOWER(J$1),v_data!$B$2:$L$2,0)))</f>
        <v/>
      </c>
      <c r="K51" s="2" t="str">
        <f t="shared" si="186"/>
        <v/>
      </c>
      <c r="L51" s="2" t="str">
        <f>IF($A51="","",INDEX(v_data!$B$2:$L$1000,MATCH($A51,v_data!$A$3:$A$1000,0)+1,MATCH(LOWER(L$1),v_data!$B$2:$L$2,0)))</f>
        <v/>
      </c>
      <c r="M51" s="2" t="str">
        <f t="shared" si="187"/>
        <v/>
      </c>
      <c r="N51" s="2" t="str">
        <f>IF($A51="","",INDEX(v_data!$B$2:$L$1000,MATCH($A51,v_data!$A$3:$A$1000,0)+1,MATCH(LOWER(N$1),v_data!$B$2:$L$2,0)))</f>
        <v/>
      </c>
      <c r="O51" s="2" t="str">
        <f t="shared" si="188"/>
        <v/>
      </c>
      <c r="P51" s="2" t="str">
        <f>IF($A51="","",INDEX(v_data!$B$2:$L$1000,MATCH($A51,v_data!$A$3:$A$1000,0)+1,MATCH(LOWER(P$1),v_data!$B$2:$L$2,0)))</f>
        <v/>
      </c>
      <c r="Q51" s="2" t="str">
        <f t="shared" si="189"/>
        <v/>
      </c>
      <c r="R51" s="2" t="str">
        <f>IF($A51="","",INDEX(v_data!$B$2:$L$1000,MATCH($A51,v_data!$A$3:$A$1000,0)+1,MATCH(LOWER(R$1),v_data!$B$2:$L$2,0)))</f>
        <v/>
      </c>
      <c r="S51" s="2" t="str">
        <f t="shared" si="190"/>
        <v/>
      </c>
      <c r="T51" s="2" t="str">
        <f>IF($A51="","",INDEX(v_data!$B$2:$L$1000,MATCH($A51,v_data!$A$3:$A$1000,0)+1,MATCH(LOWER(T$1),v_data!$B$2:$L$2,0)))</f>
        <v/>
      </c>
      <c r="U51" s="2" t="str">
        <f t="shared" si="191"/>
        <v/>
      </c>
      <c r="V51" s="2" t="str">
        <f>IF($A51="","",INDEX(v_data!$B$2:$L$1000,MATCH($A51,v_data!$A$3:$A$1000,0)+1,MATCH(LOWER(V$1),v_data!$B$2:$L$2,0)))</f>
        <v/>
      </c>
      <c r="W51" s="2" t="str">
        <f t="shared" si="192"/>
        <v/>
      </c>
      <c r="X51" s="2" t="str">
        <f>IF($A51="","",INDEX(v_data!$B$2:$L$1000,MATCH($A51,v_data!$A$3:$A$1000,0)+1,MATCH(LOWER(X$1),v_data!$B$2:$L$2,0)))</f>
        <v/>
      </c>
      <c r="Y51" s="2" t="str">
        <f t="shared" si="193"/>
        <v/>
      </c>
      <c r="Z51" s="2" t="str">
        <f>IF($A51="","",INDEX(v_data!$B$2:$L$1000,MATCH($A51,v_data!$A$3:$A$1000,0)+1,MATCH(LOWER(Z$1),v_data!$B$2:$L$2,0)))</f>
        <v/>
      </c>
      <c r="AA51" s="2" t="str">
        <f t="shared" si="194"/>
        <v/>
      </c>
      <c r="AB51" s="2" t="str">
        <f t="shared" si="195"/>
        <v/>
      </c>
      <c r="AC51" s="2">
        <f>(SUM(G51,I51,K51,M51,O51,Q51,S51,U51,W51,Y51,AA51)+IF(AND(G51&gt;0,I51&gt;0,K51&gt;0),100,0))*VLOOKUP(B51,variables!$A$2:$B$6,2,FALSE)</f>
        <v>80</v>
      </c>
      <c r="AD51" s="16" t="str">
        <f>IF($A51="","",INDEX(v_data!$B$2:$X$1000,MATCH($A51,v_data!$A$3:$A$1000,0)+1,MATCH(LOWER("hours"),v_data!$B$2:$X$2,0)))</f>
        <v/>
      </c>
    </row>
    <row r="52" spans="1:30" hidden="1" x14ac:dyDescent="0.25">
      <c r="A52" s="2" t="str">
        <f>IF(ISBLANK(v_data!A51),"",v_data!A51)</f>
        <v/>
      </c>
      <c r="B52" s="2" t="s">
        <v>22</v>
      </c>
      <c r="C52" s="2">
        <f>VLOOKUP(B52,variables!$A$2:$B$6,2,FALSE)</f>
        <v>0.8</v>
      </c>
      <c r="D52" s="4">
        <v>43826</v>
      </c>
      <c r="E52" s="4">
        <v>43431</v>
      </c>
      <c r="F52" s="2" t="str">
        <f>IF($A52="","",INDEX(v_data!$B$2:$L$1000,MATCH($A52,v_data!$A$3:$A$1000,0)+1,MATCH(LOWER(F$1),v_data!$B$2:$L$2,0)))</f>
        <v/>
      </c>
      <c r="G52" s="2" t="str">
        <f t="shared" si="184"/>
        <v/>
      </c>
      <c r="H52" s="2" t="str">
        <f>IF($A52="","",INDEX(v_data!$B$2:$L$1000,MATCH($A52,v_data!$A$3:$A$1000,0)+1,MATCH(LOWER(H$1),v_data!$B$2:$L$2,0)))</f>
        <v/>
      </c>
      <c r="I52" s="2" t="str">
        <f t="shared" si="185"/>
        <v/>
      </c>
      <c r="J52" s="2" t="str">
        <f>IF($A52="","",INDEX(v_data!$B$2:$L$1000,MATCH($A52,v_data!$A$3:$A$1000,0)+1,MATCH(LOWER(J$1),v_data!$B$2:$L$2,0)))</f>
        <v/>
      </c>
      <c r="K52" s="2" t="str">
        <f t="shared" si="186"/>
        <v/>
      </c>
      <c r="L52" s="2" t="str">
        <f>IF($A52="","",INDEX(v_data!$B$2:$L$1000,MATCH($A52,v_data!$A$3:$A$1000,0)+1,MATCH(LOWER(L$1),v_data!$B$2:$L$2,0)))</f>
        <v/>
      </c>
      <c r="M52" s="2" t="str">
        <f t="shared" si="187"/>
        <v/>
      </c>
      <c r="N52" s="2" t="str">
        <f>IF($A52="","",INDEX(v_data!$B$2:$L$1000,MATCH($A52,v_data!$A$3:$A$1000,0)+1,MATCH(LOWER(N$1),v_data!$B$2:$L$2,0)))</f>
        <v/>
      </c>
      <c r="O52" s="2" t="str">
        <f t="shared" si="188"/>
        <v/>
      </c>
      <c r="P52" s="2" t="str">
        <f>IF($A52="","",INDEX(v_data!$B$2:$L$1000,MATCH($A52,v_data!$A$3:$A$1000,0)+1,MATCH(LOWER(P$1),v_data!$B$2:$L$2,0)))</f>
        <v/>
      </c>
      <c r="Q52" s="2" t="str">
        <f t="shared" si="189"/>
        <v/>
      </c>
      <c r="R52" s="2" t="str">
        <f>IF($A52="","",INDEX(v_data!$B$2:$L$1000,MATCH($A52,v_data!$A$3:$A$1000,0)+1,MATCH(LOWER(R$1),v_data!$B$2:$L$2,0)))</f>
        <v/>
      </c>
      <c r="S52" s="2" t="str">
        <f t="shared" si="190"/>
        <v/>
      </c>
      <c r="T52" s="2" t="str">
        <f>IF($A52="","",INDEX(v_data!$B$2:$L$1000,MATCH($A52,v_data!$A$3:$A$1000,0)+1,MATCH(LOWER(T$1),v_data!$B$2:$L$2,0)))</f>
        <v/>
      </c>
      <c r="U52" s="2" t="str">
        <f t="shared" si="191"/>
        <v/>
      </c>
      <c r="V52" s="2" t="str">
        <f>IF($A52="","",INDEX(v_data!$B$2:$L$1000,MATCH($A52,v_data!$A$3:$A$1000,0)+1,MATCH(LOWER(V$1),v_data!$B$2:$L$2,0)))</f>
        <v/>
      </c>
      <c r="W52" s="2" t="str">
        <f t="shared" si="192"/>
        <v/>
      </c>
      <c r="X52" s="2" t="str">
        <f>IF($A52="","",INDEX(v_data!$B$2:$L$1000,MATCH($A52,v_data!$A$3:$A$1000,0)+1,MATCH(LOWER(X$1),v_data!$B$2:$L$2,0)))</f>
        <v/>
      </c>
      <c r="Y52" s="2" t="str">
        <f t="shared" si="193"/>
        <v/>
      </c>
      <c r="Z52" s="2" t="str">
        <f>IF($A52="","",INDEX(v_data!$B$2:$L$1000,MATCH($A52,v_data!$A$3:$A$1000,0)+1,MATCH(LOWER(Z$1),v_data!$B$2:$L$2,0)))</f>
        <v/>
      </c>
      <c r="AA52" s="2" t="str">
        <f t="shared" si="194"/>
        <v/>
      </c>
      <c r="AB52" s="2" t="str">
        <f t="shared" si="195"/>
        <v/>
      </c>
      <c r="AC52" s="2">
        <f>(SUM(G52,I52,K52,M52,O52,Q52,S52,U52,W52,Y52,AA52)+IF(AND(G52&gt;0,I52&gt;0,K52&gt;0),100,0))*VLOOKUP(B52,variables!$A$2:$B$6,2,FALSE)</f>
        <v>80</v>
      </c>
      <c r="AD52" s="16" t="str">
        <f>IF($A52="","",INDEX(v_data!$B$2:$X$1000,MATCH($A52,v_data!$A$3:$A$1000,0)+1,MATCH(LOWER("hours"),v_data!$B$2:$X$2,0)))</f>
        <v/>
      </c>
    </row>
    <row r="53" spans="1:30" hidden="1" x14ac:dyDescent="0.25">
      <c r="A53" s="2" t="str">
        <f>IF(ISBLANK(v_data!A52),"",v_data!A52)</f>
        <v/>
      </c>
      <c r="B53" s="2" t="s">
        <v>22</v>
      </c>
      <c r="C53" s="2">
        <f>VLOOKUP(B53,variables!$A$2:$B$6,2,FALSE)</f>
        <v>0.8</v>
      </c>
      <c r="D53" s="4">
        <v>43826</v>
      </c>
      <c r="E53" s="4">
        <v>43431</v>
      </c>
      <c r="F53" s="2" t="str">
        <f>IF($A53="","",INDEX(v_data!$B$2:$L$1000,MATCH($A53,v_data!$A$3:$A$1000,0)+1,MATCH(LOWER(F$1),v_data!$B$2:$L$2,0)))</f>
        <v/>
      </c>
      <c r="G53" s="2" t="str">
        <f t="shared" si="184"/>
        <v/>
      </c>
      <c r="H53" s="2" t="str">
        <f>IF($A53="","",INDEX(v_data!$B$2:$L$1000,MATCH($A53,v_data!$A$3:$A$1000,0)+1,MATCH(LOWER(H$1),v_data!$B$2:$L$2,0)))</f>
        <v/>
      </c>
      <c r="I53" s="2" t="str">
        <f t="shared" si="185"/>
        <v/>
      </c>
      <c r="J53" s="2" t="str">
        <f>IF($A53="","",INDEX(v_data!$B$2:$L$1000,MATCH($A53,v_data!$A$3:$A$1000,0)+1,MATCH(LOWER(J$1),v_data!$B$2:$L$2,0)))</f>
        <v/>
      </c>
      <c r="K53" s="2" t="str">
        <f t="shared" si="186"/>
        <v/>
      </c>
      <c r="L53" s="2" t="str">
        <f>IF($A53="","",INDEX(v_data!$B$2:$L$1000,MATCH($A53,v_data!$A$3:$A$1000,0)+1,MATCH(LOWER(L$1),v_data!$B$2:$L$2,0)))</f>
        <v/>
      </c>
      <c r="M53" s="2" t="str">
        <f t="shared" si="187"/>
        <v/>
      </c>
      <c r="N53" s="2" t="str">
        <f>IF($A53="","",INDEX(v_data!$B$2:$L$1000,MATCH($A53,v_data!$A$3:$A$1000,0)+1,MATCH(LOWER(N$1),v_data!$B$2:$L$2,0)))</f>
        <v/>
      </c>
      <c r="O53" s="2" t="str">
        <f t="shared" si="188"/>
        <v/>
      </c>
      <c r="P53" s="2" t="str">
        <f>IF($A53="","",INDEX(v_data!$B$2:$L$1000,MATCH($A53,v_data!$A$3:$A$1000,0)+1,MATCH(LOWER(P$1),v_data!$B$2:$L$2,0)))</f>
        <v/>
      </c>
      <c r="Q53" s="2" t="str">
        <f t="shared" si="189"/>
        <v/>
      </c>
      <c r="R53" s="2" t="str">
        <f>IF($A53="","",INDEX(v_data!$B$2:$L$1000,MATCH($A53,v_data!$A$3:$A$1000,0)+1,MATCH(LOWER(R$1),v_data!$B$2:$L$2,0)))</f>
        <v/>
      </c>
      <c r="S53" s="2" t="str">
        <f t="shared" si="190"/>
        <v/>
      </c>
      <c r="T53" s="2" t="str">
        <f>IF($A53="","",INDEX(v_data!$B$2:$L$1000,MATCH($A53,v_data!$A$3:$A$1000,0)+1,MATCH(LOWER(T$1),v_data!$B$2:$L$2,0)))</f>
        <v/>
      </c>
      <c r="U53" s="2" t="str">
        <f t="shared" si="191"/>
        <v/>
      </c>
      <c r="V53" s="2" t="str">
        <f>IF($A53="","",INDEX(v_data!$B$2:$L$1000,MATCH($A53,v_data!$A$3:$A$1000,0)+1,MATCH(LOWER(V$1),v_data!$B$2:$L$2,0)))</f>
        <v/>
      </c>
      <c r="W53" s="2" t="str">
        <f t="shared" si="192"/>
        <v/>
      </c>
      <c r="X53" s="2" t="str">
        <f>IF($A53="","",INDEX(v_data!$B$2:$L$1000,MATCH($A53,v_data!$A$3:$A$1000,0)+1,MATCH(LOWER(X$1),v_data!$B$2:$L$2,0)))</f>
        <v/>
      </c>
      <c r="Y53" s="2" t="str">
        <f t="shared" si="193"/>
        <v/>
      </c>
      <c r="Z53" s="2" t="str">
        <f>IF($A53="","",INDEX(v_data!$B$2:$L$1000,MATCH($A53,v_data!$A$3:$A$1000,0)+1,MATCH(LOWER(Z$1),v_data!$B$2:$L$2,0)))</f>
        <v/>
      </c>
      <c r="AA53" s="2" t="str">
        <f t="shared" si="194"/>
        <v/>
      </c>
      <c r="AB53" s="2" t="str">
        <f t="shared" si="195"/>
        <v/>
      </c>
      <c r="AC53" s="2">
        <f>(SUM(G53,I53,K53,M53,O53,Q53,S53,U53,W53,Y53,AA53)+IF(AND(G53&gt;0,I53&gt;0,K53&gt;0),100,0))*VLOOKUP(B53,variables!$A$2:$B$6,2,FALSE)</f>
        <v>80</v>
      </c>
      <c r="AD53" s="16" t="str">
        <f>IF($A53="","",INDEX(v_data!$B$2:$X$1000,MATCH($A53,v_data!$A$3:$A$1000,0)+1,MATCH(LOWER("hours"),v_data!$B$2:$X$2,0)))</f>
        <v/>
      </c>
    </row>
    <row r="54" spans="1:30" hidden="1" x14ac:dyDescent="0.25">
      <c r="A54" s="2" t="str">
        <f>IF(ISBLANK(v_data!A53),"",v_data!A53)</f>
        <v/>
      </c>
      <c r="B54" s="2" t="s">
        <v>22</v>
      </c>
      <c r="C54" s="2">
        <f>VLOOKUP(B54,variables!$A$2:$B$6,2,FALSE)</f>
        <v>0.8</v>
      </c>
      <c r="D54" s="4">
        <v>43826</v>
      </c>
      <c r="E54" s="4">
        <v>43431</v>
      </c>
      <c r="F54" s="2" t="str">
        <f>IF($A54="","",INDEX(v_data!$B$2:$L$1000,MATCH($A54,v_data!$A$3:$A$1000,0)+1,MATCH(LOWER(F$1),v_data!$B$2:$L$2,0)))</f>
        <v/>
      </c>
      <c r="G54" s="2" t="str">
        <f t="shared" si="184"/>
        <v/>
      </c>
      <c r="H54" s="2" t="str">
        <f>IF($A54="","",INDEX(v_data!$B$2:$L$1000,MATCH($A54,v_data!$A$3:$A$1000,0)+1,MATCH(LOWER(H$1),v_data!$B$2:$L$2,0)))</f>
        <v/>
      </c>
      <c r="I54" s="2" t="str">
        <f t="shared" si="185"/>
        <v/>
      </c>
      <c r="J54" s="2" t="str">
        <f>IF($A54="","",INDEX(v_data!$B$2:$L$1000,MATCH($A54,v_data!$A$3:$A$1000,0)+1,MATCH(LOWER(J$1),v_data!$B$2:$L$2,0)))</f>
        <v/>
      </c>
      <c r="K54" s="2" t="str">
        <f t="shared" si="186"/>
        <v/>
      </c>
      <c r="L54" s="2" t="str">
        <f>IF($A54="","",INDEX(v_data!$B$2:$L$1000,MATCH($A54,v_data!$A$3:$A$1000,0)+1,MATCH(LOWER(L$1),v_data!$B$2:$L$2,0)))</f>
        <v/>
      </c>
      <c r="M54" s="2" t="str">
        <f t="shared" si="187"/>
        <v/>
      </c>
      <c r="N54" s="2" t="str">
        <f>IF($A54="","",INDEX(v_data!$B$2:$L$1000,MATCH($A54,v_data!$A$3:$A$1000,0)+1,MATCH(LOWER(N$1),v_data!$B$2:$L$2,0)))</f>
        <v/>
      </c>
      <c r="O54" s="2" t="str">
        <f t="shared" si="188"/>
        <v/>
      </c>
      <c r="P54" s="2" t="str">
        <f>IF($A54="","",INDEX(v_data!$B$2:$L$1000,MATCH($A54,v_data!$A$3:$A$1000,0)+1,MATCH(LOWER(P$1),v_data!$B$2:$L$2,0)))</f>
        <v/>
      </c>
      <c r="Q54" s="2" t="str">
        <f t="shared" si="189"/>
        <v/>
      </c>
      <c r="R54" s="2" t="str">
        <f>IF($A54="","",INDEX(v_data!$B$2:$L$1000,MATCH($A54,v_data!$A$3:$A$1000,0)+1,MATCH(LOWER(R$1),v_data!$B$2:$L$2,0)))</f>
        <v/>
      </c>
      <c r="S54" s="2" t="str">
        <f t="shared" si="190"/>
        <v/>
      </c>
      <c r="T54" s="2" t="str">
        <f>IF($A54="","",INDEX(v_data!$B$2:$L$1000,MATCH($A54,v_data!$A$3:$A$1000,0)+1,MATCH(LOWER(T$1),v_data!$B$2:$L$2,0)))</f>
        <v/>
      </c>
      <c r="U54" s="2" t="str">
        <f t="shared" si="191"/>
        <v/>
      </c>
      <c r="V54" s="2" t="str">
        <f>IF($A54="","",INDEX(v_data!$B$2:$L$1000,MATCH($A54,v_data!$A$3:$A$1000,0)+1,MATCH(LOWER(V$1),v_data!$B$2:$L$2,0)))</f>
        <v/>
      </c>
      <c r="W54" s="2" t="str">
        <f t="shared" si="192"/>
        <v/>
      </c>
      <c r="X54" s="2" t="str">
        <f>IF($A54="","",INDEX(v_data!$B$2:$L$1000,MATCH($A54,v_data!$A$3:$A$1000,0)+1,MATCH(LOWER(X$1),v_data!$B$2:$L$2,0)))</f>
        <v/>
      </c>
      <c r="Y54" s="2" t="str">
        <f t="shared" si="193"/>
        <v/>
      </c>
      <c r="Z54" s="2" t="str">
        <f>IF($A54="","",INDEX(v_data!$B$2:$L$1000,MATCH($A54,v_data!$A$3:$A$1000,0)+1,MATCH(LOWER(Z$1),v_data!$B$2:$L$2,0)))</f>
        <v/>
      </c>
      <c r="AA54" s="2" t="str">
        <f t="shared" si="194"/>
        <v/>
      </c>
      <c r="AB54" s="2" t="str">
        <f t="shared" si="195"/>
        <v/>
      </c>
      <c r="AC54" s="2">
        <f>(SUM(G54,I54,K54,M54,O54,Q54,S54,U54,W54,Y54,AA54)+IF(AND(G54&gt;0,I54&gt;0,K54&gt;0),100,0))*VLOOKUP(B54,variables!$A$2:$B$6,2,FALSE)</f>
        <v>80</v>
      </c>
      <c r="AD54" s="16" t="str">
        <f>IF($A54="","",INDEX(v_data!$B$2:$X$1000,MATCH($A54,v_data!$A$3:$A$1000,0)+1,MATCH(LOWER("hours"),v_data!$B$2:$X$2,0)))</f>
        <v/>
      </c>
    </row>
    <row r="55" spans="1:30" hidden="1" x14ac:dyDescent="0.25">
      <c r="A55" s="2" t="str">
        <f>IF(ISBLANK(v_data!A54),"",v_data!A54)</f>
        <v/>
      </c>
      <c r="B55" s="2" t="s">
        <v>22</v>
      </c>
      <c r="C55" s="2">
        <f>VLOOKUP(B55,variables!$A$2:$B$6,2,FALSE)</f>
        <v>0.8</v>
      </c>
      <c r="D55" s="4">
        <v>43826</v>
      </c>
      <c r="E55" s="4">
        <v>43431</v>
      </c>
      <c r="F55" s="2" t="str">
        <f>IF($A55="","",INDEX(v_data!$B$2:$L$1000,MATCH($A55,v_data!$A$3:$A$1000,0)+1,MATCH(LOWER(F$1),v_data!$B$2:$L$2,0)))</f>
        <v/>
      </c>
      <c r="G55" s="2" t="str">
        <f t="shared" si="184"/>
        <v/>
      </c>
      <c r="H55" s="2" t="str">
        <f>IF($A55="","",INDEX(v_data!$B$2:$L$1000,MATCH($A55,v_data!$A$3:$A$1000,0)+1,MATCH(LOWER(H$1),v_data!$B$2:$L$2,0)))</f>
        <v/>
      </c>
      <c r="I55" s="2" t="str">
        <f t="shared" si="185"/>
        <v/>
      </c>
      <c r="J55" s="2" t="str">
        <f>IF($A55="","",INDEX(v_data!$B$2:$L$1000,MATCH($A55,v_data!$A$3:$A$1000,0)+1,MATCH(LOWER(J$1),v_data!$B$2:$L$2,0)))</f>
        <v/>
      </c>
      <c r="K55" s="2" t="str">
        <f t="shared" si="186"/>
        <v/>
      </c>
      <c r="L55" s="2" t="str">
        <f>IF($A55="","",INDEX(v_data!$B$2:$L$1000,MATCH($A55,v_data!$A$3:$A$1000,0)+1,MATCH(LOWER(L$1),v_data!$B$2:$L$2,0)))</f>
        <v/>
      </c>
      <c r="M55" s="2" t="str">
        <f t="shared" si="187"/>
        <v/>
      </c>
      <c r="N55" s="2" t="str">
        <f>IF($A55="","",INDEX(v_data!$B$2:$L$1000,MATCH($A55,v_data!$A$3:$A$1000,0)+1,MATCH(LOWER(N$1),v_data!$B$2:$L$2,0)))</f>
        <v/>
      </c>
      <c r="O55" s="2" t="str">
        <f t="shared" si="188"/>
        <v/>
      </c>
      <c r="P55" s="2" t="str">
        <f>IF($A55="","",INDEX(v_data!$B$2:$L$1000,MATCH($A55,v_data!$A$3:$A$1000,0)+1,MATCH(LOWER(P$1),v_data!$B$2:$L$2,0)))</f>
        <v/>
      </c>
      <c r="Q55" s="2" t="str">
        <f t="shared" si="189"/>
        <v/>
      </c>
      <c r="R55" s="2" t="str">
        <f>IF($A55="","",INDEX(v_data!$B$2:$L$1000,MATCH($A55,v_data!$A$3:$A$1000,0)+1,MATCH(LOWER(R$1),v_data!$B$2:$L$2,0)))</f>
        <v/>
      </c>
      <c r="S55" s="2" t="str">
        <f t="shared" si="190"/>
        <v/>
      </c>
      <c r="T55" s="2" t="str">
        <f>IF($A55="","",INDEX(v_data!$B$2:$L$1000,MATCH($A55,v_data!$A$3:$A$1000,0)+1,MATCH(LOWER(T$1),v_data!$B$2:$L$2,0)))</f>
        <v/>
      </c>
      <c r="U55" s="2" t="str">
        <f t="shared" si="191"/>
        <v/>
      </c>
      <c r="V55" s="2" t="str">
        <f>IF($A55="","",INDEX(v_data!$B$2:$L$1000,MATCH($A55,v_data!$A$3:$A$1000,0)+1,MATCH(LOWER(V$1),v_data!$B$2:$L$2,0)))</f>
        <v/>
      </c>
      <c r="W55" s="2" t="str">
        <f t="shared" si="192"/>
        <v/>
      </c>
      <c r="X55" s="2" t="str">
        <f>IF($A55="","",INDEX(v_data!$B$2:$L$1000,MATCH($A55,v_data!$A$3:$A$1000,0)+1,MATCH(LOWER(X$1),v_data!$B$2:$L$2,0)))</f>
        <v/>
      </c>
      <c r="Y55" s="2" t="str">
        <f t="shared" si="193"/>
        <v/>
      </c>
      <c r="Z55" s="2" t="str">
        <f>IF($A55="","",INDEX(v_data!$B$2:$L$1000,MATCH($A55,v_data!$A$3:$A$1000,0)+1,MATCH(LOWER(Z$1),v_data!$B$2:$L$2,0)))</f>
        <v/>
      </c>
      <c r="AA55" s="2" t="str">
        <f t="shared" si="194"/>
        <v/>
      </c>
      <c r="AB55" s="2" t="str">
        <f t="shared" si="195"/>
        <v/>
      </c>
      <c r="AC55" s="2">
        <f>(SUM(G55,I55,K55,M55,O55,Q55,S55,U55,W55,Y55,AA55)+IF(AND(G55&gt;0,I55&gt;0,K55&gt;0),100,0))*VLOOKUP(B55,variables!$A$2:$B$6,2,FALSE)</f>
        <v>80</v>
      </c>
      <c r="AD55" s="16" t="str">
        <f>IF($A55="","",INDEX(v_data!$B$2:$X$1000,MATCH($A55,v_data!$A$3:$A$1000,0)+1,MATCH(LOWER("hours"),v_data!$B$2:$X$2,0)))</f>
        <v/>
      </c>
    </row>
    <row r="56" spans="1:30" hidden="1" x14ac:dyDescent="0.25">
      <c r="A56" s="2" t="str">
        <f>IF(ISBLANK(v_data!A55),"",v_data!A55)</f>
        <v/>
      </c>
      <c r="B56" s="2" t="s">
        <v>22</v>
      </c>
      <c r="C56" s="2">
        <f>VLOOKUP(B56,variables!$A$2:$B$6,2,FALSE)</f>
        <v>0.8</v>
      </c>
      <c r="D56" s="4">
        <v>43826</v>
      </c>
      <c r="E56" s="4">
        <v>43431</v>
      </c>
      <c r="F56" s="2" t="str">
        <f>IF($A56="","",INDEX(v_data!$B$2:$L$1000,MATCH($A56,v_data!$A$3:$A$1000,0)+1,MATCH(LOWER(F$1),v_data!$B$2:$L$2,0)))</f>
        <v/>
      </c>
      <c r="G56" s="2" t="str">
        <f t="shared" si="184"/>
        <v/>
      </c>
      <c r="H56" s="2" t="str">
        <f>IF($A56="","",INDEX(v_data!$B$2:$L$1000,MATCH($A56,v_data!$A$3:$A$1000,0)+1,MATCH(LOWER(H$1),v_data!$B$2:$L$2,0)))</f>
        <v/>
      </c>
      <c r="I56" s="2" t="str">
        <f t="shared" si="185"/>
        <v/>
      </c>
      <c r="J56" s="2" t="str">
        <f>IF($A56="","",INDEX(v_data!$B$2:$L$1000,MATCH($A56,v_data!$A$3:$A$1000,0)+1,MATCH(LOWER(J$1),v_data!$B$2:$L$2,0)))</f>
        <v/>
      </c>
      <c r="K56" s="2" t="str">
        <f t="shared" si="186"/>
        <v/>
      </c>
      <c r="L56" s="2" t="str">
        <f>IF($A56="","",INDEX(v_data!$B$2:$L$1000,MATCH($A56,v_data!$A$3:$A$1000,0)+1,MATCH(LOWER(L$1),v_data!$B$2:$L$2,0)))</f>
        <v/>
      </c>
      <c r="M56" s="2" t="str">
        <f t="shared" si="187"/>
        <v/>
      </c>
      <c r="N56" s="2" t="str">
        <f>IF($A56="","",INDEX(v_data!$B$2:$L$1000,MATCH($A56,v_data!$A$3:$A$1000,0)+1,MATCH(LOWER(N$1),v_data!$B$2:$L$2,0)))</f>
        <v/>
      </c>
      <c r="O56" s="2" t="str">
        <f t="shared" si="188"/>
        <v/>
      </c>
      <c r="P56" s="2" t="str">
        <f>IF($A56="","",INDEX(v_data!$B$2:$L$1000,MATCH($A56,v_data!$A$3:$A$1000,0)+1,MATCH(LOWER(P$1),v_data!$B$2:$L$2,0)))</f>
        <v/>
      </c>
      <c r="Q56" s="2" t="str">
        <f t="shared" si="189"/>
        <v/>
      </c>
      <c r="R56" s="2" t="str">
        <f>IF($A56="","",INDEX(v_data!$B$2:$L$1000,MATCH($A56,v_data!$A$3:$A$1000,0)+1,MATCH(LOWER(R$1),v_data!$B$2:$L$2,0)))</f>
        <v/>
      </c>
      <c r="S56" s="2" t="str">
        <f t="shared" si="190"/>
        <v/>
      </c>
      <c r="T56" s="2" t="str">
        <f>IF($A56="","",INDEX(v_data!$B$2:$L$1000,MATCH($A56,v_data!$A$3:$A$1000,0)+1,MATCH(LOWER(T$1),v_data!$B$2:$L$2,0)))</f>
        <v/>
      </c>
      <c r="U56" s="2" t="str">
        <f t="shared" si="191"/>
        <v/>
      </c>
      <c r="V56" s="2" t="str">
        <f>IF($A56="","",INDEX(v_data!$B$2:$L$1000,MATCH($A56,v_data!$A$3:$A$1000,0)+1,MATCH(LOWER(V$1),v_data!$B$2:$L$2,0)))</f>
        <v/>
      </c>
      <c r="W56" s="2" t="str">
        <f t="shared" si="192"/>
        <v/>
      </c>
      <c r="X56" s="2" t="str">
        <f>IF($A56="","",INDEX(v_data!$B$2:$L$1000,MATCH($A56,v_data!$A$3:$A$1000,0)+1,MATCH(LOWER(X$1),v_data!$B$2:$L$2,0)))</f>
        <v/>
      </c>
      <c r="Y56" s="2" t="str">
        <f t="shared" si="193"/>
        <v/>
      </c>
      <c r="Z56" s="2" t="str">
        <f>IF($A56="","",INDEX(v_data!$B$2:$L$1000,MATCH($A56,v_data!$A$3:$A$1000,0)+1,MATCH(LOWER(Z$1),v_data!$B$2:$L$2,0)))</f>
        <v/>
      </c>
      <c r="AA56" s="2" t="str">
        <f t="shared" si="194"/>
        <v/>
      </c>
      <c r="AB56" s="2" t="str">
        <f t="shared" si="195"/>
        <v/>
      </c>
      <c r="AC56" s="2">
        <f>(SUM(G56,I56,K56,M56,O56,Q56,S56,U56,W56,Y56,AA56)+IF(AND(G56&gt;0,I56&gt;0,K56&gt;0),100,0))*VLOOKUP(B56,variables!$A$2:$B$6,2,FALSE)</f>
        <v>80</v>
      </c>
      <c r="AD56" s="16" t="str">
        <f>IF($A56="","",INDEX(v_data!$B$2:$X$1000,MATCH($A56,v_data!$A$3:$A$1000,0)+1,MATCH(LOWER("hours"),v_data!$B$2:$X$2,0)))</f>
        <v/>
      </c>
    </row>
    <row r="57" spans="1:30" hidden="1" x14ac:dyDescent="0.25">
      <c r="A57" s="2" t="str">
        <f>IF(ISBLANK(v_data!A56),"",v_data!A56)</f>
        <v/>
      </c>
      <c r="B57" s="2" t="s">
        <v>22</v>
      </c>
      <c r="C57" s="2">
        <f>VLOOKUP(B57,variables!$A$2:$B$6,2,FALSE)</f>
        <v>0.8</v>
      </c>
      <c r="D57" s="4">
        <v>43826</v>
      </c>
      <c r="E57" s="4">
        <v>43431</v>
      </c>
      <c r="F57" s="2" t="str">
        <f>IF($A57="","",INDEX(v_data!$B$2:$L$1000,MATCH($A57,v_data!$A$3:$A$1000,0)+1,MATCH(LOWER(F$1),v_data!$B$2:$L$2,0)))</f>
        <v/>
      </c>
      <c r="G57" s="2" t="str">
        <f t="shared" si="184"/>
        <v/>
      </c>
      <c r="H57" s="2" t="str">
        <f>IF($A57="","",INDEX(v_data!$B$2:$L$1000,MATCH($A57,v_data!$A$3:$A$1000,0)+1,MATCH(LOWER(H$1),v_data!$B$2:$L$2,0)))</f>
        <v/>
      </c>
      <c r="I57" s="2" t="str">
        <f t="shared" si="185"/>
        <v/>
      </c>
      <c r="J57" s="2" t="str">
        <f>IF($A57="","",INDEX(v_data!$B$2:$L$1000,MATCH($A57,v_data!$A$3:$A$1000,0)+1,MATCH(LOWER(J$1),v_data!$B$2:$L$2,0)))</f>
        <v/>
      </c>
      <c r="K57" s="2" t="str">
        <f t="shared" si="186"/>
        <v/>
      </c>
      <c r="L57" s="2" t="str">
        <f>IF($A57="","",INDEX(v_data!$B$2:$L$1000,MATCH($A57,v_data!$A$3:$A$1000,0)+1,MATCH(LOWER(L$1),v_data!$B$2:$L$2,0)))</f>
        <v/>
      </c>
      <c r="M57" s="2" t="str">
        <f t="shared" si="187"/>
        <v/>
      </c>
      <c r="N57" s="2" t="str">
        <f>IF($A57="","",INDEX(v_data!$B$2:$L$1000,MATCH($A57,v_data!$A$3:$A$1000,0)+1,MATCH(LOWER(N$1),v_data!$B$2:$L$2,0)))</f>
        <v/>
      </c>
      <c r="O57" s="2" t="str">
        <f t="shared" si="188"/>
        <v/>
      </c>
      <c r="P57" s="2" t="str">
        <f>IF($A57="","",INDEX(v_data!$B$2:$L$1000,MATCH($A57,v_data!$A$3:$A$1000,0)+1,MATCH(LOWER(P$1),v_data!$B$2:$L$2,0)))</f>
        <v/>
      </c>
      <c r="Q57" s="2" t="str">
        <f t="shared" si="189"/>
        <v/>
      </c>
      <c r="R57" s="2" t="str">
        <f>IF($A57="","",INDEX(v_data!$B$2:$L$1000,MATCH($A57,v_data!$A$3:$A$1000,0)+1,MATCH(LOWER(R$1),v_data!$B$2:$L$2,0)))</f>
        <v/>
      </c>
      <c r="S57" s="2" t="str">
        <f t="shared" si="190"/>
        <v/>
      </c>
      <c r="T57" s="2" t="str">
        <f>IF($A57="","",INDEX(v_data!$B$2:$L$1000,MATCH($A57,v_data!$A$3:$A$1000,0)+1,MATCH(LOWER(T$1),v_data!$B$2:$L$2,0)))</f>
        <v/>
      </c>
      <c r="U57" s="2" t="str">
        <f t="shared" si="191"/>
        <v/>
      </c>
      <c r="V57" s="2" t="str">
        <f>IF($A57="","",INDEX(v_data!$B$2:$L$1000,MATCH($A57,v_data!$A$3:$A$1000,0)+1,MATCH(LOWER(V$1),v_data!$B$2:$L$2,0)))</f>
        <v/>
      </c>
      <c r="W57" s="2" t="str">
        <f t="shared" si="192"/>
        <v/>
      </c>
      <c r="X57" s="2" t="str">
        <f>IF($A57="","",INDEX(v_data!$B$2:$L$1000,MATCH($A57,v_data!$A$3:$A$1000,0)+1,MATCH(LOWER(X$1),v_data!$B$2:$L$2,0)))</f>
        <v/>
      </c>
      <c r="Y57" s="2" t="str">
        <f t="shared" si="193"/>
        <v/>
      </c>
      <c r="Z57" s="2" t="str">
        <f>IF($A57="","",INDEX(v_data!$B$2:$L$1000,MATCH($A57,v_data!$A$3:$A$1000,0)+1,MATCH(LOWER(Z$1),v_data!$B$2:$L$2,0)))</f>
        <v/>
      </c>
      <c r="AA57" s="2" t="str">
        <f t="shared" si="194"/>
        <v/>
      </c>
      <c r="AB57" s="2" t="str">
        <f t="shared" si="195"/>
        <v/>
      </c>
      <c r="AC57" s="2">
        <f>(SUM(G57,I57,K57,M57,O57,Q57,S57,U57,W57,Y57,AA57)+IF(AND(G57&gt;0,I57&gt;0,K57&gt;0),100,0))*VLOOKUP(B57,variables!$A$2:$B$6,2,FALSE)</f>
        <v>80</v>
      </c>
      <c r="AD57" s="16" t="str">
        <f>IF($A57="","",INDEX(v_data!$B$2:$X$1000,MATCH($A57,v_data!$A$3:$A$1000,0)+1,MATCH(LOWER("hours"),v_data!$B$2:$X$2,0)))</f>
        <v/>
      </c>
    </row>
    <row r="58" spans="1:30" hidden="1" x14ac:dyDescent="0.25">
      <c r="A58" s="2" t="str">
        <f>IF(ISBLANK(v_data!A57),"",v_data!A57)</f>
        <v/>
      </c>
      <c r="B58" s="2" t="s">
        <v>22</v>
      </c>
      <c r="C58" s="2">
        <f>VLOOKUP(B58,variables!$A$2:$B$6,2,FALSE)</f>
        <v>0.8</v>
      </c>
      <c r="D58" s="4">
        <v>43826</v>
      </c>
      <c r="E58" s="4">
        <v>43431</v>
      </c>
      <c r="F58" s="2" t="str">
        <f>IF($A58="","",INDEX(v_data!$B$2:$L$1000,MATCH($A58,v_data!$A$3:$A$1000,0)+1,MATCH(LOWER(F$1),v_data!$B$2:$L$2,0)))</f>
        <v/>
      </c>
      <c r="G58" s="2" t="str">
        <f t="shared" si="184"/>
        <v/>
      </c>
      <c r="H58" s="2" t="str">
        <f>IF($A58="","",INDEX(v_data!$B$2:$L$1000,MATCH($A58,v_data!$A$3:$A$1000,0)+1,MATCH(LOWER(H$1),v_data!$B$2:$L$2,0)))</f>
        <v/>
      </c>
      <c r="I58" s="2" t="str">
        <f t="shared" si="185"/>
        <v/>
      </c>
      <c r="J58" s="2" t="str">
        <f>IF($A58="","",INDEX(v_data!$B$2:$L$1000,MATCH($A58,v_data!$A$3:$A$1000,0)+1,MATCH(LOWER(J$1),v_data!$B$2:$L$2,0)))</f>
        <v/>
      </c>
      <c r="K58" s="2" t="str">
        <f t="shared" si="186"/>
        <v/>
      </c>
      <c r="L58" s="2" t="str">
        <f>IF($A58="","",INDEX(v_data!$B$2:$L$1000,MATCH($A58,v_data!$A$3:$A$1000,0)+1,MATCH(LOWER(L$1),v_data!$B$2:$L$2,0)))</f>
        <v/>
      </c>
      <c r="M58" s="2" t="str">
        <f t="shared" si="187"/>
        <v/>
      </c>
      <c r="N58" s="2" t="str">
        <f>IF($A58="","",INDEX(v_data!$B$2:$L$1000,MATCH($A58,v_data!$A$3:$A$1000,0)+1,MATCH(LOWER(N$1),v_data!$B$2:$L$2,0)))</f>
        <v/>
      </c>
      <c r="O58" s="2" t="str">
        <f t="shared" si="188"/>
        <v/>
      </c>
      <c r="P58" s="2" t="str">
        <f>IF($A58="","",INDEX(v_data!$B$2:$L$1000,MATCH($A58,v_data!$A$3:$A$1000,0)+1,MATCH(LOWER(P$1),v_data!$B$2:$L$2,0)))</f>
        <v/>
      </c>
      <c r="Q58" s="2" t="str">
        <f t="shared" si="189"/>
        <v/>
      </c>
      <c r="R58" s="2" t="str">
        <f>IF($A58="","",INDEX(v_data!$B$2:$L$1000,MATCH($A58,v_data!$A$3:$A$1000,0)+1,MATCH(LOWER(R$1),v_data!$B$2:$L$2,0)))</f>
        <v/>
      </c>
      <c r="S58" s="2" t="str">
        <f t="shared" si="190"/>
        <v/>
      </c>
      <c r="T58" s="2" t="str">
        <f>IF($A58="","",INDEX(v_data!$B$2:$L$1000,MATCH($A58,v_data!$A$3:$A$1000,0)+1,MATCH(LOWER(T$1),v_data!$B$2:$L$2,0)))</f>
        <v/>
      </c>
      <c r="U58" s="2" t="str">
        <f t="shared" si="191"/>
        <v/>
      </c>
      <c r="V58" s="2" t="str">
        <f>IF($A58="","",INDEX(v_data!$B$2:$L$1000,MATCH($A58,v_data!$A$3:$A$1000,0)+1,MATCH(LOWER(V$1),v_data!$B$2:$L$2,0)))</f>
        <v/>
      </c>
      <c r="W58" s="2" t="str">
        <f t="shared" si="192"/>
        <v/>
      </c>
      <c r="X58" s="2" t="str">
        <f>IF($A58="","",INDEX(v_data!$B$2:$L$1000,MATCH($A58,v_data!$A$3:$A$1000,0)+1,MATCH(LOWER(X$1),v_data!$B$2:$L$2,0)))</f>
        <v/>
      </c>
      <c r="Y58" s="2" t="str">
        <f t="shared" si="193"/>
        <v/>
      </c>
      <c r="Z58" s="2" t="str">
        <f>IF($A58="","",INDEX(v_data!$B$2:$L$1000,MATCH($A58,v_data!$A$3:$A$1000,0)+1,MATCH(LOWER(Z$1),v_data!$B$2:$L$2,0)))</f>
        <v/>
      </c>
      <c r="AA58" s="2" t="str">
        <f t="shared" si="194"/>
        <v/>
      </c>
      <c r="AB58" s="2" t="str">
        <f t="shared" si="195"/>
        <v/>
      </c>
      <c r="AC58" s="2">
        <f>(SUM(G58,I58,K58,M58,O58,Q58,S58,U58,W58,Y58,AA58)+IF(AND(G58&gt;0,I58&gt;0,K58&gt;0),100,0))*VLOOKUP(B58,variables!$A$2:$B$6,2,FALSE)</f>
        <v>80</v>
      </c>
      <c r="AD58" s="16" t="str">
        <f>IF($A58="","",INDEX(v_data!$B$2:$X$1000,MATCH($A58,v_data!$A$3:$A$1000,0)+1,MATCH(LOWER("hours"),v_data!$B$2:$X$2,0)))</f>
        <v/>
      </c>
    </row>
    <row r="59" spans="1:30" hidden="1" x14ac:dyDescent="0.25">
      <c r="A59" s="2" t="str">
        <f>IF(ISBLANK(v_data!A58),"",v_data!A58)</f>
        <v/>
      </c>
      <c r="B59" s="2" t="s">
        <v>22</v>
      </c>
      <c r="C59" s="2">
        <f>VLOOKUP(B59,variables!$A$2:$B$6,2,FALSE)</f>
        <v>0.8</v>
      </c>
      <c r="D59" s="4">
        <v>43826</v>
      </c>
      <c r="E59" s="4">
        <v>43431</v>
      </c>
      <c r="F59" s="2" t="str">
        <f>IF($A59="","",INDEX(v_data!$B$2:$L$1000,MATCH($A59,v_data!$A$3:$A$1000,0)+1,MATCH(LOWER(F$1),v_data!$B$2:$L$2,0)))</f>
        <v/>
      </c>
      <c r="G59" s="2" t="str">
        <f t="shared" si="184"/>
        <v/>
      </c>
      <c r="H59" s="2" t="str">
        <f>IF($A59="","",INDEX(v_data!$B$2:$L$1000,MATCH($A59,v_data!$A$3:$A$1000,0)+1,MATCH(LOWER(H$1),v_data!$B$2:$L$2,0)))</f>
        <v/>
      </c>
      <c r="I59" s="2" t="str">
        <f t="shared" si="185"/>
        <v/>
      </c>
      <c r="J59" s="2" t="str">
        <f>IF($A59="","",INDEX(v_data!$B$2:$L$1000,MATCH($A59,v_data!$A$3:$A$1000,0)+1,MATCH(LOWER(J$1),v_data!$B$2:$L$2,0)))</f>
        <v/>
      </c>
      <c r="K59" s="2" t="str">
        <f t="shared" si="186"/>
        <v/>
      </c>
      <c r="L59" s="2" t="str">
        <f>IF($A59="","",INDEX(v_data!$B$2:$L$1000,MATCH($A59,v_data!$A$3:$A$1000,0)+1,MATCH(LOWER(L$1),v_data!$B$2:$L$2,0)))</f>
        <v/>
      </c>
      <c r="M59" s="2" t="str">
        <f t="shared" si="187"/>
        <v/>
      </c>
      <c r="N59" s="2" t="str">
        <f>IF($A59="","",INDEX(v_data!$B$2:$L$1000,MATCH($A59,v_data!$A$3:$A$1000,0)+1,MATCH(LOWER(N$1),v_data!$B$2:$L$2,0)))</f>
        <v/>
      </c>
      <c r="O59" s="2" t="str">
        <f t="shared" si="188"/>
        <v/>
      </c>
      <c r="P59" s="2" t="str">
        <f>IF($A59="","",INDEX(v_data!$B$2:$L$1000,MATCH($A59,v_data!$A$3:$A$1000,0)+1,MATCH(LOWER(P$1),v_data!$B$2:$L$2,0)))</f>
        <v/>
      </c>
      <c r="Q59" s="2" t="str">
        <f t="shared" si="189"/>
        <v/>
      </c>
      <c r="R59" s="2" t="str">
        <f>IF($A59="","",INDEX(v_data!$B$2:$L$1000,MATCH($A59,v_data!$A$3:$A$1000,0)+1,MATCH(LOWER(R$1),v_data!$B$2:$L$2,0)))</f>
        <v/>
      </c>
      <c r="S59" s="2" t="str">
        <f t="shared" si="190"/>
        <v/>
      </c>
      <c r="T59" s="2" t="str">
        <f>IF($A59="","",INDEX(v_data!$B$2:$L$1000,MATCH($A59,v_data!$A$3:$A$1000,0)+1,MATCH(LOWER(T$1),v_data!$B$2:$L$2,0)))</f>
        <v/>
      </c>
      <c r="U59" s="2" t="str">
        <f t="shared" si="191"/>
        <v/>
      </c>
      <c r="V59" s="2" t="str">
        <f>IF($A59="","",INDEX(v_data!$B$2:$L$1000,MATCH($A59,v_data!$A$3:$A$1000,0)+1,MATCH(LOWER(V$1),v_data!$B$2:$L$2,0)))</f>
        <v/>
      </c>
      <c r="W59" s="2" t="str">
        <f t="shared" si="192"/>
        <v/>
      </c>
      <c r="X59" s="2" t="str">
        <f>IF($A59="","",INDEX(v_data!$B$2:$L$1000,MATCH($A59,v_data!$A$3:$A$1000,0)+1,MATCH(LOWER(X$1),v_data!$B$2:$L$2,0)))</f>
        <v/>
      </c>
      <c r="Y59" s="2" t="str">
        <f t="shared" si="193"/>
        <v/>
      </c>
      <c r="Z59" s="2" t="str">
        <f>IF($A59="","",INDEX(v_data!$B$2:$L$1000,MATCH($A59,v_data!$A$3:$A$1000,0)+1,MATCH(LOWER(Z$1),v_data!$B$2:$L$2,0)))</f>
        <v/>
      </c>
      <c r="AA59" s="2" t="str">
        <f t="shared" si="194"/>
        <v/>
      </c>
      <c r="AB59" s="2" t="str">
        <f t="shared" si="195"/>
        <v/>
      </c>
      <c r="AC59" s="2">
        <f>(SUM(G59,I59,K59,M59,O59,Q59,S59,U59,W59,Y59,AA59)+IF(AND(G59&gt;0,I59&gt;0,K59&gt;0),100,0))*VLOOKUP(B59,variables!$A$2:$B$6,2,FALSE)</f>
        <v>80</v>
      </c>
      <c r="AD59" s="16" t="str">
        <f>IF($A59="","",INDEX(v_data!$B$2:$X$1000,MATCH($A59,v_data!$A$3:$A$1000,0)+1,MATCH(LOWER("hours"),v_data!$B$2:$X$2,0)))</f>
        <v/>
      </c>
    </row>
    <row r="60" spans="1:30" hidden="1" x14ac:dyDescent="0.25">
      <c r="A60" s="2" t="str">
        <f>IF(ISBLANK(v_data!A59),"",v_data!A59)</f>
        <v/>
      </c>
      <c r="B60" s="2" t="s">
        <v>22</v>
      </c>
      <c r="C60" s="2">
        <f>VLOOKUP(B60,variables!$A$2:$B$6,2,FALSE)</f>
        <v>0.8</v>
      </c>
      <c r="D60" s="4">
        <v>43826</v>
      </c>
      <c r="E60" s="4">
        <v>43431</v>
      </c>
      <c r="F60" s="2" t="str">
        <f>IF($A60="","",INDEX(v_data!$B$2:$L$1000,MATCH($A60,v_data!$A$3:$A$1000,0)+1,MATCH(LOWER(F$1),v_data!$B$2:$L$2,0)))</f>
        <v/>
      </c>
      <c r="G60" s="2" t="str">
        <f t="shared" si="184"/>
        <v/>
      </c>
      <c r="H60" s="2" t="str">
        <f>IF($A60="","",INDEX(v_data!$B$2:$L$1000,MATCH($A60,v_data!$A$3:$A$1000,0)+1,MATCH(LOWER(H$1),v_data!$B$2:$L$2,0)))</f>
        <v/>
      </c>
      <c r="I60" s="2" t="str">
        <f t="shared" si="185"/>
        <v/>
      </c>
      <c r="J60" s="2" t="str">
        <f>IF($A60="","",INDEX(v_data!$B$2:$L$1000,MATCH($A60,v_data!$A$3:$A$1000,0)+1,MATCH(LOWER(J$1),v_data!$B$2:$L$2,0)))</f>
        <v/>
      </c>
      <c r="K60" s="2" t="str">
        <f t="shared" si="186"/>
        <v/>
      </c>
      <c r="L60" s="2" t="str">
        <f>IF($A60="","",INDEX(v_data!$B$2:$L$1000,MATCH($A60,v_data!$A$3:$A$1000,0)+1,MATCH(LOWER(L$1),v_data!$B$2:$L$2,0)))</f>
        <v/>
      </c>
      <c r="M60" s="2" t="str">
        <f t="shared" si="187"/>
        <v/>
      </c>
      <c r="N60" s="2" t="str">
        <f>IF($A60="","",INDEX(v_data!$B$2:$L$1000,MATCH($A60,v_data!$A$3:$A$1000,0)+1,MATCH(LOWER(N$1),v_data!$B$2:$L$2,0)))</f>
        <v/>
      </c>
      <c r="O60" s="2" t="str">
        <f t="shared" si="188"/>
        <v/>
      </c>
      <c r="P60" s="2" t="str">
        <f>IF($A60="","",INDEX(v_data!$B$2:$L$1000,MATCH($A60,v_data!$A$3:$A$1000,0)+1,MATCH(LOWER(P$1),v_data!$B$2:$L$2,0)))</f>
        <v/>
      </c>
      <c r="Q60" s="2" t="str">
        <f t="shared" si="189"/>
        <v/>
      </c>
      <c r="R60" s="2" t="str">
        <f>IF($A60="","",INDEX(v_data!$B$2:$L$1000,MATCH($A60,v_data!$A$3:$A$1000,0)+1,MATCH(LOWER(R$1),v_data!$B$2:$L$2,0)))</f>
        <v/>
      </c>
      <c r="S60" s="2" t="str">
        <f t="shared" si="190"/>
        <v/>
      </c>
      <c r="T60" s="2" t="str">
        <f>IF($A60="","",INDEX(v_data!$B$2:$L$1000,MATCH($A60,v_data!$A$3:$A$1000,0)+1,MATCH(LOWER(T$1),v_data!$B$2:$L$2,0)))</f>
        <v/>
      </c>
      <c r="U60" s="2" t="str">
        <f t="shared" si="191"/>
        <v/>
      </c>
      <c r="V60" s="2" t="str">
        <f>IF($A60="","",INDEX(v_data!$B$2:$L$1000,MATCH($A60,v_data!$A$3:$A$1000,0)+1,MATCH(LOWER(V$1),v_data!$B$2:$L$2,0)))</f>
        <v/>
      </c>
      <c r="W60" s="2" t="str">
        <f t="shared" si="192"/>
        <v/>
      </c>
      <c r="X60" s="2" t="str">
        <f>IF($A60="","",INDEX(v_data!$B$2:$L$1000,MATCH($A60,v_data!$A$3:$A$1000,0)+1,MATCH(LOWER(X$1),v_data!$B$2:$L$2,0)))</f>
        <v/>
      </c>
      <c r="Y60" s="2" t="str">
        <f t="shared" si="193"/>
        <v/>
      </c>
      <c r="Z60" s="2" t="str">
        <f>IF($A60="","",INDEX(v_data!$B$2:$L$1000,MATCH($A60,v_data!$A$3:$A$1000,0)+1,MATCH(LOWER(Z$1),v_data!$B$2:$L$2,0)))</f>
        <v/>
      </c>
      <c r="AA60" s="2" t="str">
        <f t="shared" si="194"/>
        <v/>
      </c>
      <c r="AB60" s="2" t="str">
        <f t="shared" si="195"/>
        <v/>
      </c>
      <c r="AC60" s="2">
        <f>(SUM(G60,I60,K60,M60,O60,Q60,S60,U60,W60,Y60,AA60)+IF(AND(G60&gt;0,I60&gt;0,K60&gt;0),100,0))*VLOOKUP(B60,variables!$A$2:$B$6,2,FALSE)</f>
        <v>80</v>
      </c>
      <c r="AD60" s="16" t="str">
        <f>IF($A60="","",INDEX(v_data!$B$2:$X$1000,MATCH($A60,v_data!$A$3:$A$1000,0)+1,MATCH(LOWER("hours"),v_data!$B$2:$X$2,0)))</f>
        <v/>
      </c>
    </row>
    <row r="61" spans="1:30" hidden="1" x14ac:dyDescent="0.25">
      <c r="A61" s="2" t="str">
        <f>IF(ISBLANK(v_data!A60),"",v_data!A60)</f>
        <v/>
      </c>
      <c r="B61" s="2" t="s">
        <v>22</v>
      </c>
      <c r="C61" s="2">
        <f>VLOOKUP(B61,variables!$A$2:$B$6,2,FALSE)</f>
        <v>0.8</v>
      </c>
      <c r="D61" s="4">
        <v>43826</v>
      </c>
      <c r="E61" s="4">
        <v>43431</v>
      </c>
      <c r="F61" s="2" t="str">
        <f>IF($A61="","",INDEX(v_data!$B$2:$L$1000,MATCH($A61,v_data!$A$3:$A$1000,0)+1,MATCH(LOWER(F$1),v_data!$B$2:$L$2,0)))</f>
        <v/>
      </c>
      <c r="G61" s="2" t="str">
        <f t="shared" si="184"/>
        <v/>
      </c>
      <c r="H61" s="2" t="str">
        <f>IF($A61="","",INDEX(v_data!$B$2:$L$1000,MATCH($A61,v_data!$A$3:$A$1000,0)+1,MATCH(LOWER(H$1),v_data!$B$2:$L$2,0)))</f>
        <v/>
      </c>
      <c r="I61" s="2" t="str">
        <f t="shared" si="185"/>
        <v/>
      </c>
      <c r="J61" s="2" t="str">
        <f>IF($A61="","",INDEX(v_data!$B$2:$L$1000,MATCH($A61,v_data!$A$3:$A$1000,0)+1,MATCH(LOWER(J$1),v_data!$B$2:$L$2,0)))</f>
        <v/>
      </c>
      <c r="K61" s="2" t="str">
        <f t="shared" si="186"/>
        <v/>
      </c>
      <c r="L61" s="2" t="str">
        <f>IF($A61="","",INDEX(v_data!$B$2:$L$1000,MATCH($A61,v_data!$A$3:$A$1000,0)+1,MATCH(LOWER(L$1),v_data!$B$2:$L$2,0)))</f>
        <v/>
      </c>
      <c r="M61" s="2" t="str">
        <f t="shared" si="187"/>
        <v/>
      </c>
      <c r="N61" s="2" t="str">
        <f>IF($A61="","",INDEX(v_data!$B$2:$L$1000,MATCH($A61,v_data!$A$3:$A$1000,0)+1,MATCH(LOWER(N$1),v_data!$B$2:$L$2,0)))</f>
        <v/>
      </c>
      <c r="O61" s="2" t="str">
        <f t="shared" si="188"/>
        <v/>
      </c>
      <c r="P61" s="2" t="str">
        <f>IF($A61="","",INDEX(v_data!$B$2:$L$1000,MATCH($A61,v_data!$A$3:$A$1000,0)+1,MATCH(LOWER(P$1),v_data!$B$2:$L$2,0)))</f>
        <v/>
      </c>
      <c r="Q61" s="2" t="str">
        <f t="shared" si="189"/>
        <v/>
      </c>
      <c r="R61" s="2" t="str">
        <f>IF($A61="","",INDEX(v_data!$B$2:$L$1000,MATCH($A61,v_data!$A$3:$A$1000,0)+1,MATCH(LOWER(R$1),v_data!$B$2:$L$2,0)))</f>
        <v/>
      </c>
      <c r="S61" s="2" t="str">
        <f t="shared" si="190"/>
        <v/>
      </c>
      <c r="T61" s="2" t="str">
        <f>IF($A61="","",INDEX(v_data!$B$2:$L$1000,MATCH($A61,v_data!$A$3:$A$1000,0)+1,MATCH(LOWER(T$1),v_data!$B$2:$L$2,0)))</f>
        <v/>
      </c>
      <c r="U61" s="2" t="str">
        <f t="shared" si="191"/>
        <v/>
      </c>
      <c r="V61" s="2" t="str">
        <f>IF($A61="","",INDEX(v_data!$B$2:$L$1000,MATCH($A61,v_data!$A$3:$A$1000,0)+1,MATCH(LOWER(V$1),v_data!$B$2:$L$2,0)))</f>
        <v/>
      </c>
      <c r="W61" s="2" t="str">
        <f t="shared" si="192"/>
        <v/>
      </c>
      <c r="X61" s="2" t="str">
        <f>IF($A61="","",INDEX(v_data!$B$2:$L$1000,MATCH($A61,v_data!$A$3:$A$1000,0)+1,MATCH(LOWER(X$1),v_data!$B$2:$L$2,0)))</f>
        <v/>
      </c>
      <c r="Y61" s="2" t="str">
        <f t="shared" si="193"/>
        <v/>
      </c>
      <c r="Z61" s="2" t="str">
        <f>IF($A61="","",INDEX(v_data!$B$2:$L$1000,MATCH($A61,v_data!$A$3:$A$1000,0)+1,MATCH(LOWER(Z$1),v_data!$B$2:$L$2,0)))</f>
        <v/>
      </c>
      <c r="AA61" s="2" t="str">
        <f t="shared" si="194"/>
        <v/>
      </c>
      <c r="AB61" s="2" t="str">
        <f t="shared" si="195"/>
        <v/>
      </c>
      <c r="AC61" s="2">
        <f>(SUM(G61,I61,K61,M61,O61,Q61,S61,U61,W61,Y61,AA61)+IF(AND(G61&gt;0,I61&gt;0,K61&gt;0),100,0))*VLOOKUP(B61,variables!$A$2:$B$6,2,FALSE)</f>
        <v>80</v>
      </c>
      <c r="AD61" s="16" t="str">
        <f>IF($A61="","",INDEX(v_data!$B$2:$X$1000,MATCH($A61,v_data!$A$3:$A$1000,0)+1,MATCH(LOWER("hours"),v_data!$B$2:$X$2,0)))</f>
        <v/>
      </c>
    </row>
    <row r="62" spans="1:30" hidden="1" x14ac:dyDescent="0.25">
      <c r="A62" s="2" t="str">
        <f>IF(ISBLANK(v_data!A61),"",v_data!A61)</f>
        <v/>
      </c>
      <c r="B62" s="2" t="s">
        <v>22</v>
      </c>
      <c r="C62" s="2">
        <f>VLOOKUP(B62,variables!$A$2:$B$6,2,FALSE)</f>
        <v>0.8</v>
      </c>
      <c r="D62" s="4">
        <v>43826</v>
      </c>
      <c r="E62" s="4">
        <v>43431</v>
      </c>
      <c r="F62" s="2" t="str">
        <f>IF($A62="","",INDEX(v_data!$B$2:$L$1000,MATCH($A62,v_data!$A$3:$A$1000,0)+1,MATCH(LOWER(F$1),v_data!$B$2:$L$2,0)))</f>
        <v/>
      </c>
      <c r="G62" s="2" t="str">
        <f t="shared" si="184"/>
        <v/>
      </c>
      <c r="H62" s="2" t="str">
        <f>IF($A62="","",INDEX(v_data!$B$2:$L$1000,MATCH($A62,v_data!$A$3:$A$1000,0)+1,MATCH(LOWER(H$1),v_data!$B$2:$L$2,0)))</f>
        <v/>
      </c>
      <c r="I62" s="2" t="str">
        <f t="shared" si="185"/>
        <v/>
      </c>
      <c r="J62" s="2" t="str">
        <f>IF($A62="","",INDEX(v_data!$B$2:$L$1000,MATCH($A62,v_data!$A$3:$A$1000,0)+1,MATCH(LOWER(J$1),v_data!$B$2:$L$2,0)))</f>
        <v/>
      </c>
      <c r="K62" s="2" t="str">
        <f t="shared" si="186"/>
        <v/>
      </c>
      <c r="L62" s="2" t="str">
        <f>IF($A62="","",INDEX(v_data!$B$2:$L$1000,MATCH($A62,v_data!$A$3:$A$1000,0)+1,MATCH(LOWER(L$1),v_data!$B$2:$L$2,0)))</f>
        <v/>
      </c>
      <c r="M62" s="2" t="str">
        <f t="shared" si="187"/>
        <v/>
      </c>
      <c r="N62" s="2" t="str">
        <f>IF($A62="","",INDEX(v_data!$B$2:$L$1000,MATCH($A62,v_data!$A$3:$A$1000,0)+1,MATCH(LOWER(N$1),v_data!$B$2:$L$2,0)))</f>
        <v/>
      </c>
      <c r="O62" s="2" t="str">
        <f t="shared" si="188"/>
        <v/>
      </c>
      <c r="P62" s="2" t="str">
        <f>IF($A62="","",INDEX(v_data!$B$2:$L$1000,MATCH($A62,v_data!$A$3:$A$1000,0)+1,MATCH(LOWER(P$1),v_data!$B$2:$L$2,0)))</f>
        <v/>
      </c>
      <c r="Q62" s="2" t="str">
        <f t="shared" si="189"/>
        <v/>
      </c>
      <c r="R62" s="2" t="str">
        <f>IF($A62="","",INDEX(v_data!$B$2:$L$1000,MATCH($A62,v_data!$A$3:$A$1000,0)+1,MATCH(LOWER(R$1),v_data!$B$2:$L$2,0)))</f>
        <v/>
      </c>
      <c r="S62" s="2" t="str">
        <f t="shared" si="190"/>
        <v/>
      </c>
      <c r="T62" s="2" t="str">
        <f>IF($A62="","",INDEX(v_data!$B$2:$L$1000,MATCH($A62,v_data!$A$3:$A$1000,0)+1,MATCH(LOWER(T$1),v_data!$B$2:$L$2,0)))</f>
        <v/>
      </c>
      <c r="U62" s="2" t="str">
        <f t="shared" si="191"/>
        <v/>
      </c>
      <c r="V62" s="2" t="str">
        <f>IF($A62="","",INDEX(v_data!$B$2:$L$1000,MATCH($A62,v_data!$A$3:$A$1000,0)+1,MATCH(LOWER(V$1),v_data!$B$2:$L$2,0)))</f>
        <v/>
      </c>
      <c r="W62" s="2" t="str">
        <f t="shared" si="192"/>
        <v/>
      </c>
      <c r="X62" s="2" t="str">
        <f>IF($A62="","",INDEX(v_data!$B$2:$L$1000,MATCH($A62,v_data!$A$3:$A$1000,0)+1,MATCH(LOWER(X$1),v_data!$B$2:$L$2,0)))</f>
        <v/>
      </c>
      <c r="Y62" s="2" t="str">
        <f t="shared" si="193"/>
        <v/>
      </c>
      <c r="Z62" s="2" t="str">
        <f>IF($A62="","",INDEX(v_data!$B$2:$L$1000,MATCH($A62,v_data!$A$3:$A$1000,0)+1,MATCH(LOWER(Z$1),v_data!$B$2:$L$2,0)))</f>
        <v/>
      </c>
      <c r="AA62" s="2" t="str">
        <f t="shared" si="194"/>
        <v/>
      </c>
      <c r="AB62" s="2" t="str">
        <f t="shared" si="195"/>
        <v/>
      </c>
      <c r="AC62" s="2">
        <f>(SUM(G62,I62,K62,M62,O62,Q62,S62,U62,W62,Y62,AA62)+IF(AND(G62&gt;0,I62&gt;0,K62&gt;0),100,0))*VLOOKUP(B62,variables!$A$2:$B$6,2,FALSE)</f>
        <v>80</v>
      </c>
      <c r="AD62" s="16" t="str">
        <f>IF($A62="","",INDEX(v_data!$B$2:$X$1000,MATCH($A62,v_data!$A$3:$A$1000,0)+1,MATCH(LOWER("hours"),v_data!$B$2:$X$2,0)))</f>
        <v/>
      </c>
    </row>
    <row r="63" spans="1:30" hidden="1" x14ac:dyDescent="0.25">
      <c r="A63" s="2" t="str">
        <f>IF(ISBLANK(v_data!A62),"",v_data!A62)</f>
        <v/>
      </c>
      <c r="B63" s="2" t="s">
        <v>22</v>
      </c>
      <c r="C63" s="2">
        <f>VLOOKUP(B63,variables!$A$2:$B$6,2,FALSE)</f>
        <v>0.8</v>
      </c>
      <c r="D63" s="4">
        <v>43826</v>
      </c>
      <c r="E63" s="4">
        <v>43431</v>
      </c>
      <c r="F63" s="2" t="str">
        <f>IF($A63="","",INDEX(v_data!$B$2:$L$1000,MATCH($A63,v_data!$A$3:$A$1000,0)+1,MATCH(LOWER(F$1),v_data!$B$2:$L$2,0)))</f>
        <v/>
      </c>
      <c r="G63" s="2" t="str">
        <f t="shared" si="184"/>
        <v/>
      </c>
      <c r="H63" s="2" t="str">
        <f>IF($A63="","",INDEX(v_data!$B$2:$L$1000,MATCH($A63,v_data!$A$3:$A$1000,0)+1,MATCH(LOWER(H$1),v_data!$B$2:$L$2,0)))</f>
        <v/>
      </c>
      <c r="I63" s="2" t="str">
        <f t="shared" si="185"/>
        <v/>
      </c>
      <c r="J63" s="2" t="str">
        <f>IF($A63="","",INDEX(v_data!$B$2:$L$1000,MATCH($A63,v_data!$A$3:$A$1000,0)+1,MATCH(LOWER(J$1),v_data!$B$2:$L$2,0)))</f>
        <v/>
      </c>
      <c r="K63" s="2" t="str">
        <f t="shared" si="186"/>
        <v/>
      </c>
      <c r="L63" s="2" t="str">
        <f>IF($A63="","",INDEX(v_data!$B$2:$L$1000,MATCH($A63,v_data!$A$3:$A$1000,0)+1,MATCH(LOWER(L$1),v_data!$B$2:$L$2,0)))</f>
        <v/>
      </c>
      <c r="M63" s="2" t="str">
        <f t="shared" si="187"/>
        <v/>
      </c>
      <c r="N63" s="2" t="str">
        <f>IF($A63="","",INDEX(v_data!$B$2:$L$1000,MATCH($A63,v_data!$A$3:$A$1000,0)+1,MATCH(LOWER(N$1),v_data!$B$2:$L$2,0)))</f>
        <v/>
      </c>
      <c r="O63" s="2" t="str">
        <f t="shared" si="188"/>
        <v/>
      </c>
      <c r="P63" s="2" t="str">
        <f>IF($A63="","",INDEX(v_data!$B$2:$L$1000,MATCH($A63,v_data!$A$3:$A$1000,0)+1,MATCH(LOWER(P$1),v_data!$B$2:$L$2,0)))</f>
        <v/>
      </c>
      <c r="Q63" s="2" t="str">
        <f t="shared" si="189"/>
        <v/>
      </c>
      <c r="R63" s="2" t="str">
        <f>IF($A63="","",INDEX(v_data!$B$2:$L$1000,MATCH($A63,v_data!$A$3:$A$1000,0)+1,MATCH(LOWER(R$1),v_data!$B$2:$L$2,0)))</f>
        <v/>
      </c>
      <c r="S63" s="2" t="str">
        <f t="shared" si="190"/>
        <v/>
      </c>
      <c r="T63" s="2" t="str">
        <f>IF($A63="","",INDEX(v_data!$B$2:$L$1000,MATCH($A63,v_data!$A$3:$A$1000,0)+1,MATCH(LOWER(T$1),v_data!$B$2:$L$2,0)))</f>
        <v/>
      </c>
      <c r="U63" s="2" t="str">
        <f t="shared" si="191"/>
        <v/>
      </c>
      <c r="V63" s="2" t="str">
        <f>IF($A63="","",INDEX(v_data!$B$2:$L$1000,MATCH($A63,v_data!$A$3:$A$1000,0)+1,MATCH(LOWER(V$1),v_data!$B$2:$L$2,0)))</f>
        <v/>
      </c>
      <c r="W63" s="2" t="str">
        <f t="shared" si="192"/>
        <v/>
      </c>
      <c r="X63" s="2" t="str">
        <f>IF($A63="","",INDEX(v_data!$B$2:$L$1000,MATCH($A63,v_data!$A$3:$A$1000,0)+1,MATCH(LOWER(X$1),v_data!$B$2:$L$2,0)))</f>
        <v/>
      </c>
      <c r="Y63" s="2" t="str">
        <f t="shared" si="193"/>
        <v/>
      </c>
      <c r="Z63" s="2" t="str">
        <f>IF($A63="","",INDEX(v_data!$B$2:$L$1000,MATCH($A63,v_data!$A$3:$A$1000,0)+1,MATCH(LOWER(Z$1),v_data!$B$2:$L$2,0)))</f>
        <v/>
      </c>
      <c r="AA63" s="2" t="str">
        <f t="shared" si="194"/>
        <v/>
      </c>
      <c r="AB63" s="2" t="str">
        <f t="shared" si="195"/>
        <v/>
      </c>
      <c r="AC63" s="2">
        <f>(SUM(G63,I63,K63,M63,O63,Q63,S63,U63,W63,Y63,AA63)+IF(AND(G63&gt;0,I63&gt;0,K63&gt;0),100,0))*VLOOKUP(B63,variables!$A$2:$B$6,2,FALSE)</f>
        <v>80</v>
      </c>
      <c r="AD63" s="16" t="str">
        <f>IF($A63="","",INDEX(v_data!$B$2:$X$1000,MATCH($A63,v_data!$A$3:$A$1000,0)+1,MATCH(LOWER("hours"),v_data!$B$2:$X$2,0)))</f>
        <v/>
      </c>
    </row>
    <row r="64" spans="1:30" hidden="1" x14ac:dyDescent="0.25">
      <c r="A64" s="2" t="str">
        <f>IF(ISBLANK(v_data!A63),"",v_data!A63)</f>
        <v/>
      </c>
      <c r="B64" s="2" t="s">
        <v>22</v>
      </c>
      <c r="C64" s="2">
        <f>VLOOKUP(B64,variables!$A$2:$B$6,2,FALSE)</f>
        <v>0.8</v>
      </c>
      <c r="D64" s="4">
        <v>43826</v>
      </c>
      <c r="E64" s="4">
        <v>43431</v>
      </c>
      <c r="F64" s="2" t="str">
        <f>IF($A64="","",INDEX(v_data!$B$2:$L$1000,MATCH($A64,v_data!$A$3:$A$1000,0)+1,MATCH(LOWER(F$1),v_data!$B$2:$L$2,0)))</f>
        <v/>
      </c>
      <c r="G64" s="2" t="str">
        <f t="shared" si="184"/>
        <v/>
      </c>
      <c r="H64" s="2" t="str">
        <f>IF($A64="","",INDEX(v_data!$B$2:$L$1000,MATCH($A64,v_data!$A$3:$A$1000,0)+1,MATCH(LOWER(H$1),v_data!$B$2:$L$2,0)))</f>
        <v/>
      </c>
      <c r="I64" s="2" t="str">
        <f t="shared" si="185"/>
        <v/>
      </c>
      <c r="J64" s="2" t="str">
        <f>IF($A64="","",INDEX(v_data!$B$2:$L$1000,MATCH($A64,v_data!$A$3:$A$1000,0)+1,MATCH(LOWER(J$1),v_data!$B$2:$L$2,0)))</f>
        <v/>
      </c>
      <c r="K64" s="2" t="str">
        <f t="shared" si="186"/>
        <v/>
      </c>
      <c r="L64" s="2" t="str">
        <f>IF($A64="","",INDEX(v_data!$B$2:$L$1000,MATCH($A64,v_data!$A$3:$A$1000,0)+1,MATCH(LOWER(L$1),v_data!$B$2:$L$2,0)))</f>
        <v/>
      </c>
      <c r="M64" s="2" t="str">
        <f t="shared" si="187"/>
        <v/>
      </c>
      <c r="N64" s="2" t="str">
        <f>IF($A64="","",INDEX(v_data!$B$2:$L$1000,MATCH($A64,v_data!$A$3:$A$1000,0)+1,MATCH(LOWER(N$1),v_data!$B$2:$L$2,0)))</f>
        <v/>
      </c>
      <c r="O64" s="2" t="str">
        <f t="shared" si="188"/>
        <v/>
      </c>
      <c r="P64" s="2" t="str">
        <f>IF($A64="","",INDEX(v_data!$B$2:$L$1000,MATCH($A64,v_data!$A$3:$A$1000,0)+1,MATCH(LOWER(P$1),v_data!$B$2:$L$2,0)))</f>
        <v/>
      </c>
      <c r="Q64" s="2" t="str">
        <f t="shared" si="189"/>
        <v/>
      </c>
      <c r="R64" s="2" t="str">
        <f>IF($A64="","",INDEX(v_data!$B$2:$L$1000,MATCH($A64,v_data!$A$3:$A$1000,0)+1,MATCH(LOWER(R$1),v_data!$B$2:$L$2,0)))</f>
        <v/>
      </c>
      <c r="S64" s="2" t="str">
        <f t="shared" si="190"/>
        <v/>
      </c>
      <c r="T64" s="2" t="str">
        <f>IF($A64="","",INDEX(v_data!$B$2:$L$1000,MATCH($A64,v_data!$A$3:$A$1000,0)+1,MATCH(LOWER(T$1),v_data!$B$2:$L$2,0)))</f>
        <v/>
      </c>
      <c r="U64" s="2" t="str">
        <f t="shared" si="191"/>
        <v/>
      </c>
      <c r="V64" s="2" t="str">
        <f>IF($A64="","",INDEX(v_data!$B$2:$L$1000,MATCH($A64,v_data!$A$3:$A$1000,0)+1,MATCH(LOWER(V$1),v_data!$B$2:$L$2,0)))</f>
        <v/>
      </c>
      <c r="W64" s="2" t="str">
        <f t="shared" si="192"/>
        <v/>
      </c>
      <c r="X64" s="2" t="str">
        <f>IF($A64="","",INDEX(v_data!$B$2:$L$1000,MATCH($A64,v_data!$A$3:$A$1000,0)+1,MATCH(LOWER(X$1),v_data!$B$2:$L$2,0)))</f>
        <v/>
      </c>
      <c r="Y64" s="2" t="str">
        <f t="shared" si="193"/>
        <v/>
      </c>
      <c r="Z64" s="2" t="str">
        <f>IF($A64="","",INDEX(v_data!$B$2:$L$1000,MATCH($A64,v_data!$A$3:$A$1000,0)+1,MATCH(LOWER(Z$1),v_data!$B$2:$L$2,0)))</f>
        <v/>
      </c>
      <c r="AA64" s="2" t="str">
        <f t="shared" si="194"/>
        <v/>
      </c>
      <c r="AB64" s="2" t="str">
        <f t="shared" si="195"/>
        <v/>
      </c>
      <c r="AC64" s="2">
        <f>(SUM(G64,I64,K64,M64,O64,Q64,S64,U64,W64,Y64,AA64)+IF(AND(G64&gt;0,I64&gt;0,K64&gt;0),100,0))*VLOOKUP(B64,variables!$A$2:$B$6,2,FALSE)</f>
        <v>80</v>
      </c>
      <c r="AD64" s="16" t="str">
        <f>IF($A64="","",INDEX(v_data!$B$2:$X$1000,MATCH($A64,v_data!$A$3:$A$1000,0)+1,MATCH(LOWER("hours"),v_data!$B$2:$X$2,0)))</f>
        <v/>
      </c>
    </row>
    <row r="65" spans="1:30" hidden="1" x14ac:dyDescent="0.25">
      <c r="A65" s="2" t="str">
        <f>IF(ISBLANK(v_data!A64),"",v_data!A64)</f>
        <v/>
      </c>
      <c r="B65" s="2" t="s">
        <v>22</v>
      </c>
      <c r="C65" s="2">
        <f>VLOOKUP(B65,variables!$A$2:$B$6,2,FALSE)</f>
        <v>0.8</v>
      </c>
      <c r="D65" s="4">
        <v>43826</v>
      </c>
      <c r="E65" s="4">
        <v>43431</v>
      </c>
      <c r="F65" s="2" t="str">
        <f>IF($A65="","",INDEX(v_data!$B$2:$L$1000,MATCH($A65,v_data!$A$3:$A$1000,0)+1,MATCH(LOWER(F$1),v_data!$B$2:$L$2,0)))</f>
        <v/>
      </c>
      <c r="G65" s="2" t="str">
        <f t="shared" si="184"/>
        <v/>
      </c>
      <c r="H65" s="2" t="str">
        <f>IF($A65="","",INDEX(v_data!$B$2:$L$1000,MATCH($A65,v_data!$A$3:$A$1000,0)+1,MATCH(LOWER(H$1),v_data!$B$2:$L$2,0)))</f>
        <v/>
      </c>
      <c r="I65" s="2" t="str">
        <f t="shared" si="185"/>
        <v/>
      </c>
      <c r="J65" s="2" t="str">
        <f>IF($A65="","",INDEX(v_data!$B$2:$L$1000,MATCH($A65,v_data!$A$3:$A$1000,0)+1,MATCH(LOWER(J$1),v_data!$B$2:$L$2,0)))</f>
        <v/>
      </c>
      <c r="K65" s="2" t="str">
        <f t="shared" si="186"/>
        <v/>
      </c>
      <c r="L65" s="2" t="str">
        <f>IF($A65="","",INDEX(v_data!$B$2:$L$1000,MATCH($A65,v_data!$A$3:$A$1000,0)+1,MATCH(LOWER(L$1),v_data!$B$2:$L$2,0)))</f>
        <v/>
      </c>
      <c r="M65" s="2" t="str">
        <f t="shared" si="187"/>
        <v/>
      </c>
      <c r="N65" s="2" t="str">
        <f>IF($A65="","",INDEX(v_data!$B$2:$L$1000,MATCH($A65,v_data!$A$3:$A$1000,0)+1,MATCH(LOWER(N$1),v_data!$B$2:$L$2,0)))</f>
        <v/>
      </c>
      <c r="O65" s="2" t="str">
        <f t="shared" si="188"/>
        <v/>
      </c>
      <c r="P65" s="2" t="str">
        <f>IF($A65="","",INDEX(v_data!$B$2:$L$1000,MATCH($A65,v_data!$A$3:$A$1000,0)+1,MATCH(LOWER(P$1),v_data!$B$2:$L$2,0)))</f>
        <v/>
      </c>
      <c r="Q65" s="2" t="str">
        <f t="shared" si="189"/>
        <v/>
      </c>
      <c r="R65" s="2" t="str">
        <f>IF($A65="","",INDEX(v_data!$B$2:$L$1000,MATCH($A65,v_data!$A$3:$A$1000,0)+1,MATCH(LOWER(R$1),v_data!$B$2:$L$2,0)))</f>
        <v/>
      </c>
      <c r="S65" s="2" t="str">
        <f t="shared" si="190"/>
        <v/>
      </c>
      <c r="T65" s="2" t="str">
        <f>IF($A65="","",INDEX(v_data!$B$2:$L$1000,MATCH($A65,v_data!$A$3:$A$1000,0)+1,MATCH(LOWER(T$1),v_data!$B$2:$L$2,0)))</f>
        <v/>
      </c>
      <c r="U65" s="2" t="str">
        <f t="shared" si="191"/>
        <v/>
      </c>
      <c r="V65" s="2" t="str">
        <f>IF($A65="","",INDEX(v_data!$B$2:$L$1000,MATCH($A65,v_data!$A$3:$A$1000,0)+1,MATCH(LOWER(V$1),v_data!$B$2:$L$2,0)))</f>
        <v/>
      </c>
      <c r="W65" s="2" t="str">
        <f t="shared" si="192"/>
        <v/>
      </c>
      <c r="X65" s="2" t="str">
        <f>IF($A65="","",INDEX(v_data!$B$2:$L$1000,MATCH($A65,v_data!$A$3:$A$1000,0)+1,MATCH(LOWER(X$1),v_data!$B$2:$L$2,0)))</f>
        <v/>
      </c>
      <c r="Y65" s="2" t="str">
        <f t="shared" si="193"/>
        <v/>
      </c>
      <c r="Z65" s="2" t="str">
        <f>IF($A65="","",INDEX(v_data!$B$2:$L$1000,MATCH($A65,v_data!$A$3:$A$1000,0)+1,MATCH(LOWER(Z$1),v_data!$B$2:$L$2,0)))</f>
        <v/>
      </c>
      <c r="AA65" s="2" t="str">
        <f t="shared" si="194"/>
        <v/>
      </c>
      <c r="AB65" s="2" t="str">
        <f t="shared" si="195"/>
        <v/>
      </c>
      <c r="AC65" s="2">
        <f>(SUM(G65,I65,K65,M65,O65,Q65,S65,U65,W65,Y65,AA65)+IF(AND(G65&gt;0,I65&gt;0,K65&gt;0),100,0))*VLOOKUP(B65,variables!$A$2:$B$6,2,FALSE)</f>
        <v>80</v>
      </c>
      <c r="AD65" s="16" t="str">
        <f>IF($A65="","",INDEX(v_data!$B$2:$X$1000,MATCH($A65,v_data!$A$3:$A$1000,0)+1,MATCH(LOWER("hours"),v_data!$B$2:$X$2,0)))</f>
        <v/>
      </c>
    </row>
    <row r="66" spans="1:30" hidden="1" x14ac:dyDescent="0.25">
      <c r="A66" s="2" t="str">
        <f>IF(ISBLANK(v_data!A65),"",v_data!A65)</f>
        <v/>
      </c>
      <c r="B66" s="2" t="s">
        <v>22</v>
      </c>
      <c r="C66" s="2">
        <f>VLOOKUP(B66,variables!$A$2:$B$6,2,FALSE)</f>
        <v>0.8</v>
      </c>
      <c r="D66" s="4">
        <v>43826</v>
      </c>
      <c r="E66" s="4">
        <v>43431</v>
      </c>
      <c r="F66" s="2" t="str">
        <f>IF($A66="","",INDEX(v_data!$B$2:$L$1000,MATCH($A66,v_data!$A$3:$A$1000,0)+1,MATCH(LOWER(F$1),v_data!$B$2:$L$2,0)))</f>
        <v/>
      </c>
      <c r="G66" s="2" t="str">
        <f t="shared" si="184"/>
        <v/>
      </c>
      <c r="H66" s="2" t="str">
        <f>IF($A66="","",INDEX(v_data!$B$2:$L$1000,MATCH($A66,v_data!$A$3:$A$1000,0)+1,MATCH(LOWER(H$1),v_data!$B$2:$L$2,0)))</f>
        <v/>
      </c>
      <c r="I66" s="2" t="str">
        <f t="shared" si="185"/>
        <v/>
      </c>
      <c r="J66" s="2" t="str">
        <f>IF($A66="","",INDEX(v_data!$B$2:$L$1000,MATCH($A66,v_data!$A$3:$A$1000,0)+1,MATCH(LOWER(J$1),v_data!$B$2:$L$2,0)))</f>
        <v/>
      </c>
      <c r="K66" s="2" t="str">
        <f t="shared" si="186"/>
        <v/>
      </c>
      <c r="L66" s="2" t="str">
        <f>IF($A66="","",INDEX(v_data!$B$2:$L$1000,MATCH($A66,v_data!$A$3:$A$1000,0)+1,MATCH(LOWER(L$1),v_data!$B$2:$L$2,0)))</f>
        <v/>
      </c>
      <c r="M66" s="2" t="str">
        <f t="shared" si="187"/>
        <v/>
      </c>
      <c r="N66" s="2" t="str">
        <f>IF($A66="","",INDEX(v_data!$B$2:$L$1000,MATCH($A66,v_data!$A$3:$A$1000,0)+1,MATCH(LOWER(N$1),v_data!$B$2:$L$2,0)))</f>
        <v/>
      </c>
      <c r="O66" s="2" t="str">
        <f t="shared" si="188"/>
        <v/>
      </c>
      <c r="P66" s="2" t="str">
        <f>IF($A66="","",INDEX(v_data!$B$2:$L$1000,MATCH($A66,v_data!$A$3:$A$1000,0)+1,MATCH(LOWER(P$1),v_data!$B$2:$L$2,0)))</f>
        <v/>
      </c>
      <c r="Q66" s="2" t="str">
        <f t="shared" si="189"/>
        <v/>
      </c>
      <c r="R66" s="2" t="str">
        <f>IF($A66="","",INDEX(v_data!$B$2:$L$1000,MATCH($A66,v_data!$A$3:$A$1000,0)+1,MATCH(LOWER(R$1),v_data!$B$2:$L$2,0)))</f>
        <v/>
      </c>
      <c r="S66" s="2" t="str">
        <f t="shared" si="190"/>
        <v/>
      </c>
      <c r="T66" s="2" t="str">
        <f>IF($A66="","",INDEX(v_data!$B$2:$L$1000,MATCH($A66,v_data!$A$3:$A$1000,0)+1,MATCH(LOWER(T$1),v_data!$B$2:$L$2,0)))</f>
        <v/>
      </c>
      <c r="U66" s="2" t="str">
        <f t="shared" si="191"/>
        <v/>
      </c>
      <c r="V66" s="2" t="str">
        <f>IF($A66="","",INDEX(v_data!$B$2:$L$1000,MATCH($A66,v_data!$A$3:$A$1000,0)+1,MATCH(LOWER(V$1),v_data!$B$2:$L$2,0)))</f>
        <v/>
      </c>
      <c r="W66" s="2" t="str">
        <f t="shared" si="192"/>
        <v/>
      </c>
      <c r="X66" s="2" t="str">
        <f>IF($A66="","",INDEX(v_data!$B$2:$L$1000,MATCH($A66,v_data!$A$3:$A$1000,0)+1,MATCH(LOWER(X$1),v_data!$B$2:$L$2,0)))</f>
        <v/>
      </c>
      <c r="Y66" s="2" t="str">
        <f t="shared" si="193"/>
        <v/>
      </c>
      <c r="Z66" s="2" t="str">
        <f>IF($A66="","",INDEX(v_data!$B$2:$L$1000,MATCH($A66,v_data!$A$3:$A$1000,0)+1,MATCH(LOWER(Z$1),v_data!$B$2:$L$2,0)))</f>
        <v/>
      </c>
      <c r="AA66" s="2" t="str">
        <f t="shared" si="194"/>
        <v/>
      </c>
      <c r="AB66" s="2" t="str">
        <f t="shared" si="195"/>
        <v/>
      </c>
      <c r="AC66" s="2">
        <f>(SUM(G66,I66,K66,M66,O66,Q66,S66,U66,W66,Y66,AA66)+IF(AND(G66&gt;0,I66&gt;0,K66&gt;0),100,0))*VLOOKUP(B66,variables!$A$2:$B$6,2,FALSE)</f>
        <v>80</v>
      </c>
      <c r="AD66" s="16" t="str">
        <f>IF($A66="","",INDEX(v_data!$B$2:$X$1000,MATCH($A66,v_data!$A$3:$A$1000,0)+1,MATCH(LOWER("hours"),v_data!$B$2:$X$2,0)))</f>
        <v/>
      </c>
    </row>
    <row r="67" spans="1:30" hidden="1" x14ac:dyDescent="0.25">
      <c r="A67" s="2" t="str">
        <f>IF(ISBLANK(v_data!A66),"",v_data!A66)</f>
        <v/>
      </c>
      <c r="B67" s="2" t="s">
        <v>22</v>
      </c>
      <c r="C67" s="2">
        <f>VLOOKUP(B67,variables!$A$2:$B$6,2,FALSE)</f>
        <v>0.8</v>
      </c>
      <c r="D67" s="4">
        <v>43826</v>
      </c>
      <c r="E67" s="4">
        <v>43431</v>
      </c>
      <c r="F67" s="2" t="str">
        <f>IF($A67="","",INDEX(v_data!$B$2:$L$1000,MATCH($A67,v_data!$A$3:$A$1000,0)+1,MATCH(LOWER(F$1),v_data!$B$2:$L$2,0)))</f>
        <v/>
      </c>
      <c r="G67" s="2" t="str">
        <f t="shared" si="184"/>
        <v/>
      </c>
      <c r="H67" s="2" t="str">
        <f>IF($A67="","",INDEX(v_data!$B$2:$L$1000,MATCH($A67,v_data!$A$3:$A$1000,0)+1,MATCH(LOWER(H$1),v_data!$B$2:$L$2,0)))</f>
        <v/>
      </c>
      <c r="I67" s="2" t="str">
        <f t="shared" si="185"/>
        <v/>
      </c>
      <c r="J67" s="2" t="str">
        <f>IF($A67="","",INDEX(v_data!$B$2:$L$1000,MATCH($A67,v_data!$A$3:$A$1000,0)+1,MATCH(LOWER(J$1),v_data!$B$2:$L$2,0)))</f>
        <v/>
      </c>
      <c r="K67" s="2" t="str">
        <f t="shared" si="186"/>
        <v/>
      </c>
      <c r="L67" s="2" t="str">
        <f>IF($A67="","",INDEX(v_data!$B$2:$L$1000,MATCH($A67,v_data!$A$3:$A$1000,0)+1,MATCH(LOWER(L$1),v_data!$B$2:$L$2,0)))</f>
        <v/>
      </c>
      <c r="M67" s="2" t="str">
        <f t="shared" si="187"/>
        <v/>
      </c>
      <c r="N67" s="2" t="str">
        <f>IF($A67="","",INDEX(v_data!$B$2:$L$1000,MATCH($A67,v_data!$A$3:$A$1000,0)+1,MATCH(LOWER(N$1),v_data!$B$2:$L$2,0)))</f>
        <v/>
      </c>
      <c r="O67" s="2" t="str">
        <f t="shared" si="188"/>
        <v/>
      </c>
      <c r="P67" s="2" t="str">
        <f>IF($A67="","",INDEX(v_data!$B$2:$L$1000,MATCH($A67,v_data!$A$3:$A$1000,0)+1,MATCH(LOWER(P$1),v_data!$B$2:$L$2,0)))</f>
        <v/>
      </c>
      <c r="Q67" s="2" t="str">
        <f t="shared" si="189"/>
        <v/>
      </c>
      <c r="R67" s="2" t="str">
        <f>IF($A67="","",INDEX(v_data!$B$2:$L$1000,MATCH($A67,v_data!$A$3:$A$1000,0)+1,MATCH(LOWER(R$1),v_data!$B$2:$L$2,0)))</f>
        <v/>
      </c>
      <c r="S67" s="2" t="str">
        <f t="shared" si="190"/>
        <v/>
      </c>
      <c r="T67" s="2" t="str">
        <f>IF($A67="","",INDEX(v_data!$B$2:$L$1000,MATCH($A67,v_data!$A$3:$A$1000,0)+1,MATCH(LOWER(T$1),v_data!$B$2:$L$2,0)))</f>
        <v/>
      </c>
      <c r="U67" s="2" t="str">
        <f t="shared" si="191"/>
        <v/>
      </c>
      <c r="V67" s="2" t="str">
        <f>IF($A67="","",INDEX(v_data!$B$2:$L$1000,MATCH($A67,v_data!$A$3:$A$1000,0)+1,MATCH(LOWER(V$1),v_data!$B$2:$L$2,0)))</f>
        <v/>
      </c>
      <c r="W67" s="2" t="str">
        <f t="shared" si="192"/>
        <v/>
      </c>
      <c r="X67" s="2" t="str">
        <f>IF($A67="","",INDEX(v_data!$B$2:$L$1000,MATCH($A67,v_data!$A$3:$A$1000,0)+1,MATCH(LOWER(X$1),v_data!$B$2:$L$2,0)))</f>
        <v/>
      </c>
      <c r="Y67" s="2" t="str">
        <f t="shared" si="193"/>
        <v/>
      </c>
      <c r="Z67" s="2" t="str">
        <f>IF($A67="","",INDEX(v_data!$B$2:$L$1000,MATCH($A67,v_data!$A$3:$A$1000,0)+1,MATCH(LOWER(Z$1),v_data!$B$2:$L$2,0)))</f>
        <v/>
      </c>
      <c r="AA67" s="2" t="str">
        <f t="shared" si="194"/>
        <v/>
      </c>
      <c r="AB67" s="2" t="str">
        <f t="shared" si="195"/>
        <v/>
      </c>
      <c r="AC67" s="2">
        <f>(SUM(G67,I67,K67,M67,O67,Q67,S67,U67,W67,Y67,AA67)+IF(AND(G67&gt;0,I67&gt;0,K67&gt;0),100,0))*VLOOKUP(B67,variables!$A$2:$B$6,2,FALSE)</f>
        <v>80</v>
      </c>
      <c r="AD67" s="16" t="str">
        <f>IF($A67="","",INDEX(v_data!$B$2:$X$1000,MATCH($A67,v_data!$A$3:$A$1000,0)+1,MATCH(LOWER("hours"),v_data!$B$2:$X$2,0)))</f>
        <v/>
      </c>
    </row>
    <row r="68" spans="1:30" hidden="1" x14ac:dyDescent="0.25">
      <c r="A68" s="2" t="str">
        <f>IF(ISBLANK(v_data!A67),"",v_data!A67)</f>
        <v/>
      </c>
      <c r="B68" s="2" t="s">
        <v>22</v>
      </c>
      <c r="C68" s="2">
        <f>VLOOKUP(B68,variables!$A$2:$B$6,2,FALSE)</f>
        <v>0.8</v>
      </c>
      <c r="D68" s="4">
        <v>43826</v>
      </c>
      <c r="E68" s="4">
        <v>43431</v>
      </c>
      <c r="F68" s="2" t="str">
        <f>IF($A68="","",INDEX(v_data!$B$2:$L$1000,MATCH($A68,v_data!$A$3:$A$1000,0)+1,MATCH(LOWER(F$1),v_data!$B$2:$L$2,0)))</f>
        <v/>
      </c>
      <c r="G68" s="2" t="str">
        <f t="shared" si="184"/>
        <v/>
      </c>
      <c r="H68" s="2" t="str">
        <f>IF($A68="","",INDEX(v_data!$B$2:$L$1000,MATCH($A68,v_data!$A$3:$A$1000,0)+1,MATCH(LOWER(H$1),v_data!$B$2:$L$2,0)))</f>
        <v/>
      </c>
      <c r="I68" s="2" t="str">
        <f t="shared" si="185"/>
        <v/>
      </c>
      <c r="J68" s="2" t="str">
        <f>IF($A68="","",INDEX(v_data!$B$2:$L$1000,MATCH($A68,v_data!$A$3:$A$1000,0)+1,MATCH(LOWER(J$1),v_data!$B$2:$L$2,0)))</f>
        <v/>
      </c>
      <c r="K68" s="2" t="str">
        <f t="shared" si="186"/>
        <v/>
      </c>
      <c r="L68" s="2" t="str">
        <f>IF($A68="","",INDEX(v_data!$B$2:$L$1000,MATCH($A68,v_data!$A$3:$A$1000,0)+1,MATCH(LOWER(L$1),v_data!$B$2:$L$2,0)))</f>
        <v/>
      </c>
      <c r="M68" s="2" t="str">
        <f t="shared" si="187"/>
        <v/>
      </c>
      <c r="N68" s="2" t="str">
        <f>IF($A68="","",INDEX(v_data!$B$2:$L$1000,MATCH($A68,v_data!$A$3:$A$1000,0)+1,MATCH(LOWER(N$1),v_data!$B$2:$L$2,0)))</f>
        <v/>
      </c>
      <c r="O68" s="2" t="str">
        <f t="shared" si="188"/>
        <v/>
      </c>
      <c r="P68" s="2" t="str">
        <f>IF($A68="","",INDEX(v_data!$B$2:$L$1000,MATCH($A68,v_data!$A$3:$A$1000,0)+1,MATCH(LOWER(P$1),v_data!$B$2:$L$2,0)))</f>
        <v/>
      </c>
      <c r="Q68" s="2" t="str">
        <f t="shared" si="189"/>
        <v/>
      </c>
      <c r="R68" s="2" t="str">
        <f>IF($A68="","",INDEX(v_data!$B$2:$L$1000,MATCH($A68,v_data!$A$3:$A$1000,0)+1,MATCH(LOWER(R$1),v_data!$B$2:$L$2,0)))</f>
        <v/>
      </c>
      <c r="S68" s="2" t="str">
        <f t="shared" si="190"/>
        <v/>
      </c>
      <c r="T68" s="2" t="str">
        <f>IF($A68="","",INDEX(v_data!$B$2:$L$1000,MATCH($A68,v_data!$A$3:$A$1000,0)+1,MATCH(LOWER(T$1),v_data!$B$2:$L$2,0)))</f>
        <v/>
      </c>
      <c r="U68" s="2" t="str">
        <f t="shared" si="191"/>
        <v/>
      </c>
      <c r="V68" s="2" t="str">
        <f>IF($A68="","",INDEX(v_data!$B$2:$L$1000,MATCH($A68,v_data!$A$3:$A$1000,0)+1,MATCH(LOWER(V$1),v_data!$B$2:$L$2,0)))</f>
        <v/>
      </c>
      <c r="W68" s="2" t="str">
        <f t="shared" si="192"/>
        <v/>
      </c>
      <c r="X68" s="2" t="str">
        <f>IF($A68="","",INDEX(v_data!$B$2:$L$1000,MATCH($A68,v_data!$A$3:$A$1000,0)+1,MATCH(LOWER(X$1),v_data!$B$2:$L$2,0)))</f>
        <v/>
      </c>
      <c r="Y68" s="2" t="str">
        <f t="shared" si="193"/>
        <v/>
      </c>
      <c r="Z68" s="2" t="str">
        <f>IF($A68="","",INDEX(v_data!$B$2:$L$1000,MATCH($A68,v_data!$A$3:$A$1000,0)+1,MATCH(LOWER(Z$1),v_data!$B$2:$L$2,0)))</f>
        <v/>
      </c>
      <c r="AA68" s="2" t="str">
        <f t="shared" si="194"/>
        <v/>
      </c>
      <c r="AB68" s="2" t="str">
        <f t="shared" si="195"/>
        <v/>
      </c>
      <c r="AC68" s="2">
        <f>(SUM(G68,I68,K68,M68,O68,Q68,S68,U68,W68,Y68,AA68)+IF(AND(G68&gt;0,I68&gt;0,K68&gt;0),100,0))*VLOOKUP(B68,variables!$A$2:$B$6,2,FALSE)</f>
        <v>80</v>
      </c>
      <c r="AD68" s="16" t="str">
        <f>IF($A68="","",INDEX(v_data!$B$2:$X$1000,MATCH($A68,v_data!$A$3:$A$1000,0)+1,MATCH(LOWER("hours"),v_data!$B$2:$X$2,0)))</f>
        <v/>
      </c>
    </row>
    <row r="69" spans="1:30" hidden="1" x14ac:dyDescent="0.25">
      <c r="A69" s="2" t="str">
        <f>IF(ISBLANK(v_data!A68),"",v_data!A68)</f>
        <v/>
      </c>
      <c r="B69" s="2" t="s">
        <v>22</v>
      </c>
      <c r="C69" s="2">
        <f>VLOOKUP(B69,variables!$A$2:$B$6,2,FALSE)</f>
        <v>0.8</v>
      </c>
      <c r="D69" s="4">
        <v>43826</v>
      </c>
      <c r="E69" s="4">
        <v>43431</v>
      </c>
      <c r="F69" s="2" t="str">
        <f>IF($A69="","",INDEX(v_data!$B$2:$L$1000,MATCH($A69,v_data!$A$3:$A$1000,0)+1,MATCH(LOWER(F$1),v_data!$B$2:$L$2,0)))</f>
        <v/>
      </c>
      <c r="G69" s="2" t="str">
        <f t="shared" si="184"/>
        <v/>
      </c>
      <c r="H69" s="2" t="str">
        <f>IF($A69="","",INDEX(v_data!$B$2:$L$1000,MATCH($A69,v_data!$A$3:$A$1000,0)+1,MATCH(LOWER(H$1),v_data!$B$2:$L$2,0)))</f>
        <v/>
      </c>
      <c r="I69" s="2" t="str">
        <f t="shared" si="185"/>
        <v/>
      </c>
      <c r="J69" s="2" t="str">
        <f>IF($A69="","",INDEX(v_data!$B$2:$L$1000,MATCH($A69,v_data!$A$3:$A$1000,0)+1,MATCH(LOWER(J$1),v_data!$B$2:$L$2,0)))</f>
        <v/>
      </c>
      <c r="K69" s="2" t="str">
        <f t="shared" si="186"/>
        <v/>
      </c>
      <c r="L69" s="2" t="str">
        <f>IF($A69="","",INDEX(v_data!$B$2:$L$1000,MATCH($A69,v_data!$A$3:$A$1000,0)+1,MATCH(LOWER(L$1),v_data!$B$2:$L$2,0)))</f>
        <v/>
      </c>
      <c r="M69" s="2" t="str">
        <f t="shared" si="187"/>
        <v/>
      </c>
      <c r="N69" s="2" t="str">
        <f>IF($A69="","",INDEX(v_data!$B$2:$L$1000,MATCH($A69,v_data!$A$3:$A$1000,0)+1,MATCH(LOWER(N$1),v_data!$B$2:$L$2,0)))</f>
        <v/>
      </c>
      <c r="O69" s="2" t="str">
        <f t="shared" si="188"/>
        <v/>
      </c>
      <c r="P69" s="2" t="str">
        <f>IF($A69="","",INDEX(v_data!$B$2:$L$1000,MATCH($A69,v_data!$A$3:$A$1000,0)+1,MATCH(LOWER(P$1),v_data!$B$2:$L$2,0)))</f>
        <v/>
      </c>
      <c r="Q69" s="2" t="str">
        <f t="shared" si="189"/>
        <v/>
      </c>
      <c r="R69" s="2" t="str">
        <f>IF($A69="","",INDEX(v_data!$B$2:$L$1000,MATCH($A69,v_data!$A$3:$A$1000,0)+1,MATCH(LOWER(R$1),v_data!$B$2:$L$2,0)))</f>
        <v/>
      </c>
      <c r="S69" s="2" t="str">
        <f t="shared" si="190"/>
        <v/>
      </c>
      <c r="T69" s="2" t="str">
        <f>IF($A69="","",INDEX(v_data!$B$2:$L$1000,MATCH($A69,v_data!$A$3:$A$1000,0)+1,MATCH(LOWER(T$1),v_data!$B$2:$L$2,0)))</f>
        <v/>
      </c>
      <c r="U69" s="2" t="str">
        <f t="shared" si="191"/>
        <v/>
      </c>
      <c r="V69" s="2" t="str">
        <f>IF($A69="","",INDEX(v_data!$B$2:$L$1000,MATCH($A69,v_data!$A$3:$A$1000,0)+1,MATCH(LOWER(V$1),v_data!$B$2:$L$2,0)))</f>
        <v/>
      </c>
      <c r="W69" s="2" t="str">
        <f t="shared" si="192"/>
        <v/>
      </c>
      <c r="X69" s="2" t="str">
        <f>IF($A69="","",INDEX(v_data!$B$2:$L$1000,MATCH($A69,v_data!$A$3:$A$1000,0)+1,MATCH(LOWER(X$1),v_data!$B$2:$L$2,0)))</f>
        <v/>
      </c>
      <c r="Y69" s="2" t="str">
        <f t="shared" si="193"/>
        <v/>
      </c>
      <c r="Z69" s="2" t="str">
        <f>IF($A69="","",INDEX(v_data!$B$2:$L$1000,MATCH($A69,v_data!$A$3:$A$1000,0)+1,MATCH(LOWER(Z$1),v_data!$B$2:$L$2,0)))</f>
        <v/>
      </c>
      <c r="AA69" s="2" t="str">
        <f t="shared" si="194"/>
        <v/>
      </c>
      <c r="AB69" s="2" t="str">
        <f t="shared" si="195"/>
        <v/>
      </c>
      <c r="AC69" s="2">
        <f>(SUM(G69,I69,K69,M69,O69,Q69,S69,U69,W69,Y69,AA69)+IF(AND(G69&gt;0,I69&gt;0,K69&gt;0),100,0))*VLOOKUP(B69,variables!$A$2:$B$6,2,FALSE)</f>
        <v>80</v>
      </c>
      <c r="AD69" s="16" t="str">
        <f>IF($A69="","",INDEX(v_data!$B$2:$X$1000,MATCH($A69,v_data!$A$3:$A$1000,0)+1,MATCH(LOWER("hours"),v_data!$B$2:$X$2,0)))</f>
        <v/>
      </c>
    </row>
    <row r="70" spans="1:30" hidden="1" x14ac:dyDescent="0.25">
      <c r="A70" s="2" t="str">
        <f>IF(ISBLANK(v_data!A69),"",v_data!A69)</f>
        <v/>
      </c>
      <c r="B70" s="2" t="s">
        <v>22</v>
      </c>
      <c r="C70" s="2">
        <f>VLOOKUP(B70,variables!$A$2:$B$6,2,FALSE)</f>
        <v>0.8</v>
      </c>
      <c r="D70" s="4">
        <v>43826</v>
      </c>
      <c r="E70" s="4">
        <v>43431</v>
      </c>
      <c r="F70" s="2" t="str">
        <f>IF($A70="","",INDEX(v_data!$B$2:$L$1000,MATCH($A70,v_data!$A$3:$A$1000,0)+1,MATCH(LOWER(F$1),v_data!$B$2:$L$2,0)))</f>
        <v/>
      </c>
      <c r="G70" s="2" t="str">
        <f t="shared" si="184"/>
        <v/>
      </c>
      <c r="H70" s="2" t="str">
        <f>IF($A70="","",INDEX(v_data!$B$2:$L$1000,MATCH($A70,v_data!$A$3:$A$1000,0)+1,MATCH(LOWER(H$1),v_data!$B$2:$L$2,0)))</f>
        <v/>
      </c>
      <c r="I70" s="2" t="str">
        <f t="shared" si="185"/>
        <v/>
      </c>
      <c r="J70" s="2" t="str">
        <f>IF($A70="","",INDEX(v_data!$B$2:$L$1000,MATCH($A70,v_data!$A$3:$A$1000,0)+1,MATCH(LOWER(J$1),v_data!$B$2:$L$2,0)))</f>
        <v/>
      </c>
      <c r="K70" s="2" t="str">
        <f t="shared" si="186"/>
        <v/>
      </c>
      <c r="L70" s="2" t="str">
        <f>IF($A70="","",INDEX(v_data!$B$2:$L$1000,MATCH($A70,v_data!$A$3:$A$1000,0)+1,MATCH(LOWER(L$1),v_data!$B$2:$L$2,0)))</f>
        <v/>
      </c>
      <c r="M70" s="2" t="str">
        <f t="shared" si="187"/>
        <v/>
      </c>
      <c r="N70" s="2" t="str">
        <f>IF($A70="","",INDEX(v_data!$B$2:$L$1000,MATCH($A70,v_data!$A$3:$A$1000,0)+1,MATCH(LOWER(N$1),v_data!$B$2:$L$2,0)))</f>
        <v/>
      </c>
      <c r="O70" s="2" t="str">
        <f t="shared" si="188"/>
        <v/>
      </c>
      <c r="P70" s="2" t="str">
        <f>IF($A70="","",INDEX(v_data!$B$2:$L$1000,MATCH($A70,v_data!$A$3:$A$1000,0)+1,MATCH(LOWER(P$1),v_data!$B$2:$L$2,0)))</f>
        <v/>
      </c>
      <c r="Q70" s="2" t="str">
        <f t="shared" si="189"/>
        <v/>
      </c>
      <c r="R70" s="2" t="str">
        <f>IF($A70="","",INDEX(v_data!$B$2:$L$1000,MATCH($A70,v_data!$A$3:$A$1000,0)+1,MATCH(LOWER(R$1),v_data!$B$2:$L$2,0)))</f>
        <v/>
      </c>
      <c r="S70" s="2" t="str">
        <f t="shared" si="190"/>
        <v/>
      </c>
      <c r="T70" s="2" t="str">
        <f>IF($A70="","",INDEX(v_data!$B$2:$L$1000,MATCH($A70,v_data!$A$3:$A$1000,0)+1,MATCH(LOWER(T$1),v_data!$B$2:$L$2,0)))</f>
        <v/>
      </c>
      <c r="U70" s="2" t="str">
        <f t="shared" si="191"/>
        <v/>
      </c>
      <c r="V70" s="2" t="str">
        <f>IF($A70="","",INDEX(v_data!$B$2:$L$1000,MATCH($A70,v_data!$A$3:$A$1000,0)+1,MATCH(LOWER(V$1),v_data!$B$2:$L$2,0)))</f>
        <v/>
      </c>
      <c r="W70" s="2" t="str">
        <f t="shared" si="192"/>
        <v/>
      </c>
      <c r="X70" s="2" t="str">
        <f>IF($A70="","",INDEX(v_data!$B$2:$L$1000,MATCH($A70,v_data!$A$3:$A$1000,0)+1,MATCH(LOWER(X$1),v_data!$B$2:$L$2,0)))</f>
        <v/>
      </c>
      <c r="Y70" s="2" t="str">
        <f t="shared" si="193"/>
        <v/>
      </c>
      <c r="Z70" s="2" t="str">
        <f>IF($A70="","",INDEX(v_data!$B$2:$L$1000,MATCH($A70,v_data!$A$3:$A$1000,0)+1,MATCH(LOWER(Z$1),v_data!$B$2:$L$2,0)))</f>
        <v/>
      </c>
      <c r="AA70" s="2" t="str">
        <f t="shared" si="194"/>
        <v/>
      </c>
      <c r="AB70" s="2" t="str">
        <f t="shared" si="195"/>
        <v/>
      </c>
      <c r="AC70" s="2">
        <f>(SUM(G70,I70,K70,M70,O70,Q70,S70,U70,W70,Y70,AA70)+IF(AND(G70&gt;0,I70&gt;0,K70&gt;0),100,0))*VLOOKUP(B70,variables!$A$2:$B$6,2,FALSE)</f>
        <v>80</v>
      </c>
      <c r="AD70" s="16" t="str">
        <f>IF($A70="","",INDEX(v_data!$B$2:$X$1000,MATCH($A70,v_data!$A$3:$A$1000,0)+1,MATCH(LOWER("hours"),v_data!$B$2:$X$2,0)))</f>
        <v/>
      </c>
    </row>
    <row r="71" spans="1:30" hidden="1" x14ac:dyDescent="0.25">
      <c r="A71" s="2" t="str">
        <f>IF(ISBLANK(v_data!A70),"",v_data!A70)</f>
        <v/>
      </c>
      <c r="B71" s="2" t="s">
        <v>22</v>
      </c>
      <c r="C71" s="2">
        <f>VLOOKUP(B71,variables!$A$2:$B$6,2,FALSE)</f>
        <v>0.8</v>
      </c>
      <c r="D71" s="4">
        <v>43826</v>
      </c>
      <c r="E71" s="4">
        <v>43431</v>
      </c>
      <c r="F71" s="2" t="str">
        <f>IF($A71="","",INDEX(v_data!$B$2:$L$1000,MATCH($A71,v_data!$A$3:$A$1000,0)+1,MATCH(LOWER(F$1),v_data!$B$2:$L$2,0)))</f>
        <v/>
      </c>
      <c r="G71" s="2" t="str">
        <f t="shared" si="184"/>
        <v/>
      </c>
      <c r="H71" s="2" t="str">
        <f>IF($A71="","",INDEX(v_data!$B$2:$L$1000,MATCH($A71,v_data!$A$3:$A$1000,0)+1,MATCH(LOWER(H$1),v_data!$B$2:$L$2,0)))</f>
        <v/>
      </c>
      <c r="I71" s="2" t="str">
        <f t="shared" si="185"/>
        <v/>
      </c>
      <c r="J71" s="2" t="str">
        <f>IF($A71="","",INDEX(v_data!$B$2:$L$1000,MATCH($A71,v_data!$A$3:$A$1000,0)+1,MATCH(LOWER(J$1),v_data!$B$2:$L$2,0)))</f>
        <v/>
      </c>
      <c r="K71" s="2" t="str">
        <f t="shared" si="186"/>
        <v/>
      </c>
      <c r="L71" s="2" t="str">
        <f>IF($A71="","",INDEX(v_data!$B$2:$L$1000,MATCH($A71,v_data!$A$3:$A$1000,0)+1,MATCH(LOWER(L$1),v_data!$B$2:$L$2,0)))</f>
        <v/>
      </c>
      <c r="M71" s="2" t="str">
        <f t="shared" si="187"/>
        <v/>
      </c>
      <c r="N71" s="2" t="str">
        <f>IF($A71="","",INDEX(v_data!$B$2:$L$1000,MATCH($A71,v_data!$A$3:$A$1000,0)+1,MATCH(LOWER(N$1),v_data!$B$2:$L$2,0)))</f>
        <v/>
      </c>
      <c r="O71" s="2" t="str">
        <f t="shared" si="188"/>
        <v/>
      </c>
      <c r="P71" s="2" t="str">
        <f>IF($A71="","",INDEX(v_data!$B$2:$L$1000,MATCH($A71,v_data!$A$3:$A$1000,0)+1,MATCH(LOWER(P$1),v_data!$B$2:$L$2,0)))</f>
        <v/>
      </c>
      <c r="Q71" s="2" t="str">
        <f t="shared" si="189"/>
        <v/>
      </c>
      <c r="R71" s="2" t="str">
        <f>IF($A71="","",INDEX(v_data!$B$2:$L$1000,MATCH($A71,v_data!$A$3:$A$1000,0)+1,MATCH(LOWER(R$1),v_data!$B$2:$L$2,0)))</f>
        <v/>
      </c>
      <c r="S71" s="2" t="str">
        <f t="shared" si="190"/>
        <v/>
      </c>
      <c r="T71" s="2" t="str">
        <f>IF($A71="","",INDEX(v_data!$B$2:$L$1000,MATCH($A71,v_data!$A$3:$A$1000,0)+1,MATCH(LOWER(T$1),v_data!$B$2:$L$2,0)))</f>
        <v/>
      </c>
      <c r="U71" s="2" t="str">
        <f t="shared" si="191"/>
        <v/>
      </c>
      <c r="V71" s="2" t="str">
        <f>IF($A71="","",INDEX(v_data!$B$2:$L$1000,MATCH($A71,v_data!$A$3:$A$1000,0)+1,MATCH(LOWER(V$1),v_data!$B$2:$L$2,0)))</f>
        <v/>
      </c>
      <c r="W71" s="2" t="str">
        <f t="shared" si="192"/>
        <v/>
      </c>
      <c r="X71" s="2" t="str">
        <f>IF($A71="","",INDEX(v_data!$B$2:$L$1000,MATCH($A71,v_data!$A$3:$A$1000,0)+1,MATCH(LOWER(X$1),v_data!$B$2:$L$2,0)))</f>
        <v/>
      </c>
      <c r="Y71" s="2" t="str">
        <f t="shared" si="193"/>
        <v/>
      </c>
      <c r="Z71" s="2" t="str">
        <f>IF($A71="","",INDEX(v_data!$B$2:$L$1000,MATCH($A71,v_data!$A$3:$A$1000,0)+1,MATCH(LOWER(Z$1),v_data!$B$2:$L$2,0)))</f>
        <v/>
      </c>
      <c r="AA71" s="2" t="str">
        <f t="shared" si="194"/>
        <v/>
      </c>
      <c r="AB71" s="2" t="str">
        <f t="shared" si="195"/>
        <v/>
      </c>
      <c r="AC71" s="2">
        <f>(SUM(G71,I71,K71,M71,O71,Q71,S71,U71,W71,Y71,AA71)+IF(AND(G71&gt;0,I71&gt;0,K71&gt;0),100,0))*VLOOKUP(B71,variables!$A$2:$B$6,2,FALSE)</f>
        <v>80</v>
      </c>
      <c r="AD71" s="16" t="str">
        <f>IF($A71="","",INDEX(v_data!$B$2:$X$1000,MATCH($A71,v_data!$A$3:$A$1000,0)+1,MATCH(LOWER("hours"),v_data!$B$2:$X$2,0)))</f>
        <v/>
      </c>
    </row>
    <row r="72" spans="1:30" hidden="1" x14ac:dyDescent="0.25">
      <c r="A72" s="2" t="str">
        <f>IF(ISBLANK(v_data!A71),"",v_data!A71)</f>
        <v/>
      </c>
      <c r="B72" s="2" t="s">
        <v>22</v>
      </c>
      <c r="C72" s="2">
        <f>VLOOKUP(B72,variables!$A$2:$B$6,2,FALSE)</f>
        <v>0.8</v>
      </c>
      <c r="D72" s="4">
        <v>43826</v>
      </c>
      <c r="E72" s="4">
        <v>43431</v>
      </c>
      <c r="F72" s="2" t="str">
        <f>IF($A72="","",INDEX(v_data!$B$2:$L$1000,MATCH($A72,v_data!$A$3:$A$1000,0)+1,MATCH(LOWER(F$1),v_data!$B$2:$L$2,0)))</f>
        <v/>
      </c>
      <c r="G72" s="2" t="str">
        <f t="shared" si="184"/>
        <v/>
      </c>
      <c r="H72" s="2" t="str">
        <f>IF($A72="","",INDEX(v_data!$B$2:$L$1000,MATCH($A72,v_data!$A$3:$A$1000,0)+1,MATCH(LOWER(H$1),v_data!$B$2:$L$2,0)))</f>
        <v/>
      </c>
      <c r="I72" s="2" t="str">
        <f t="shared" si="185"/>
        <v/>
      </c>
      <c r="J72" s="2" t="str">
        <f>IF($A72="","",INDEX(v_data!$B$2:$L$1000,MATCH($A72,v_data!$A$3:$A$1000,0)+1,MATCH(LOWER(J$1),v_data!$B$2:$L$2,0)))</f>
        <v/>
      </c>
      <c r="K72" s="2" t="str">
        <f t="shared" si="186"/>
        <v/>
      </c>
      <c r="L72" s="2" t="str">
        <f>IF($A72="","",INDEX(v_data!$B$2:$L$1000,MATCH($A72,v_data!$A$3:$A$1000,0)+1,MATCH(LOWER(L$1),v_data!$B$2:$L$2,0)))</f>
        <v/>
      </c>
      <c r="M72" s="2" t="str">
        <f t="shared" si="187"/>
        <v/>
      </c>
      <c r="N72" s="2" t="str">
        <f>IF($A72="","",INDEX(v_data!$B$2:$L$1000,MATCH($A72,v_data!$A$3:$A$1000,0)+1,MATCH(LOWER(N$1),v_data!$B$2:$L$2,0)))</f>
        <v/>
      </c>
      <c r="O72" s="2" t="str">
        <f t="shared" si="188"/>
        <v/>
      </c>
      <c r="P72" s="2" t="str">
        <f>IF($A72="","",INDEX(v_data!$B$2:$L$1000,MATCH($A72,v_data!$A$3:$A$1000,0)+1,MATCH(LOWER(P$1),v_data!$B$2:$L$2,0)))</f>
        <v/>
      </c>
      <c r="Q72" s="2" t="str">
        <f t="shared" si="189"/>
        <v/>
      </c>
      <c r="R72" s="2" t="str">
        <f>IF($A72="","",INDEX(v_data!$B$2:$L$1000,MATCH($A72,v_data!$A$3:$A$1000,0)+1,MATCH(LOWER(R$1),v_data!$B$2:$L$2,0)))</f>
        <v/>
      </c>
      <c r="S72" s="2" t="str">
        <f t="shared" si="190"/>
        <v/>
      </c>
      <c r="T72" s="2" t="str">
        <f>IF($A72="","",INDEX(v_data!$B$2:$L$1000,MATCH($A72,v_data!$A$3:$A$1000,0)+1,MATCH(LOWER(T$1),v_data!$B$2:$L$2,0)))</f>
        <v/>
      </c>
      <c r="U72" s="2" t="str">
        <f t="shared" si="191"/>
        <v/>
      </c>
      <c r="V72" s="2" t="str">
        <f>IF($A72="","",INDEX(v_data!$B$2:$L$1000,MATCH($A72,v_data!$A$3:$A$1000,0)+1,MATCH(LOWER(V$1),v_data!$B$2:$L$2,0)))</f>
        <v/>
      </c>
      <c r="W72" s="2" t="str">
        <f t="shared" si="192"/>
        <v/>
      </c>
      <c r="X72" s="2" t="str">
        <f>IF($A72="","",INDEX(v_data!$B$2:$L$1000,MATCH($A72,v_data!$A$3:$A$1000,0)+1,MATCH(LOWER(X$1),v_data!$B$2:$L$2,0)))</f>
        <v/>
      </c>
      <c r="Y72" s="2" t="str">
        <f t="shared" si="193"/>
        <v/>
      </c>
      <c r="Z72" s="2" t="str">
        <f>IF($A72="","",INDEX(v_data!$B$2:$L$1000,MATCH($A72,v_data!$A$3:$A$1000,0)+1,MATCH(LOWER(Z$1),v_data!$B$2:$L$2,0)))</f>
        <v/>
      </c>
      <c r="AA72" s="2" t="str">
        <f t="shared" si="194"/>
        <v/>
      </c>
      <c r="AB72" s="2" t="str">
        <f t="shared" si="195"/>
        <v/>
      </c>
      <c r="AC72" s="2">
        <f>(SUM(G72,I72,K72,M72,O72,Q72,S72,U72,W72,Y72,AA72)+IF(AND(G72&gt;0,I72&gt;0,K72&gt;0),100,0))*VLOOKUP(B72,variables!$A$2:$B$6,2,FALSE)</f>
        <v>80</v>
      </c>
      <c r="AD72" s="16" t="str">
        <f>IF($A72="","",INDEX(v_data!$B$2:$X$1000,MATCH($A72,v_data!$A$3:$A$1000,0)+1,MATCH(LOWER("hours"),v_data!$B$2:$X$2,0)))</f>
        <v/>
      </c>
    </row>
    <row r="73" spans="1:30" hidden="1" x14ac:dyDescent="0.25">
      <c r="A73" s="2" t="str">
        <f>IF(ISBLANK(v_data!A72),"",v_data!A72)</f>
        <v/>
      </c>
      <c r="B73" s="2" t="s">
        <v>22</v>
      </c>
      <c r="C73" s="2">
        <f>VLOOKUP(B73,variables!$A$2:$B$6,2,FALSE)</f>
        <v>0.8</v>
      </c>
      <c r="D73" s="4">
        <v>43826</v>
      </c>
      <c r="E73" s="4">
        <v>43431</v>
      </c>
      <c r="F73" s="2" t="str">
        <f>IF($A73="","",INDEX(v_data!$B$2:$L$1000,MATCH($A73,v_data!$A$3:$A$1000,0)+1,MATCH(LOWER(F$1),v_data!$B$2:$L$2,0)))</f>
        <v/>
      </c>
      <c r="G73" s="2" t="str">
        <f t="shared" si="184"/>
        <v/>
      </c>
      <c r="H73" s="2" t="str">
        <f>IF($A73="","",INDEX(v_data!$B$2:$L$1000,MATCH($A73,v_data!$A$3:$A$1000,0)+1,MATCH(LOWER(H$1),v_data!$B$2:$L$2,0)))</f>
        <v/>
      </c>
      <c r="I73" s="2" t="str">
        <f t="shared" si="185"/>
        <v/>
      </c>
      <c r="J73" s="2" t="str">
        <f>IF($A73="","",INDEX(v_data!$B$2:$L$1000,MATCH($A73,v_data!$A$3:$A$1000,0)+1,MATCH(LOWER(J$1),v_data!$B$2:$L$2,0)))</f>
        <v/>
      </c>
      <c r="K73" s="2" t="str">
        <f t="shared" si="186"/>
        <v/>
      </c>
      <c r="L73" s="2" t="str">
        <f>IF($A73="","",INDEX(v_data!$B$2:$L$1000,MATCH($A73,v_data!$A$3:$A$1000,0)+1,MATCH(LOWER(L$1),v_data!$B$2:$L$2,0)))</f>
        <v/>
      </c>
      <c r="M73" s="2" t="str">
        <f t="shared" si="187"/>
        <v/>
      </c>
      <c r="N73" s="2" t="str">
        <f>IF($A73="","",INDEX(v_data!$B$2:$L$1000,MATCH($A73,v_data!$A$3:$A$1000,0)+1,MATCH(LOWER(N$1),v_data!$B$2:$L$2,0)))</f>
        <v/>
      </c>
      <c r="O73" s="2" t="str">
        <f t="shared" si="188"/>
        <v/>
      </c>
      <c r="P73" s="2" t="str">
        <f>IF($A73="","",INDEX(v_data!$B$2:$L$1000,MATCH($A73,v_data!$A$3:$A$1000,0)+1,MATCH(LOWER(P$1),v_data!$B$2:$L$2,0)))</f>
        <v/>
      </c>
      <c r="Q73" s="2" t="str">
        <f t="shared" si="189"/>
        <v/>
      </c>
      <c r="R73" s="2" t="str">
        <f>IF($A73="","",INDEX(v_data!$B$2:$L$1000,MATCH($A73,v_data!$A$3:$A$1000,0)+1,MATCH(LOWER(R$1),v_data!$B$2:$L$2,0)))</f>
        <v/>
      </c>
      <c r="S73" s="2" t="str">
        <f t="shared" si="190"/>
        <v/>
      </c>
      <c r="T73" s="2" t="str">
        <f>IF($A73="","",INDEX(v_data!$B$2:$L$1000,MATCH($A73,v_data!$A$3:$A$1000,0)+1,MATCH(LOWER(T$1),v_data!$B$2:$L$2,0)))</f>
        <v/>
      </c>
      <c r="U73" s="2" t="str">
        <f t="shared" si="191"/>
        <v/>
      </c>
      <c r="V73" s="2" t="str">
        <f>IF($A73="","",INDEX(v_data!$B$2:$L$1000,MATCH($A73,v_data!$A$3:$A$1000,0)+1,MATCH(LOWER(V$1),v_data!$B$2:$L$2,0)))</f>
        <v/>
      </c>
      <c r="W73" s="2" t="str">
        <f t="shared" si="192"/>
        <v/>
      </c>
      <c r="X73" s="2" t="str">
        <f>IF($A73="","",INDEX(v_data!$B$2:$L$1000,MATCH($A73,v_data!$A$3:$A$1000,0)+1,MATCH(LOWER(X$1),v_data!$B$2:$L$2,0)))</f>
        <v/>
      </c>
      <c r="Y73" s="2" t="str">
        <f t="shared" si="193"/>
        <v/>
      </c>
      <c r="Z73" s="2" t="str">
        <f>IF($A73="","",INDEX(v_data!$B$2:$L$1000,MATCH($A73,v_data!$A$3:$A$1000,0)+1,MATCH(LOWER(Z$1),v_data!$B$2:$L$2,0)))</f>
        <v/>
      </c>
      <c r="AA73" s="2" t="str">
        <f t="shared" si="194"/>
        <v/>
      </c>
      <c r="AB73" s="2" t="str">
        <f t="shared" si="195"/>
        <v/>
      </c>
      <c r="AC73" s="2">
        <f>(SUM(G73,I73,K73,M73,O73,Q73,S73,U73,W73,Y73,AA73)+IF(AND(G73&gt;0,I73&gt;0,K73&gt;0),100,0))*VLOOKUP(B73,variables!$A$2:$B$6,2,FALSE)</f>
        <v>80</v>
      </c>
      <c r="AD73" s="16" t="str">
        <f>IF($A73="","",INDEX(v_data!$B$2:$X$1000,MATCH($A73,v_data!$A$3:$A$1000,0)+1,MATCH(LOWER("hours"),v_data!$B$2:$X$2,0)))</f>
        <v/>
      </c>
    </row>
    <row r="74" spans="1:30" hidden="1" x14ac:dyDescent="0.25">
      <c r="A74" s="2" t="str">
        <f>IF(ISBLANK(v_data!A73),"",v_data!A73)</f>
        <v/>
      </c>
      <c r="B74" s="2" t="s">
        <v>22</v>
      </c>
      <c r="C74" s="2">
        <f>VLOOKUP(B74,variables!$A$2:$B$6,2,FALSE)</f>
        <v>0.8</v>
      </c>
      <c r="D74" s="4">
        <v>43826</v>
      </c>
      <c r="E74" s="4">
        <v>43431</v>
      </c>
      <c r="F74" s="2" t="str">
        <f>IF($A74="","",INDEX(v_data!$B$2:$L$1000,MATCH($A74,v_data!$A$3:$A$1000,0)+1,MATCH(LOWER(F$1),v_data!$B$2:$L$2,0)))</f>
        <v/>
      </c>
      <c r="G74" s="2" t="str">
        <f t="shared" si="184"/>
        <v/>
      </c>
      <c r="H74" s="2" t="str">
        <f>IF($A74="","",INDEX(v_data!$B$2:$L$1000,MATCH($A74,v_data!$A$3:$A$1000,0)+1,MATCH(LOWER(H$1),v_data!$B$2:$L$2,0)))</f>
        <v/>
      </c>
      <c r="I74" s="2" t="str">
        <f t="shared" si="185"/>
        <v/>
      </c>
      <c r="J74" s="2" t="str">
        <f>IF($A74="","",INDEX(v_data!$B$2:$L$1000,MATCH($A74,v_data!$A$3:$A$1000,0)+1,MATCH(LOWER(J$1),v_data!$B$2:$L$2,0)))</f>
        <v/>
      </c>
      <c r="K74" s="2" t="str">
        <f t="shared" si="186"/>
        <v/>
      </c>
      <c r="L74" s="2" t="str">
        <f>IF($A74="","",INDEX(v_data!$B$2:$L$1000,MATCH($A74,v_data!$A$3:$A$1000,0)+1,MATCH(LOWER(L$1),v_data!$B$2:$L$2,0)))</f>
        <v/>
      </c>
      <c r="M74" s="2" t="str">
        <f t="shared" si="187"/>
        <v/>
      </c>
      <c r="N74" s="2" t="str">
        <f>IF($A74="","",INDEX(v_data!$B$2:$L$1000,MATCH($A74,v_data!$A$3:$A$1000,0)+1,MATCH(LOWER(N$1),v_data!$B$2:$L$2,0)))</f>
        <v/>
      </c>
      <c r="O74" s="2" t="str">
        <f t="shared" si="188"/>
        <v/>
      </c>
      <c r="P74" s="2" t="str">
        <f>IF($A74="","",INDEX(v_data!$B$2:$L$1000,MATCH($A74,v_data!$A$3:$A$1000,0)+1,MATCH(LOWER(P$1),v_data!$B$2:$L$2,0)))</f>
        <v/>
      </c>
      <c r="Q74" s="2" t="str">
        <f t="shared" si="189"/>
        <v/>
      </c>
      <c r="R74" s="2" t="str">
        <f>IF($A74="","",INDEX(v_data!$B$2:$L$1000,MATCH($A74,v_data!$A$3:$A$1000,0)+1,MATCH(LOWER(R$1),v_data!$B$2:$L$2,0)))</f>
        <v/>
      </c>
      <c r="S74" s="2" t="str">
        <f t="shared" si="190"/>
        <v/>
      </c>
      <c r="T74" s="2" t="str">
        <f>IF($A74="","",INDEX(v_data!$B$2:$L$1000,MATCH($A74,v_data!$A$3:$A$1000,0)+1,MATCH(LOWER(T$1),v_data!$B$2:$L$2,0)))</f>
        <v/>
      </c>
      <c r="U74" s="2" t="str">
        <f t="shared" si="191"/>
        <v/>
      </c>
      <c r="V74" s="2" t="str">
        <f>IF($A74="","",INDEX(v_data!$B$2:$L$1000,MATCH($A74,v_data!$A$3:$A$1000,0)+1,MATCH(LOWER(V$1),v_data!$B$2:$L$2,0)))</f>
        <v/>
      </c>
      <c r="W74" s="2" t="str">
        <f t="shared" si="192"/>
        <v/>
      </c>
      <c r="X74" s="2" t="str">
        <f>IF($A74="","",INDEX(v_data!$B$2:$L$1000,MATCH($A74,v_data!$A$3:$A$1000,0)+1,MATCH(LOWER(X$1),v_data!$B$2:$L$2,0)))</f>
        <v/>
      </c>
      <c r="Y74" s="2" t="str">
        <f t="shared" si="193"/>
        <v/>
      </c>
      <c r="Z74" s="2" t="str">
        <f>IF($A74="","",INDEX(v_data!$B$2:$L$1000,MATCH($A74,v_data!$A$3:$A$1000,0)+1,MATCH(LOWER(Z$1),v_data!$B$2:$L$2,0)))</f>
        <v/>
      </c>
      <c r="AA74" s="2" t="str">
        <f t="shared" si="194"/>
        <v/>
      </c>
      <c r="AB74" s="2" t="str">
        <f t="shared" si="195"/>
        <v/>
      </c>
      <c r="AC74" s="2">
        <f>(SUM(G74,I74,K74,M74,O74,Q74,S74,U74,W74,Y74,AA74)+IF(AND(G74&gt;0,I74&gt;0,K74&gt;0),100,0))*VLOOKUP(B74,variables!$A$2:$B$6,2,FALSE)</f>
        <v>80</v>
      </c>
      <c r="AD74" s="16" t="str">
        <f>IF($A74="","",INDEX(v_data!$B$2:$X$1000,MATCH($A74,v_data!$A$3:$A$1000,0)+1,MATCH(LOWER("hours"),v_data!$B$2:$X$2,0)))</f>
        <v/>
      </c>
    </row>
    <row r="75" spans="1:30" hidden="1" x14ac:dyDescent="0.25">
      <c r="A75" s="2" t="str">
        <f>IF(ISBLANK(v_data!A74),"",v_data!A74)</f>
        <v/>
      </c>
      <c r="B75" s="2" t="s">
        <v>22</v>
      </c>
      <c r="C75" s="2">
        <f>VLOOKUP(B75,variables!$A$2:$B$6,2,FALSE)</f>
        <v>0.8</v>
      </c>
      <c r="D75" s="4">
        <v>43826</v>
      </c>
      <c r="E75" s="4">
        <v>43431</v>
      </c>
      <c r="F75" s="2" t="str">
        <f>IF($A75="","",INDEX(v_data!$B$2:$L$1000,MATCH($A75,v_data!$A$3:$A$1000,0)+1,MATCH(LOWER(F$1),v_data!$B$2:$L$2,0)))</f>
        <v/>
      </c>
      <c r="G75" s="2" t="str">
        <f t="shared" si="184"/>
        <v/>
      </c>
      <c r="H75" s="2" t="str">
        <f>IF($A75="","",INDEX(v_data!$B$2:$L$1000,MATCH($A75,v_data!$A$3:$A$1000,0)+1,MATCH(LOWER(H$1),v_data!$B$2:$L$2,0)))</f>
        <v/>
      </c>
      <c r="I75" s="2" t="str">
        <f t="shared" si="185"/>
        <v/>
      </c>
      <c r="J75" s="2" t="str">
        <f>IF($A75="","",INDEX(v_data!$B$2:$L$1000,MATCH($A75,v_data!$A$3:$A$1000,0)+1,MATCH(LOWER(J$1),v_data!$B$2:$L$2,0)))</f>
        <v/>
      </c>
      <c r="K75" s="2" t="str">
        <f t="shared" si="186"/>
        <v/>
      </c>
      <c r="L75" s="2" t="str">
        <f>IF($A75="","",INDEX(v_data!$B$2:$L$1000,MATCH($A75,v_data!$A$3:$A$1000,0)+1,MATCH(LOWER(L$1),v_data!$B$2:$L$2,0)))</f>
        <v/>
      </c>
      <c r="M75" s="2" t="str">
        <f t="shared" si="187"/>
        <v/>
      </c>
      <c r="N75" s="2" t="str">
        <f>IF($A75="","",INDEX(v_data!$B$2:$L$1000,MATCH($A75,v_data!$A$3:$A$1000,0)+1,MATCH(LOWER(N$1),v_data!$B$2:$L$2,0)))</f>
        <v/>
      </c>
      <c r="O75" s="2" t="str">
        <f t="shared" si="188"/>
        <v/>
      </c>
      <c r="P75" s="2" t="str">
        <f>IF($A75="","",INDEX(v_data!$B$2:$L$1000,MATCH($A75,v_data!$A$3:$A$1000,0)+1,MATCH(LOWER(P$1),v_data!$B$2:$L$2,0)))</f>
        <v/>
      </c>
      <c r="Q75" s="2" t="str">
        <f t="shared" si="189"/>
        <v/>
      </c>
      <c r="R75" s="2" t="str">
        <f>IF($A75="","",INDEX(v_data!$B$2:$L$1000,MATCH($A75,v_data!$A$3:$A$1000,0)+1,MATCH(LOWER(R$1),v_data!$B$2:$L$2,0)))</f>
        <v/>
      </c>
      <c r="S75" s="2" t="str">
        <f t="shared" si="190"/>
        <v/>
      </c>
      <c r="T75" s="2" t="str">
        <f>IF($A75="","",INDEX(v_data!$B$2:$L$1000,MATCH($A75,v_data!$A$3:$A$1000,0)+1,MATCH(LOWER(T$1),v_data!$B$2:$L$2,0)))</f>
        <v/>
      </c>
      <c r="U75" s="2" t="str">
        <f t="shared" si="191"/>
        <v/>
      </c>
      <c r="V75" s="2" t="str">
        <f>IF($A75="","",INDEX(v_data!$B$2:$L$1000,MATCH($A75,v_data!$A$3:$A$1000,0)+1,MATCH(LOWER(V$1),v_data!$B$2:$L$2,0)))</f>
        <v/>
      </c>
      <c r="W75" s="2" t="str">
        <f t="shared" si="192"/>
        <v/>
      </c>
      <c r="X75" s="2" t="str">
        <f>IF($A75="","",INDEX(v_data!$B$2:$L$1000,MATCH($A75,v_data!$A$3:$A$1000,0)+1,MATCH(LOWER(X$1),v_data!$B$2:$L$2,0)))</f>
        <v/>
      </c>
      <c r="Y75" s="2" t="str">
        <f t="shared" si="193"/>
        <v/>
      </c>
      <c r="Z75" s="2" t="str">
        <f>IF($A75="","",INDEX(v_data!$B$2:$L$1000,MATCH($A75,v_data!$A$3:$A$1000,0)+1,MATCH(LOWER(Z$1),v_data!$B$2:$L$2,0)))</f>
        <v/>
      </c>
      <c r="AA75" s="2" t="str">
        <f t="shared" si="194"/>
        <v/>
      </c>
      <c r="AB75" s="2" t="str">
        <f t="shared" si="195"/>
        <v/>
      </c>
      <c r="AC75" s="2">
        <f>(SUM(G75,I75,K75,M75,O75,Q75,S75,U75,W75,Y75,AA75)+IF(AND(G75&gt;0,I75&gt;0,K75&gt;0),100,0))*VLOOKUP(B75,variables!$A$2:$B$6,2,FALSE)</f>
        <v>80</v>
      </c>
      <c r="AD75" s="16" t="str">
        <f>IF($A75="","",INDEX(v_data!$B$2:$X$1000,MATCH($A75,v_data!$A$3:$A$1000,0)+1,MATCH(LOWER("hours"),v_data!$B$2:$X$2,0)))</f>
        <v/>
      </c>
    </row>
    <row r="76" spans="1:30" hidden="1" x14ac:dyDescent="0.25">
      <c r="A76" s="2" t="str">
        <f>IF(ISBLANK(v_data!A75),"",v_data!A75)</f>
        <v/>
      </c>
      <c r="B76" s="2" t="s">
        <v>22</v>
      </c>
      <c r="C76" s="2">
        <f>VLOOKUP(B76,variables!$A$2:$B$6,2,FALSE)</f>
        <v>0.8</v>
      </c>
      <c r="D76" s="4">
        <v>43826</v>
      </c>
      <c r="E76" s="4">
        <v>43431</v>
      </c>
      <c r="F76" s="2" t="str">
        <f>IF($A76="","",INDEX(v_data!$B$2:$L$1000,MATCH($A76,v_data!$A$3:$A$1000,0)+1,MATCH(LOWER(F$1),v_data!$B$2:$L$2,0)))</f>
        <v/>
      </c>
      <c r="G76" s="2" t="str">
        <f t="shared" si="184"/>
        <v/>
      </c>
      <c r="H76" s="2" t="str">
        <f>IF($A76="","",INDEX(v_data!$B$2:$L$1000,MATCH($A76,v_data!$A$3:$A$1000,0)+1,MATCH(LOWER(H$1),v_data!$B$2:$L$2,0)))</f>
        <v/>
      </c>
      <c r="I76" s="2" t="str">
        <f t="shared" si="185"/>
        <v/>
      </c>
      <c r="J76" s="2" t="str">
        <f>IF($A76="","",INDEX(v_data!$B$2:$L$1000,MATCH($A76,v_data!$A$3:$A$1000,0)+1,MATCH(LOWER(J$1),v_data!$B$2:$L$2,0)))</f>
        <v/>
      </c>
      <c r="K76" s="2" t="str">
        <f t="shared" si="186"/>
        <v/>
      </c>
      <c r="L76" s="2" t="str">
        <f>IF($A76="","",INDEX(v_data!$B$2:$L$1000,MATCH($A76,v_data!$A$3:$A$1000,0)+1,MATCH(LOWER(L$1),v_data!$B$2:$L$2,0)))</f>
        <v/>
      </c>
      <c r="M76" s="2" t="str">
        <f t="shared" si="187"/>
        <v/>
      </c>
      <c r="N76" s="2" t="str">
        <f>IF($A76="","",INDEX(v_data!$B$2:$L$1000,MATCH($A76,v_data!$A$3:$A$1000,0)+1,MATCH(LOWER(N$1),v_data!$B$2:$L$2,0)))</f>
        <v/>
      </c>
      <c r="O76" s="2" t="str">
        <f t="shared" si="188"/>
        <v/>
      </c>
      <c r="P76" s="2" t="str">
        <f>IF($A76="","",INDEX(v_data!$B$2:$L$1000,MATCH($A76,v_data!$A$3:$A$1000,0)+1,MATCH(LOWER(P$1),v_data!$B$2:$L$2,0)))</f>
        <v/>
      </c>
      <c r="Q76" s="2" t="str">
        <f t="shared" si="189"/>
        <v/>
      </c>
      <c r="R76" s="2" t="str">
        <f>IF($A76="","",INDEX(v_data!$B$2:$L$1000,MATCH($A76,v_data!$A$3:$A$1000,0)+1,MATCH(LOWER(R$1),v_data!$B$2:$L$2,0)))</f>
        <v/>
      </c>
      <c r="S76" s="2" t="str">
        <f t="shared" si="190"/>
        <v/>
      </c>
      <c r="T76" s="2" t="str">
        <f>IF($A76="","",INDEX(v_data!$B$2:$L$1000,MATCH($A76,v_data!$A$3:$A$1000,0)+1,MATCH(LOWER(T$1),v_data!$B$2:$L$2,0)))</f>
        <v/>
      </c>
      <c r="U76" s="2" t="str">
        <f t="shared" si="191"/>
        <v/>
      </c>
      <c r="V76" s="2" t="str">
        <f>IF($A76="","",INDEX(v_data!$B$2:$L$1000,MATCH($A76,v_data!$A$3:$A$1000,0)+1,MATCH(LOWER(V$1),v_data!$B$2:$L$2,0)))</f>
        <v/>
      </c>
      <c r="W76" s="2" t="str">
        <f t="shared" si="192"/>
        <v/>
      </c>
      <c r="X76" s="2" t="str">
        <f>IF($A76="","",INDEX(v_data!$B$2:$L$1000,MATCH($A76,v_data!$A$3:$A$1000,0)+1,MATCH(LOWER(X$1),v_data!$B$2:$L$2,0)))</f>
        <v/>
      </c>
      <c r="Y76" s="2" t="str">
        <f t="shared" si="193"/>
        <v/>
      </c>
      <c r="Z76" s="2" t="str">
        <f>IF($A76="","",INDEX(v_data!$B$2:$L$1000,MATCH($A76,v_data!$A$3:$A$1000,0)+1,MATCH(LOWER(Z$1),v_data!$B$2:$L$2,0)))</f>
        <v/>
      </c>
      <c r="AA76" s="2" t="str">
        <f t="shared" si="194"/>
        <v/>
      </c>
      <c r="AB76" s="2" t="str">
        <f t="shared" si="195"/>
        <v/>
      </c>
      <c r="AC76" s="2">
        <f>(SUM(G76,I76,K76,M76,O76,Q76,S76,U76,W76,Y76,AA76)+IF(AND(G76&gt;0,I76&gt;0,K76&gt;0),100,0))*VLOOKUP(B76,variables!$A$2:$B$6,2,FALSE)</f>
        <v>80</v>
      </c>
      <c r="AD76" s="16" t="str">
        <f>IF($A76="","",INDEX(v_data!$B$2:$X$1000,MATCH($A76,v_data!$A$3:$A$1000,0)+1,MATCH(LOWER("hours"),v_data!$B$2:$X$2,0)))</f>
        <v/>
      </c>
    </row>
    <row r="77" spans="1:30" hidden="1" x14ac:dyDescent="0.25">
      <c r="A77" s="2" t="str">
        <f>IF(ISBLANK(v_data!A76),"",v_data!A76)</f>
        <v/>
      </c>
      <c r="B77" s="2" t="s">
        <v>22</v>
      </c>
      <c r="C77" s="2">
        <f>VLOOKUP(B77,variables!$A$2:$B$6,2,FALSE)</f>
        <v>0.8</v>
      </c>
      <c r="D77" s="4">
        <v>43826</v>
      </c>
      <c r="E77" s="4">
        <v>43431</v>
      </c>
      <c r="F77" s="2" t="str">
        <f>IF($A77="","",INDEX(v_data!$B$2:$L$1000,MATCH($A77,v_data!$A$3:$A$1000,0)+1,MATCH(LOWER(F$1),v_data!$B$2:$L$2,0)))</f>
        <v/>
      </c>
      <c r="G77" s="2" t="str">
        <f t="shared" si="184"/>
        <v/>
      </c>
      <c r="H77" s="2" t="str">
        <f>IF($A77="","",INDEX(v_data!$B$2:$L$1000,MATCH($A77,v_data!$A$3:$A$1000,0)+1,MATCH(LOWER(H$1),v_data!$B$2:$L$2,0)))</f>
        <v/>
      </c>
      <c r="I77" s="2" t="str">
        <f t="shared" si="185"/>
        <v/>
      </c>
      <c r="J77" s="2" t="str">
        <f>IF($A77="","",INDEX(v_data!$B$2:$L$1000,MATCH($A77,v_data!$A$3:$A$1000,0)+1,MATCH(LOWER(J$1),v_data!$B$2:$L$2,0)))</f>
        <v/>
      </c>
      <c r="K77" s="2" t="str">
        <f t="shared" si="186"/>
        <v/>
      </c>
      <c r="L77" s="2" t="str">
        <f>IF($A77="","",INDEX(v_data!$B$2:$L$1000,MATCH($A77,v_data!$A$3:$A$1000,0)+1,MATCH(LOWER(L$1),v_data!$B$2:$L$2,0)))</f>
        <v/>
      </c>
      <c r="M77" s="2" t="str">
        <f t="shared" si="187"/>
        <v/>
      </c>
      <c r="N77" s="2" t="str">
        <f>IF($A77="","",INDEX(v_data!$B$2:$L$1000,MATCH($A77,v_data!$A$3:$A$1000,0)+1,MATCH(LOWER(N$1),v_data!$B$2:$L$2,0)))</f>
        <v/>
      </c>
      <c r="O77" s="2" t="str">
        <f t="shared" si="188"/>
        <v/>
      </c>
      <c r="P77" s="2" t="str">
        <f>IF($A77="","",INDEX(v_data!$B$2:$L$1000,MATCH($A77,v_data!$A$3:$A$1000,0)+1,MATCH(LOWER(P$1),v_data!$B$2:$L$2,0)))</f>
        <v/>
      </c>
      <c r="Q77" s="2" t="str">
        <f t="shared" si="189"/>
        <v/>
      </c>
      <c r="R77" s="2" t="str">
        <f>IF($A77="","",INDEX(v_data!$B$2:$L$1000,MATCH($A77,v_data!$A$3:$A$1000,0)+1,MATCH(LOWER(R$1),v_data!$B$2:$L$2,0)))</f>
        <v/>
      </c>
      <c r="S77" s="2" t="str">
        <f t="shared" si="190"/>
        <v/>
      </c>
      <c r="T77" s="2" t="str">
        <f>IF($A77="","",INDEX(v_data!$B$2:$L$1000,MATCH($A77,v_data!$A$3:$A$1000,0)+1,MATCH(LOWER(T$1),v_data!$B$2:$L$2,0)))</f>
        <v/>
      </c>
      <c r="U77" s="2" t="str">
        <f t="shared" si="191"/>
        <v/>
      </c>
      <c r="V77" s="2" t="str">
        <f>IF($A77="","",INDEX(v_data!$B$2:$L$1000,MATCH($A77,v_data!$A$3:$A$1000,0)+1,MATCH(LOWER(V$1),v_data!$B$2:$L$2,0)))</f>
        <v/>
      </c>
      <c r="W77" s="2" t="str">
        <f t="shared" si="192"/>
        <v/>
      </c>
      <c r="X77" s="2" t="str">
        <f>IF($A77="","",INDEX(v_data!$B$2:$L$1000,MATCH($A77,v_data!$A$3:$A$1000,0)+1,MATCH(LOWER(X$1),v_data!$B$2:$L$2,0)))</f>
        <v/>
      </c>
      <c r="Y77" s="2" t="str">
        <f t="shared" si="193"/>
        <v/>
      </c>
      <c r="Z77" s="2" t="str">
        <f>IF($A77="","",INDEX(v_data!$B$2:$L$1000,MATCH($A77,v_data!$A$3:$A$1000,0)+1,MATCH(LOWER(Z$1),v_data!$B$2:$L$2,0)))</f>
        <v/>
      </c>
      <c r="AA77" s="2" t="str">
        <f t="shared" si="194"/>
        <v/>
      </c>
      <c r="AB77" s="2" t="str">
        <f t="shared" si="195"/>
        <v/>
      </c>
      <c r="AC77" s="2">
        <f>(SUM(G77,I77,K77,M77,O77,Q77,S77,U77,W77,Y77,AA77)+IF(AND(G77&gt;0,I77&gt;0,K77&gt;0),100,0))*VLOOKUP(B77,variables!$A$2:$B$6,2,FALSE)</f>
        <v>80</v>
      </c>
      <c r="AD77" s="16" t="str">
        <f>IF($A77="","",INDEX(v_data!$B$2:$X$1000,MATCH($A77,v_data!$A$3:$A$1000,0)+1,MATCH(LOWER("hours"),v_data!$B$2:$X$2,0)))</f>
        <v/>
      </c>
    </row>
    <row r="78" spans="1:30" hidden="1" x14ac:dyDescent="0.25">
      <c r="A78" s="2" t="str">
        <f>IF(ISBLANK(v_data!A77),"",v_data!A77)</f>
        <v/>
      </c>
      <c r="B78" s="2" t="s">
        <v>22</v>
      </c>
      <c r="C78" s="2">
        <f>VLOOKUP(B78,variables!$A$2:$B$6,2,FALSE)</f>
        <v>0.8</v>
      </c>
      <c r="D78" s="4">
        <v>43826</v>
      </c>
      <c r="E78" s="4">
        <v>43431</v>
      </c>
      <c r="F78" s="2" t="str">
        <f>IF($A78="","",INDEX(v_data!$B$2:$L$1000,MATCH($A78,v_data!$A$3:$A$1000,0)+1,MATCH(LOWER(F$1),v_data!$B$2:$L$2,0)))</f>
        <v/>
      </c>
      <c r="G78" s="2" t="str">
        <f t="shared" si="184"/>
        <v/>
      </c>
      <c r="H78" s="2" t="str">
        <f>IF($A78="","",INDEX(v_data!$B$2:$L$1000,MATCH($A78,v_data!$A$3:$A$1000,0)+1,MATCH(LOWER(H$1),v_data!$B$2:$L$2,0)))</f>
        <v/>
      </c>
      <c r="I78" s="2" t="str">
        <f t="shared" si="185"/>
        <v/>
      </c>
      <c r="J78" s="2" t="str">
        <f>IF($A78="","",INDEX(v_data!$B$2:$L$1000,MATCH($A78,v_data!$A$3:$A$1000,0)+1,MATCH(LOWER(J$1),v_data!$B$2:$L$2,0)))</f>
        <v/>
      </c>
      <c r="K78" s="2" t="str">
        <f t="shared" si="186"/>
        <v/>
      </c>
      <c r="L78" s="2" t="str">
        <f>IF($A78="","",INDEX(v_data!$B$2:$L$1000,MATCH($A78,v_data!$A$3:$A$1000,0)+1,MATCH(LOWER(L$1),v_data!$B$2:$L$2,0)))</f>
        <v/>
      </c>
      <c r="M78" s="2" t="str">
        <f t="shared" si="187"/>
        <v/>
      </c>
      <c r="N78" s="2" t="str">
        <f>IF($A78="","",INDEX(v_data!$B$2:$L$1000,MATCH($A78,v_data!$A$3:$A$1000,0)+1,MATCH(LOWER(N$1),v_data!$B$2:$L$2,0)))</f>
        <v/>
      </c>
      <c r="O78" s="2" t="str">
        <f t="shared" si="188"/>
        <v/>
      </c>
      <c r="P78" s="2" t="str">
        <f>IF($A78="","",INDEX(v_data!$B$2:$L$1000,MATCH($A78,v_data!$A$3:$A$1000,0)+1,MATCH(LOWER(P$1),v_data!$B$2:$L$2,0)))</f>
        <v/>
      </c>
      <c r="Q78" s="2" t="str">
        <f t="shared" si="189"/>
        <v/>
      </c>
      <c r="R78" s="2" t="str">
        <f>IF($A78="","",INDEX(v_data!$B$2:$L$1000,MATCH($A78,v_data!$A$3:$A$1000,0)+1,MATCH(LOWER(R$1),v_data!$B$2:$L$2,0)))</f>
        <v/>
      </c>
      <c r="S78" s="2" t="str">
        <f t="shared" si="190"/>
        <v/>
      </c>
      <c r="T78" s="2" t="str">
        <f>IF($A78="","",INDEX(v_data!$B$2:$L$1000,MATCH($A78,v_data!$A$3:$A$1000,0)+1,MATCH(LOWER(T$1),v_data!$B$2:$L$2,0)))</f>
        <v/>
      </c>
      <c r="U78" s="2" t="str">
        <f t="shared" si="191"/>
        <v/>
      </c>
      <c r="V78" s="2" t="str">
        <f>IF($A78="","",INDEX(v_data!$B$2:$L$1000,MATCH($A78,v_data!$A$3:$A$1000,0)+1,MATCH(LOWER(V$1),v_data!$B$2:$L$2,0)))</f>
        <v/>
      </c>
      <c r="W78" s="2" t="str">
        <f t="shared" si="192"/>
        <v/>
      </c>
      <c r="X78" s="2" t="str">
        <f>IF($A78="","",INDEX(v_data!$B$2:$L$1000,MATCH($A78,v_data!$A$3:$A$1000,0)+1,MATCH(LOWER(X$1),v_data!$B$2:$L$2,0)))</f>
        <v/>
      </c>
      <c r="Y78" s="2" t="str">
        <f t="shared" si="193"/>
        <v/>
      </c>
      <c r="Z78" s="2" t="str">
        <f>IF($A78="","",INDEX(v_data!$B$2:$L$1000,MATCH($A78,v_data!$A$3:$A$1000,0)+1,MATCH(LOWER(Z$1),v_data!$B$2:$L$2,0)))</f>
        <v/>
      </c>
      <c r="AA78" s="2" t="str">
        <f t="shared" si="194"/>
        <v/>
      </c>
      <c r="AB78" s="2" t="str">
        <f t="shared" si="195"/>
        <v/>
      </c>
      <c r="AC78" s="2">
        <f>(SUM(G78,I78,K78,M78,O78,Q78,S78,U78,W78,Y78,AA78)+IF(AND(G78&gt;0,I78&gt;0,K78&gt;0),100,0))*VLOOKUP(B78,variables!$A$2:$B$6,2,FALSE)</f>
        <v>80</v>
      </c>
      <c r="AD78" s="16" t="str">
        <f>IF($A78="","",INDEX(v_data!$B$2:$X$1000,MATCH($A78,v_data!$A$3:$A$1000,0)+1,MATCH(LOWER("hours"),v_data!$B$2:$X$2,0)))</f>
        <v/>
      </c>
    </row>
    <row r="79" spans="1:30" hidden="1" x14ac:dyDescent="0.25">
      <c r="A79" s="2" t="str">
        <f>IF(ISBLANK(v_data!A78),"",v_data!A78)</f>
        <v/>
      </c>
      <c r="B79" s="2" t="s">
        <v>22</v>
      </c>
      <c r="C79" s="2">
        <f>VLOOKUP(B79,variables!$A$2:$B$6,2,FALSE)</f>
        <v>0.8</v>
      </c>
      <c r="D79" s="4">
        <v>43826</v>
      </c>
      <c r="E79" s="4">
        <v>43431</v>
      </c>
      <c r="F79" s="2" t="str">
        <f>IF($A79="","",INDEX(v_data!$B$2:$L$1000,MATCH($A79,v_data!$A$3:$A$1000,0)+1,MATCH(LOWER(F$1),v_data!$B$2:$L$2,0)))</f>
        <v/>
      </c>
      <c r="G79" s="2" t="str">
        <f t="shared" si="184"/>
        <v/>
      </c>
      <c r="H79" s="2" t="str">
        <f>IF($A79="","",INDEX(v_data!$B$2:$L$1000,MATCH($A79,v_data!$A$3:$A$1000,0)+1,MATCH(LOWER(H$1),v_data!$B$2:$L$2,0)))</f>
        <v/>
      </c>
      <c r="I79" s="2" t="str">
        <f t="shared" si="185"/>
        <v/>
      </c>
      <c r="J79" s="2" t="str">
        <f>IF($A79="","",INDEX(v_data!$B$2:$L$1000,MATCH($A79,v_data!$A$3:$A$1000,0)+1,MATCH(LOWER(J$1),v_data!$B$2:$L$2,0)))</f>
        <v/>
      </c>
      <c r="K79" s="2" t="str">
        <f t="shared" si="186"/>
        <v/>
      </c>
      <c r="L79" s="2" t="str">
        <f>IF($A79="","",INDEX(v_data!$B$2:$L$1000,MATCH($A79,v_data!$A$3:$A$1000,0)+1,MATCH(LOWER(L$1),v_data!$B$2:$L$2,0)))</f>
        <v/>
      </c>
      <c r="M79" s="2" t="str">
        <f t="shared" si="187"/>
        <v/>
      </c>
      <c r="N79" s="2" t="str">
        <f>IF($A79="","",INDEX(v_data!$B$2:$L$1000,MATCH($A79,v_data!$A$3:$A$1000,0)+1,MATCH(LOWER(N$1),v_data!$B$2:$L$2,0)))</f>
        <v/>
      </c>
      <c r="O79" s="2" t="str">
        <f t="shared" si="188"/>
        <v/>
      </c>
      <c r="P79" s="2" t="str">
        <f>IF($A79="","",INDEX(v_data!$B$2:$L$1000,MATCH($A79,v_data!$A$3:$A$1000,0)+1,MATCH(LOWER(P$1),v_data!$B$2:$L$2,0)))</f>
        <v/>
      </c>
      <c r="Q79" s="2" t="str">
        <f t="shared" si="189"/>
        <v/>
      </c>
      <c r="R79" s="2" t="str">
        <f>IF($A79="","",INDEX(v_data!$B$2:$L$1000,MATCH($A79,v_data!$A$3:$A$1000,0)+1,MATCH(LOWER(R$1),v_data!$B$2:$L$2,0)))</f>
        <v/>
      </c>
      <c r="S79" s="2" t="str">
        <f t="shared" si="190"/>
        <v/>
      </c>
      <c r="T79" s="2" t="str">
        <f>IF($A79="","",INDEX(v_data!$B$2:$L$1000,MATCH($A79,v_data!$A$3:$A$1000,0)+1,MATCH(LOWER(T$1),v_data!$B$2:$L$2,0)))</f>
        <v/>
      </c>
      <c r="U79" s="2" t="str">
        <f t="shared" si="191"/>
        <v/>
      </c>
      <c r="V79" s="2" t="str">
        <f>IF($A79="","",INDEX(v_data!$B$2:$L$1000,MATCH($A79,v_data!$A$3:$A$1000,0)+1,MATCH(LOWER(V$1),v_data!$B$2:$L$2,0)))</f>
        <v/>
      </c>
      <c r="W79" s="2" t="str">
        <f t="shared" si="192"/>
        <v/>
      </c>
      <c r="X79" s="2" t="str">
        <f>IF($A79="","",INDEX(v_data!$B$2:$L$1000,MATCH($A79,v_data!$A$3:$A$1000,0)+1,MATCH(LOWER(X$1),v_data!$B$2:$L$2,0)))</f>
        <v/>
      </c>
      <c r="Y79" s="2" t="str">
        <f t="shared" si="193"/>
        <v/>
      </c>
      <c r="Z79" s="2" t="str">
        <f>IF($A79="","",INDEX(v_data!$B$2:$L$1000,MATCH($A79,v_data!$A$3:$A$1000,0)+1,MATCH(LOWER(Z$1),v_data!$B$2:$L$2,0)))</f>
        <v/>
      </c>
      <c r="AA79" s="2" t="str">
        <f t="shared" si="194"/>
        <v/>
      </c>
      <c r="AB79" s="2" t="str">
        <f t="shared" si="195"/>
        <v/>
      </c>
      <c r="AC79" s="2">
        <f>(SUM(G79,I79,K79,M79,O79,Q79,S79,U79,W79,Y79,AA79)+IF(AND(G79&gt;0,I79&gt;0,K79&gt;0),100,0))*VLOOKUP(B79,variables!$A$2:$B$6,2,FALSE)</f>
        <v>80</v>
      </c>
      <c r="AD79" s="16" t="str">
        <f>IF($A79="","",INDEX(v_data!$B$2:$X$1000,MATCH($A79,v_data!$A$3:$A$1000,0)+1,MATCH(LOWER("hours"),v_data!$B$2:$X$2,0)))</f>
        <v/>
      </c>
    </row>
    <row r="80" spans="1:30" hidden="1" x14ac:dyDescent="0.25">
      <c r="A80" s="2" t="str">
        <f>IF(ISBLANK(v_data!A79),"",v_data!A79)</f>
        <v/>
      </c>
      <c r="B80" s="2" t="s">
        <v>22</v>
      </c>
      <c r="C80" s="2">
        <f>VLOOKUP(B80,variables!$A$2:$B$6,2,FALSE)</f>
        <v>0.8</v>
      </c>
      <c r="D80" s="4">
        <v>43826</v>
      </c>
      <c r="E80" s="4">
        <v>43431</v>
      </c>
      <c r="F80" s="2" t="str">
        <f>IF($A80="","",INDEX(v_data!$B$2:$L$1000,MATCH($A80,v_data!$A$3:$A$1000,0)+1,MATCH(LOWER(F$1),v_data!$B$2:$L$2,0)))</f>
        <v/>
      </c>
      <c r="G80" s="2" t="str">
        <f t="shared" si="184"/>
        <v/>
      </c>
      <c r="H80" s="2" t="str">
        <f>IF($A80="","",INDEX(v_data!$B$2:$L$1000,MATCH($A80,v_data!$A$3:$A$1000,0)+1,MATCH(LOWER(H$1),v_data!$B$2:$L$2,0)))</f>
        <v/>
      </c>
      <c r="I80" s="2" t="str">
        <f t="shared" si="185"/>
        <v/>
      </c>
      <c r="J80" s="2" t="str">
        <f>IF($A80="","",INDEX(v_data!$B$2:$L$1000,MATCH($A80,v_data!$A$3:$A$1000,0)+1,MATCH(LOWER(J$1),v_data!$B$2:$L$2,0)))</f>
        <v/>
      </c>
      <c r="K80" s="2" t="str">
        <f t="shared" si="186"/>
        <v/>
      </c>
      <c r="L80" s="2" t="str">
        <f>IF($A80="","",INDEX(v_data!$B$2:$L$1000,MATCH($A80,v_data!$A$3:$A$1000,0)+1,MATCH(LOWER(L$1),v_data!$B$2:$L$2,0)))</f>
        <v/>
      </c>
      <c r="M80" s="2" t="str">
        <f t="shared" si="187"/>
        <v/>
      </c>
      <c r="N80" s="2" t="str">
        <f>IF($A80="","",INDEX(v_data!$B$2:$L$1000,MATCH($A80,v_data!$A$3:$A$1000,0)+1,MATCH(LOWER(N$1),v_data!$B$2:$L$2,0)))</f>
        <v/>
      </c>
      <c r="O80" s="2" t="str">
        <f t="shared" si="188"/>
        <v/>
      </c>
      <c r="P80" s="2" t="str">
        <f>IF($A80="","",INDEX(v_data!$B$2:$L$1000,MATCH($A80,v_data!$A$3:$A$1000,0)+1,MATCH(LOWER(P$1),v_data!$B$2:$L$2,0)))</f>
        <v/>
      </c>
      <c r="Q80" s="2" t="str">
        <f t="shared" si="189"/>
        <v/>
      </c>
      <c r="R80" s="2" t="str">
        <f>IF($A80="","",INDEX(v_data!$B$2:$L$1000,MATCH($A80,v_data!$A$3:$A$1000,0)+1,MATCH(LOWER(R$1),v_data!$B$2:$L$2,0)))</f>
        <v/>
      </c>
      <c r="S80" s="2" t="str">
        <f t="shared" si="190"/>
        <v/>
      </c>
      <c r="T80" s="2" t="str">
        <f>IF($A80="","",INDEX(v_data!$B$2:$L$1000,MATCH($A80,v_data!$A$3:$A$1000,0)+1,MATCH(LOWER(T$1),v_data!$B$2:$L$2,0)))</f>
        <v/>
      </c>
      <c r="U80" s="2" t="str">
        <f t="shared" si="191"/>
        <v/>
      </c>
      <c r="V80" s="2" t="str">
        <f>IF($A80="","",INDEX(v_data!$B$2:$L$1000,MATCH($A80,v_data!$A$3:$A$1000,0)+1,MATCH(LOWER(V$1),v_data!$B$2:$L$2,0)))</f>
        <v/>
      </c>
      <c r="W80" s="2" t="str">
        <f t="shared" si="192"/>
        <v/>
      </c>
      <c r="X80" s="2" t="str">
        <f>IF($A80="","",INDEX(v_data!$B$2:$L$1000,MATCH($A80,v_data!$A$3:$A$1000,0)+1,MATCH(LOWER(X$1),v_data!$B$2:$L$2,0)))</f>
        <v/>
      </c>
      <c r="Y80" s="2" t="str">
        <f t="shared" si="193"/>
        <v/>
      </c>
      <c r="Z80" s="2" t="str">
        <f>IF($A80="","",INDEX(v_data!$B$2:$L$1000,MATCH($A80,v_data!$A$3:$A$1000,0)+1,MATCH(LOWER(Z$1),v_data!$B$2:$L$2,0)))</f>
        <v/>
      </c>
      <c r="AA80" s="2" t="str">
        <f t="shared" si="194"/>
        <v/>
      </c>
      <c r="AB80" s="2" t="str">
        <f t="shared" si="195"/>
        <v/>
      </c>
      <c r="AC80" s="2">
        <f>(SUM(G80,I80,K80,M80,O80,Q80,S80,U80,W80,Y80,AA80)+IF(AND(G80&gt;0,I80&gt;0,K80&gt;0),100,0))*VLOOKUP(B80,variables!$A$2:$B$6,2,FALSE)</f>
        <v>80</v>
      </c>
      <c r="AD80" s="16" t="str">
        <f>IF($A80="","",INDEX(v_data!$B$2:$X$1000,MATCH($A80,v_data!$A$3:$A$1000,0)+1,MATCH(LOWER("hours"),v_data!$B$2:$X$2,0)))</f>
        <v/>
      </c>
    </row>
    <row r="81" spans="1:30" hidden="1" x14ac:dyDescent="0.25">
      <c r="A81" s="2" t="str">
        <f>IF(ISBLANK(v_data!A80),"",v_data!A80)</f>
        <v/>
      </c>
      <c r="B81" s="2" t="s">
        <v>22</v>
      </c>
      <c r="C81" s="2">
        <f>VLOOKUP(B81,variables!$A$2:$B$6,2,FALSE)</f>
        <v>0.8</v>
      </c>
      <c r="D81" s="4">
        <v>43826</v>
      </c>
      <c r="E81" s="4">
        <v>43431</v>
      </c>
      <c r="F81" s="2" t="str">
        <f>IF($A81="","",INDEX(v_data!$B$2:$L$1000,MATCH($A81,v_data!$A$3:$A$1000,0)+1,MATCH(LOWER(F$1),v_data!$B$2:$L$2,0)))</f>
        <v/>
      </c>
      <c r="G81" s="2" t="str">
        <f t="shared" si="184"/>
        <v/>
      </c>
      <c r="H81" s="2" t="str">
        <f>IF($A81="","",INDEX(v_data!$B$2:$L$1000,MATCH($A81,v_data!$A$3:$A$1000,0)+1,MATCH(LOWER(H$1),v_data!$B$2:$L$2,0)))</f>
        <v/>
      </c>
      <c r="I81" s="2" t="str">
        <f t="shared" si="185"/>
        <v/>
      </c>
      <c r="J81" s="2" t="str">
        <f>IF($A81="","",INDEX(v_data!$B$2:$L$1000,MATCH($A81,v_data!$A$3:$A$1000,0)+1,MATCH(LOWER(J$1),v_data!$B$2:$L$2,0)))</f>
        <v/>
      </c>
      <c r="K81" s="2" t="str">
        <f t="shared" si="186"/>
        <v/>
      </c>
      <c r="L81" s="2" t="str">
        <f>IF($A81="","",INDEX(v_data!$B$2:$L$1000,MATCH($A81,v_data!$A$3:$A$1000,0)+1,MATCH(LOWER(L$1),v_data!$B$2:$L$2,0)))</f>
        <v/>
      </c>
      <c r="M81" s="2" t="str">
        <f t="shared" si="187"/>
        <v/>
      </c>
      <c r="N81" s="2" t="str">
        <f>IF($A81="","",INDEX(v_data!$B$2:$L$1000,MATCH($A81,v_data!$A$3:$A$1000,0)+1,MATCH(LOWER(N$1),v_data!$B$2:$L$2,0)))</f>
        <v/>
      </c>
      <c r="O81" s="2" t="str">
        <f t="shared" si="188"/>
        <v/>
      </c>
      <c r="P81" s="2" t="str">
        <f>IF($A81="","",INDEX(v_data!$B$2:$L$1000,MATCH($A81,v_data!$A$3:$A$1000,0)+1,MATCH(LOWER(P$1),v_data!$B$2:$L$2,0)))</f>
        <v/>
      </c>
      <c r="Q81" s="2" t="str">
        <f t="shared" si="189"/>
        <v/>
      </c>
      <c r="R81" s="2" t="str">
        <f>IF($A81="","",INDEX(v_data!$B$2:$L$1000,MATCH($A81,v_data!$A$3:$A$1000,0)+1,MATCH(LOWER(R$1),v_data!$B$2:$L$2,0)))</f>
        <v/>
      </c>
      <c r="S81" s="2" t="str">
        <f t="shared" si="190"/>
        <v/>
      </c>
      <c r="T81" s="2" t="str">
        <f>IF($A81="","",INDEX(v_data!$B$2:$L$1000,MATCH($A81,v_data!$A$3:$A$1000,0)+1,MATCH(LOWER(T$1),v_data!$B$2:$L$2,0)))</f>
        <v/>
      </c>
      <c r="U81" s="2" t="str">
        <f t="shared" si="191"/>
        <v/>
      </c>
      <c r="V81" s="2" t="str">
        <f>IF($A81="","",INDEX(v_data!$B$2:$L$1000,MATCH($A81,v_data!$A$3:$A$1000,0)+1,MATCH(LOWER(V$1),v_data!$B$2:$L$2,0)))</f>
        <v/>
      </c>
      <c r="W81" s="2" t="str">
        <f t="shared" si="192"/>
        <v/>
      </c>
      <c r="X81" s="2" t="str">
        <f>IF($A81="","",INDEX(v_data!$B$2:$L$1000,MATCH($A81,v_data!$A$3:$A$1000,0)+1,MATCH(LOWER(X$1),v_data!$B$2:$L$2,0)))</f>
        <v/>
      </c>
      <c r="Y81" s="2" t="str">
        <f t="shared" si="193"/>
        <v/>
      </c>
      <c r="Z81" s="2" t="str">
        <f>IF($A81="","",INDEX(v_data!$B$2:$L$1000,MATCH($A81,v_data!$A$3:$A$1000,0)+1,MATCH(LOWER(Z$1),v_data!$B$2:$L$2,0)))</f>
        <v/>
      </c>
      <c r="AA81" s="2" t="str">
        <f t="shared" si="194"/>
        <v/>
      </c>
      <c r="AB81" s="2" t="str">
        <f t="shared" si="195"/>
        <v/>
      </c>
      <c r="AC81" s="2">
        <f>(SUM(G81,I81,K81,M81,O81,Q81,S81,U81,W81,Y81,AA81)+IF(AND(G81&gt;0,I81&gt;0,K81&gt;0),100,0))*VLOOKUP(B81,variables!$A$2:$B$6,2,FALSE)</f>
        <v>80</v>
      </c>
      <c r="AD81" s="16" t="str">
        <f>IF($A81="","",INDEX(v_data!$B$2:$X$1000,MATCH($A81,v_data!$A$3:$A$1000,0)+1,MATCH(LOWER("hours"),v_data!$B$2:$X$2,0)))</f>
        <v/>
      </c>
    </row>
    <row r="82" spans="1:30" hidden="1" x14ac:dyDescent="0.25">
      <c r="A82" s="2" t="str">
        <f>IF(ISBLANK(v_data!A81),"",v_data!A81)</f>
        <v/>
      </c>
      <c r="B82" s="2" t="s">
        <v>22</v>
      </c>
      <c r="C82" s="2">
        <f>VLOOKUP(B82,variables!$A$2:$B$6,2,FALSE)</f>
        <v>0.8</v>
      </c>
      <c r="D82" s="4">
        <v>43826</v>
      </c>
      <c r="E82" s="4">
        <v>43431</v>
      </c>
      <c r="F82" s="2" t="str">
        <f>IF($A82="","",INDEX(v_data!$B$2:$L$1000,MATCH($A82,v_data!$A$3:$A$1000,0)+1,MATCH(LOWER(F$1),v_data!$B$2:$L$2,0)))</f>
        <v/>
      </c>
      <c r="G82" s="2" t="str">
        <f t="shared" si="184"/>
        <v/>
      </c>
      <c r="H82" s="2" t="str">
        <f>IF($A82="","",INDEX(v_data!$B$2:$L$1000,MATCH($A82,v_data!$A$3:$A$1000,0)+1,MATCH(LOWER(H$1),v_data!$B$2:$L$2,0)))</f>
        <v/>
      </c>
      <c r="I82" s="2" t="str">
        <f t="shared" si="185"/>
        <v/>
      </c>
      <c r="J82" s="2" t="str">
        <f>IF($A82="","",INDEX(v_data!$B$2:$L$1000,MATCH($A82,v_data!$A$3:$A$1000,0)+1,MATCH(LOWER(J$1),v_data!$B$2:$L$2,0)))</f>
        <v/>
      </c>
      <c r="K82" s="2" t="str">
        <f t="shared" si="186"/>
        <v/>
      </c>
      <c r="L82" s="2" t="str">
        <f>IF($A82="","",INDEX(v_data!$B$2:$L$1000,MATCH($A82,v_data!$A$3:$A$1000,0)+1,MATCH(LOWER(L$1),v_data!$B$2:$L$2,0)))</f>
        <v/>
      </c>
      <c r="M82" s="2" t="str">
        <f t="shared" si="187"/>
        <v/>
      </c>
      <c r="N82" s="2" t="str">
        <f>IF($A82="","",INDEX(v_data!$B$2:$L$1000,MATCH($A82,v_data!$A$3:$A$1000,0)+1,MATCH(LOWER(N$1),v_data!$B$2:$L$2,0)))</f>
        <v/>
      </c>
      <c r="O82" s="2" t="str">
        <f t="shared" si="188"/>
        <v/>
      </c>
      <c r="P82" s="2" t="str">
        <f>IF($A82="","",INDEX(v_data!$B$2:$L$1000,MATCH($A82,v_data!$A$3:$A$1000,0)+1,MATCH(LOWER(P$1),v_data!$B$2:$L$2,0)))</f>
        <v/>
      </c>
      <c r="Q82" s="2" t="str">
        <f t="shared" si="189"/>
        <v/>
      </c>
      <c r="R82" s="2" t="str">
        <f>IF($A82="","",INDEX(v_data!$B$2:$L$1000,MATCH($A82,v_data!$A$3:$A$1000,0)+1,MATCH(LOWER(R$1),v_data!$B$2:$L$2,0)))</f>
        <v/>
      </c>
      <c r="S82" s="2" t="str">
        <f t="shared" si="190"/>
        <v/>
      </c>
      <c r="T82" s="2" t="str">
        <f>IF($A82="","",INDEX(v_data!$B$2:$L$1000,MATCH($A82,v_data!$A$3:$A$1000,0)+1,MATCH(LOWER(T$1),v_data!$B$2:$L$2,0)))</f>
        <v/>
      </c>
      <c r="U82" s="2" t="str">
        <f t="shared" si="191"/>
        <v/>
      </c>
      <c r="V82" s="2" t="str">
        <f>IF($A82="","",INDEX(v_data!$B$2:$L$1000,MATCH($A82,v_data!$A$3:$A$1000,0)+1,MATCH(LOWER(V$1),v_data!$B$2:$L$2,0)))</f>
        <v/>
      </c>
      <c r="W82" s="2" t="str">
        <f t="shared" si="192"/>
        <v/>
      </c>
      <c r="X82" s="2" t="str">
        <f>IF($A82="","",INDEX(v_data!$B$2:$L$1000,MATCH($A82,v_data!$A$3:$A$1000,0)+1,MATCH(LOWER(X$1),v_data!$B$2:$L$2,0)))</f>
        <v/>
      </c>
      <c r="Y82" s="2" t="str">
        <f t="shared" si="193"/>
        <v/>
      </c>
      <c r="Z82" s="2" t="str">
        <f>IF($A82="","",INDEX(v_data!$B$2:$L$1000,MATCH($A82,v_data!$A$3:$A$1000,0)+1,MATCH(LOWER(Z$1),v_data!$B$2:$L$2,0)))</f>
        <v/>
      </c>
      <c r="AA82" s="2" t="str">
        <f t="shared" si="194"/>
        <v/>
      </c>
      <c r="AB82" s="2" t="str">
        <f t="shared" si="195"/>
        <v/>
      </c>
      <c r="AC82" s="2">
        <f>(SUM(G82,I82,K82,M82,O82,Q82,S82,U82,W82,Y82,AA82)+IF(AND(G82&gt;0,I82&gt;0,K82&gt;0),100,0))*VLOOKUP(B82,variables!$A$2:$B$6,2,FALSE)</f>
        <v>80</v>
      </c>
      <c r="AD82" s="16" t="str">
        <f>IF($A82="","",INDEX(v_data!$B$2:$X$1000,MATCH($A82,v_data!$A$3:$A$1000,0)+1,MATCH(LOWER("hours"),v_data!$B$2:$X$2,0)))</f>
        <v/>
      </c>
    </row>
    <row r="83" spans="1:30" hidden="1" x14ac:dyDescent="0.25">
      <c r="A83" s="2" t="str">
        <f>IF(ISBLANK(v_data!A82),"",v_data!A82)</f>
        <v/>
      </c>
      <c r="B83" s="2" t="s">
        <v>22</v>
      </c>
      <c r="C83" s="2">
        <f>VLOOKUP(B83,variables!$A$2:$B$6,2,FALSE)</f>
        <v>0.8</v>
      </c>
      <c r="D83" s="4">
        <v>43826</v>
      </c>
      <c r="E83" s="4">
        <v>43431</v>
      </c>
      <c r="F83" s="2" t="str">
        <f>IF($A83="","",INDEX(v_data!$B$2:$L$1000,MATCH($A83,v_data!$A$3:$A$1000,0)+1,MATCH(LOWER(F$1),v_data!$B$2:$L$2,0)))</f>
        <v/>
      </c>
      <c r="G83" s="2" t="str">
        <f t="shared" si="184"/>
        <v/>
      </c>
      <c r="H83" s="2" t="str">
        <f>IF($A83="","",INDEX(v_data!$B$2:$L$1000,MATCH($A83,v_data!$A$3:$A$1000,0)+1,MATCH(LOWER(H$1),v_data!$B$2:$L$2,0)))</f>
        <v/>
      </c>
      <c r="I83" s="2" t="str">
        <f t="shared" si="185"/>
        <v/>
      </c>
      <c r="J83" s="2" t="str">
        <f>IF($A83="","",INDEX(v_data!$B$2:$L$1000,MATCH($A83,v_data!$A$3:$A$1000,0)+1,MATCH(LOWER(J$1),v_data!$B$2:$L$2,0)))</f>
        <v/>
      </c>
      <c r="K83" s="2" t="str">
        <f t="shared" si="186"/>
        <v/>
      </c>
      <c r="L83" s="2" t="str">
        <f>IF($A83="","",INDEX(v_data!$B$2:$L$1000,MATCH($A83,v_data!$A$3:$A$1000,0)+1,MATCH(LOWER(L$1),v_data!$B$2:$L$2,0)))</f>
        <v/>
      </c>
      <c r="M83" s="2" t="str">
        <f t="shared" si="187"/>
        <v/>
      </c>
      <c r="N83" s="2" t="str">
        <f>IF($A83="","",INDEX(v_data!$B$2:$L$1000,MATCH($A83,v_data!$A$3:$A$1000,0)+1,MATCH(LOWER(N$1),v_data!$B$2:$L$2,0)))</f>
        <v/>
      </c>
      <c r="O83" s="2" t="str">
        <f t="shared" si="188"/>
        <v/>
      </c>
      <c r="P83" s="2" t="str">
        <f>IF($A83="","",INDEX(v_data!$B$2:$L$1000,MATCH($A83,v_data!$A$3:$A$1000,0)+1,MATCH(LOWER(P$1),v_data!$B$2:$L$2,0)))</f>
        <v/>
      </c>
      <c r="Q83" s="2" t="str">
        <f t="shared" si="189"/>
        <v/>
      </c>
      <c r="R83" s="2" t="str">
        <f>IF($A83="","",INDEX(v_data!$B$2:$L$1000,MATCH($A83,v_data!$A$3:$A$1000,0)+1,MATCH(LOWER(R$1),v_data!$B$2:$L$2,0)))</f>
        <v/>
      </c>
      <c r="S83" s="2" t="str">
        <f t="shared" si="190"/>
        <v/>
      </c>
      <c r="T83" s="2" t="str">
        <f>IF($A83="","",INDEX(v_data!$B$2:$L$1000,MATCH($A83,v_data!$A$3:$A$1000,0)+1,MATCH(LOWER(T$1),v_data!$B$2:$L$2,0)))</f>
        <v/>
      </c>
      <c r="U83" s="2" t="str">
        <f t="shared" si="191"/>
        <v/>
      </c>
      <c r="V83" s="2" t="str">
        <f>IF($A83="","",INDEX(v_data!$B$2:$L$1000,MATCH($A83,v_data!$A$3:$A$1000,0)+1,MATCH(LOWER(V$1),v_data!$B$2:$L$2,0)))</f>
        <v/>
      </c>
      <c r="W83" s="2" t="str">
        <f t="shared" si="192"/>
        <v/>
      </c>
      <c r="X83" s="2" t="str">
        <f>IF($A83="","",INDEX(v_data!$B$2:$L$1000,MATCH($A83,v_data!$A$3:$A$1000,0)+1,MATCH(LOWER(X$1),v_data!$B$2:$L$2,0)))</f>
        <v/>
      </c>
      <c r="Y83" s="2" t="str">
        <f t="shared" si="193"/>
        <v/>
      </c>
      <c r="Z83" s="2" t="str">
        <f>IF($A83="","",INDEX(v_data!$B$2:$L$1000,MATCH($A83,v_data!$A$3:$A$1000,0)+1,MATCH(LOWER(Z$1),v_data!$B$2:$L$2,0)))</f>
        <v/>
      </c>
      <c r="AA83" s="2" t="str">
        <f t="shared" si="194"/>
        <v/>
      </c>
      <c r="AB83" s="2" t="str">
        <f t="shared" si="195"/>
        <v/>
      </c>
      <c r="AC83" s="2">
        <f>(SUM(G83,I83,K83,M83,O83,Q83,S83,U83,W83,Y83,AA83)+IF(AND(G83&gt;0,I83&gt;0,K83&gt;0),100,0))*VLOOKUP(B83,variables!$A$2:$B$6,2,FALSE)</f>
        <v>80</v>
      </c>
      <c r="AD83" s="16" t="str">
        <f>IF($A83="","",INDEX(v_data!$B$2:$X$1000,MATCH($A83,v_data!$A$3:$A$1000,0)+1,MATCH(LOWER("hours"),v_data!$B$2:$X$2,0)))</f>
        <v/>
      </c>
    </row>
    <row r="84" spans="1:30" hidden="1" x14ac:dyDescent="0.25">
      <c r="A84" s="2" t="str">
        <f>IF(ISBLANK(v_data!A83),"",v_data!A83)</f>
        <v/>
      </c>
      <c r="B84" s="2" t="s">
        <v>22</v>
      </c>
      <c r="C84" s="2">
        <f>VLOOKUP(B84,variables!$A$2:$B$6,2,FALSE)</f>
        <v>0.8</v>
      </c>
      <c r="D84" s="4">
        <v>43826</v>
      </c>
      <c r="E84" s="4">
        <v>43431</v>
      </c>
      <c r="F84" s="2" t="str">
        <f>IF($A84="","",INDEX(v_data!$B$2:$L$1000,MATCH($A84,v_data!$A$3:$A$1000,0)+1,MATCH(LOWER(F$1),v_data!$B$2:$L$2,0)))</f>
        <v/>
      </c>
      <c r="G84" s="2" t="str">
        <f t="shared" si="184"/>
        <v/>
      </c>
      <c r="H84" s="2" t="str">
        <f>IF($A84="","",INDEX(v_data!$B$2:$L$1000,MATCH($A84,v_data!$A$3:$A$1000,0)+1,MATCH(LOWER(H$1),v_data!$B$2:$L$2,0)))</f>
        <v/>
      </c>
      <c r="I84" s="2" t="str">
        <f t="shared" si="185"/>
        <v/>
      </c>
      <c r="J84" s="2" t="str">
        <f>IF($A84="","",INDEX(v_data!$B$2:$L$1000,MATCH($A84,v_data!$A$3:$A$1000,0)+1,MATCH(LOWER(J$1),v_data!$B$2:$L$2,0)))</f>
        <v/>
      </c>
      <c r="K84" s="2" t="str">
        <f t="shared" si="186"/>
        <v/>
      </c>
      <c r="L84" s="2" t="str">
        <f>IF($A84="","",INDEX(v_data!$B$2:$L$1000,MATCH($A84,v_data!$A$3:$A$1000,0)+1,MATCH(LOWER(L$1),v_data!$B$2:$L$2,0)))</f>
        <v/>
      </c>
      <c r="M84" s="2" t="str">
        <f t="shared" si="187"/>
        <v/>
      </c>
      <c r="N84" s="2" t="str">
        <f>IF($A84="","",INDEX(v_data!$B$2:$L$1000,MATCH($A84,v_data!$A$3:$A$1000,0)+1,MATCH(LOWER(N$1),v_data!$B$2:$L$2,0)))</f>
        <v/>
      </c>
      <c r="O84" s="2" t="str">
        <f t="shared" si="188"/>
        <v/>
      </c>
      <c r="P84" s="2" t="str">
        <f>IF($A84="","",INDEX(v_data!$B$2:$L$1000,MATCH($A84,v_data!$A$3:$A$1000,0)+1,MATCH(LOWER(P$1),v_data!$B$2:$L$2,0)))</f>
        <v/>
      </c>
      <c r="Q84" s="2" t="str">
        <f t="shared" si="189"/>
        <v/>
      </c>
      <c r="R84" s="2" t="str">
        <f>IF($A84="","",INDEX(v_data!$B$2:$L$1000,MATCH($A84,v_data!$A$3:$A$1000,0)+1,MATCH(LOWER(R$1),v_data!$B$2:$L$2,0)))</f>
        <v/>
      </c>
      <c r="S84" s="2" t="str">
        <f t="shared" si="190"/>
        <v/>
      </c>
      <c r="T84" s="2" t="str">
        <f>IF($A84="","",INDEX(v_data!$B$2:$L$1000,MATCH($A84,v_data!$A$3:$A$1000,0)+1,MATCH(LOWER(T$1),v_data!$B$2:$L$2,0)))</f>
        <v/>
      </c>
      <c r="U84" s="2" t="str">
        <f t="shared" si="191"/>
        <v/>
      </c>
      <c r="V84" s="2" t="str">
        <f>IF($A84="","",INDEX(v_data!$B$2:$L$1000,MATCH($A84,v_data!$A$3:$A$1000,0)+1,MATCH(LOWER(V$1),v_data!$B$2:$L$2,0)))</f>
        <v/>
      </c>
      <c r="W84" s="2" t="str">
        <f t="shared" si="192"/>
        <v/>
      </c>
      <c r="X84" s="2" t="str">
        <f>IF($A84="","",INDEX(v_data!$B$2:$L$1000,MATCH($A84,v_data!$A$3:$A$1000,0)+1,MATCH(LOWER(X$1),v_data!$B$2:$L$2,0)))</f>
        <v/>
      </c>
      <c r="Y84" s="2" t="str">
        <f t="shared" si="193"/>
        <v/>
      </c>
      <c r="Z84" s="2" t="str">
        <f>IF($A84="","",INDEX(v_data!$B$2:$L$1000,MATCH($A84,v_data!$A$3:$A$1000,0)+1,MATCH(LOWER(Z$1),v_data!$B$2:$L$2,0)))</f>
        <v/>
      </c>
      <c r="AA84" s="2" t="str">
        <f t="shared" si="194"/>
        <v/>
      </c>
      <c r="AB84" s="2" t="str">
        <f t="shared" si="195"/>
        <v/>
      </c>
      <c r="AC84" s="2">
        <f>(SUM(G84,I84,K84,M84,O84,Q84,S84,U84,W84,Y84,AA84)+IF(AND(G84&gt;0,I84&gt;0,K84&gt;0),100,0))*VLOOKUP(B84,variables!$A$2:$B$6,2,FALSE)</f>
        <v>80</v>
      </c>
      <c r="AD84" s="16" t="str">
        <f>IF($A84="","",INDEX(v_data!$B$2:$X$1000,MATCH($A84,v_data!$A$3:$A$1000,0)+1,MATCH(LOWER("hours"),v_data!$B$2:$X$2,0)))</f>
        <v/>
      </c>
    </row>
    <row r="85" spans="1:30" hidden="1" x14ac:dyDescent="0.25">
      <c r="A85" s="2" t="str">
        <f>IF(ISBLANK(v_data!A84),"",v_data!A84)</f>
        <v/>
      </c>
      <c r="B85" s="2" t="s">
        <v>22</v>
      </c>
      <c r="C85" s="2">
        <f>VLOOKUP(B85,variables!$A$2:$B$6,2,FALSE)</f>
        <v>0.8</v>
      </c>
      <c r="D85" s="4">
        <v>43826</v>
      </c>
      <c r="E85" s="4">
        <v>43431</v>
      </c>
      <c r="F85" s="2" t="str">
        <f>IF($A85="","",INDEX(v_data!$B$2:$L$1000,MATCH($A85,v_data!$A$3:$A$1000,0)+1,MATCH(LOWER(F$1),v_data!$B$2:$L$2,0)))</f>
        <v/>
      </c>
      <c r="G85" s="2" t="str">
        <f t="shared" si="184"/>
        <v/>
      </c>
      <c r="H85" s="2" t="str">
        <f>IF($A85="","",INDEX(v_data!$B$2:$L$1000,MATCH($A85,v_data!$A$3:$A$1000,0)+1,MATCH(LOWER(H$1),v_data!$B$2:$L$2,0)))</f>
        <v/>
      </c>
      <c r="I85" s="2" t="str">
        <f t="shared" si="185"/>
        <v/>
      </c>
      <c r="J85" s="2" t="str">
        <f>IF($A85="","",INDEX(v_data!$B$2:$L$1000,MATCH($A85,v_data!$A$3:$A$1000,0)+1,MATCH(LOWER(J$1),v_data!$B$2:$L$2,0)))</f>
        <v/>
      </c>
      <c r="K85" s="2" t="str">
        <f t="shared" si="186"/>
        <v/>
      </c>
      <c r="L85" s="2" t="str">
        <f>IF($A85="","",INDEX(v_data!$B$2:$L$1000,MATCH($A85,v_data!$A$3:$A$1000,0)+1,MATCH(LOWER(L$1),v_data!$B$2:$L$2,0)))</f>
        <v/>
      </c>
      <c r="M85" s="2" t="str">
        <f t="shared" si="187"/>
        <v/>
      </c>
      <c r="N85" s="2" t="str">
        <f>IF($A85="","",INDEX(v_data!$B$2:$L$1000,MATCH($A85,v_data!$A$3:$A$1000,0)+1,MATCH(LOWER(N$1),v_data!$B$2:$L$2,0)))</f>
        <v/>
      </c>
      <c r="O85" s="2" t="str">
        <f t="shared" si="188"/>
        <v/>
      </c>
      <c r="P85" s="2" t="str">
        <f>IF($A85="","",INDEX(v_data!$B$2:$L$1000,MATCH($A85,v_data!$A$3:$A$1000,0)+1,MATCH(LOWER(P$1),v_data!$B$2:$L$2,0)))</f>
        <v/>
      </c>
      <c r="Q85" s="2" t="str">
        <f t="shared" si="189"/>
        <v/>
      </c>
      <c r="R85" s="2" t="str">
        <f>IF($A85="","",INDEX(v_data!$B$2:$L$1000,MATCH($A85,v_data!$A$3:$A$1000,0)+1,MATCH(LOWER(R$1),v_data!$B$2:$L$2,0)))</f>
        <v/>
      </c>
      <c r="S85" s="2" t="str">
        <f t="shared" si="190"/>
        <v/>
      </c>
      <c r="T85" s="2" t="str">
        <f>IF($A85="","",INDEX(v_data!$B$2:$L$1000,MATCH($A85,v_data!$A$3:$A$1000,0)+1,MATCH(LOWER(T$1),v_data!$B$2:$L$2,0)))</f>
        <v/>
      </c>
      <c r="U85" s="2" t="str">
        <f t="shared" si="191"/>
        <v/>
      </c>
      <c r="V85" s="2" t="str">
        <f>IF($A85="","",INDEX(v_data!$B$2:$L$1000,MATCH($A85,v_data!$A$3:$A$1000,0)+1,MATCH(LOWER(V$1),v_data!$B$2:$L$2,0)))</f>
        <v/>
      </c>
      <c r="W85" s="2" t="str">
        <f t="shared" si="192"/>
        <v/>
      </c>
      <c r="X85" s="2" t="str">
        <f>IF($A85="","",INDEX(v_data!$B$2:$L$1000,MATCH($A85,v_data!$A$3:$A$1000,0)+1,MATCH(LOWER(X$1),v_data!$B$2:$L$2,0)))</f>
        <v/>
      </c>
      <c r="Y85" s="2" t="str">
        <f t="shared" si="193"/>
        <v/>
      </c>
      <c r="Z85" s="2" t="str">
        <f>IF($A85="","",INDEX(v_data!$B$2:$L$1000,MATCH($A85,v_data!$A$3:$A$1000,0)+1,MATCH(LOWER(Z$1),v_data!$B$2:$L$2,0)))</f>
        <v/>
      </c>
      <c r="AA85" s="2" t="str">
        <f t="shared" si="194"/>
        <v/>
      </c>
      <c r="AB85" s="2" t="str">
        <f t="shared" si="195"/>
        <v/>
      </c>
      <c r="AC85" s="2">
        <f>(SUM(G85,I85,K85,M85,O85,Q85,S85,U85,W85,Y85,AA85)+IF(AND(G85&gt;0,I85&gt;0,K85&gt;0),100,0))*VLOOKUP(B85,variables!$A$2:$B$6,2,FALSE)</f>
        <v>80</v>
      </c>
      <c r="AD85" s="16" t="str">
        <f>IF($A85="","",INDEX(v_data!$B$2:$X$1000,MATCH($A85,v_data!$A$3:$A$1000,0)+1,MATCH(LOWER("hours"),v_data!$B$2:$X$2,0)))</f>
        <v/>
      </c>
    </row>
    <row r="86" spans="1:30" hidden="1" x14ac:dyDescent="0.25">
      <c r="A86" s="2" t="str">
        <f>IF(ISBLANK(v_data!A85),"",v_data!A85)</f>
        <v/>
      </c>
      <c r="B86" s="2" t="s">
        <v>22</v>
      </c>
      <c r="C86" s="2">
        <f>VLOOKUP(B86,variables!$A$2:$B$6,2,FALSE)</f>
        <v>0.8</v>
      </c>
      <c r="D86" s="4">
        <v>43826</v>
      </c>
      <c r="E86" s="4">
        <v>43431</v>
      </c>
      <c r="F86" s="2" t="str">
        <f>IF($A86="","",INDEX(v_data!$B$2:$L$1000,MATCH($A86,v_data!$A$3:$A$1000,0)+1,MATCH(LOWER(F$1),v_data!$B$2:$L$2,0)))</f>
        <v/>
      </c>
      <c r="G86" s="2" t="str">
        <f t="shared" si="184"/>
        <v/>
      </c>
      <c r="H86" s="2" t="str">
        <f>IF($A86="","",INDEX(v_data!$B$2:$L$1000,MATCH($A86,v_data!$A$3:$A$1000,0)+1,MATCH(LOWER(H$1),v_data!$B$2:$L$2,0)))</f>
        <v/>
      </c>
      <c r="I86" s="2" t="str">
        <f t="shared" si="185"/>
        <v/>
      </c>
      <c r="J86" s="2" t="str">
        <f>IF($A86="","",INDEX(v_data!$B$2:$L$1000,MATCH($A86,v_data!$A$3:$A$1000,0)+1,MATCH(LOWER(J$1),v_data!$B$2:$L$2,0)))</f>
        <v/>
      </c>
      <c r="K86" s="2" t="str">
        <f t="shared" si="186"/>
        <v/>
      </c>
      <c r="L86" s="2" t="str">
        <f>IF($A86="","",INDEX(v_data!$B$2:$L$1000,MATCH($A86,v_data!$A$3:$A$1000,0)+1,MATCH(LOWER(L$1),v_data!$B$2:$L$2,0)))</f>
        <v/>
      </c>
      <c r="M86" s="2" t="str">
        <f t="shared" si="187"/>
        <v/>
      </c>
      <c r="N86" s="2" t="str">
        <f>IF($A86="","",INDEX(v_data!$B$2:$L$1000,MATCH($A86,v_data!$A$3:$A$1000,0)+1,MATCH(LOWER(N$1),v_data!$B$2:$L$2,0)))</f>
        <v/>
      </c>
      <c r="O86" s="2" t="str">
        <f t="shared" si="188"/>
        <v/>
      </c>
      <c r="P86" s="2" t="str">
        <f>IF($A86="","",INDEX(v_data!$B$2:$L$1000,MATCH($A86,v_data!$A$3:$A$1000,0)+1,MATCH(LOWER(P$1),v_data!$B$2:$L$2,0)))</f>
        <v/>
      </c>
      <c r="Q86" s="2" t="str">
        <f t="shared" si="189"/>
        <v/>
      </c>
      <c r="R86" s="2" t="str">
        <f>IF($A86="","",INDEX(v_data!$B$2:$L$1000,MATCH($A86,v_data!$A$3:$A$1000,0)+1,MATCH(LOWER(R$1),v_data!$B$2:$L$2,0)))</f>
        <v/>
      </c>
      <c r="S86" s="2" t="str">
        <f t="shared" si="190"/>
        <v/>
      </c>
      <c r="T86" s="2" t="str">
        <f>IF($A86="","",INDEX(v_data!$B$2:$L$1000,MATCH($A86,v_data!$A$3:$A$1000,0)+1,MATCH(LOWER(T$1),v_data!$B$2:$L$2,0)))</f>
        <v/>
      </c>
      <c r="U86" s="2" t="str">
        <f t="shared" si="191"/>
        <v/>
      </c>
      <c r="V86" s="2" t="str">
        <f>IF($A86="","",INDEX(v_data!$B$2:$L$1000,MATCH($A86,v_data!$A$3:$A$1000,0)+1,MATCH(LOWER(V$1),v_data!$B$2:$L$2,0)))</f>
        <v/>
      </c>
      <c r="W86" s="2" t="str">
        <f t="shared" si="192"/>
        <v/>
      </c>
      <c r="X86" s="2" t="str">
        <f>IF($A86="","",INDEX(v_data!$B$2:$L$1000,MATCH($A86,v_data!$A$3:$A$1000,0)+1,MATCH(LOWER(X$1),v_data!$B$2:$L$2,0)))</f>
        <v/>
      </c>
      <c r="Y86" s="2" t="str">
        <f t="shared" si="193"/>
        <v/>
      </c>
      <c r="Z86" s="2" t="str">
        <f>IF($A86="","",INDEX(v_data!$B$2:$L$1000,MATCH($A86,v_data!$A$3:$A$1000,0)+1,MATCH(LOWER(Z$1),v_data!$B$2:$L$2,0)))</f>
        <v/>
      </c>
      <c r="AA86" s="2" t="str">
        <f t="shared" si="194"/>
        <v/>
      </c>
      <c r="AB86" s="2" t="str">
        <f t="shared" si="195"/>
        <v/>
      </c>
      <c r="AC86" s="2">
        <f>(SUM(G86,I86,K86,M86,O86,Q86,S86,U86,W86,Y86,AA86)+IF(AND(G86&gt;0,I86&gt;0,K86&gt;0),100,0))*VLOOKUP(B86,variables!$A$2:$B$6,2,FALSE)</f>
        <v>80</v>
      </c>
      <c r="AD86" s="16" t="str">
        <f>IF($A86="","",INDEX(v_data!$B$2:$X$1000,MATCH($A86,v_data!$A$3:$A$1000,0)+1,MATCH(LOWER("hours"),v_data!$B$2:$X$2,0)))</f>
        <v/>
      </c>
    </row>
    <row r="87" spans="1:30" hidden="1" x14ac:dyDescent="0.25">
      <c r="A87" s="2" t="str">
        <f>IF(ISBLANK(v_data!A86),"",v_data!A86)</f>
        <v/>
      </c>
      <c r="B87" s="2" t="s">
        <v>22</v>
      </c>
      <c r="C87" s="2">
        <f>VLOOKUP(B87,variables!$A$2:$B$6,2,FALSE)</f>
        <v>0.8</v>
      </c>
      <c r="D87" s="4">
        <v>43826</v>
      </c>
      <c r="E87" s="4">
        <v>43431</v>
      </c>
      <c r="F87" s="2" t="str">
        <f>IF($A87="","",INDEX(v_data!$B$2:$L$1000,MATCH($A87,v_data!$A$3:$A$1000,0)+1,MATCH(LOWER(F$1),v_data!$B$2:$L$2,0)))</f>
        <v/>
      </c>
      <c r="G87" s="2" t="str">
        <f t="shared" si="184"/>
        <v/>
      </c>
      <c r="H87" s="2" t="str">
        <f>IF($A87="","",INDEX(v_data!$B$2:$L$1000,MATCH($A87,v_data!$A$3:$A$1000,0)+1,MATCH(LOWER(H$1),v_data!$B$2:$L$2,0)))</f>
        <v/>
      </c>
      <c r="I87" s="2" t="str">
        <f t="shared" si="185"/>
        <v/>
      </c>
      <c r="J87" s="2" t="str">
        <f>IF($A87="","",INDEX(v_data!$B$2:$L$1000,MATCH($A87,v_data!$A$3:$A$1000,0)+1,MATCH(LOWER(J$1),v_data!$B$2:$L$2,0)))</f>
        <v/>
      </c>
      <c r="K87" s="2" t="str">
        <f t="shared" si="186"/>
        <v/>
      </c>
      <c r="L87" s="2" t="str">
        <f>IF($A87="","",INDEX(v_data!$B$2:$L$1000,MATCH($A87,v_data!$A$3:$A$1000,0)+1,MATCH(LOWER(L$1),v_data!$B$2:$L$2,0)))</f>
        <v/>
      </c>
      <c r="M87" s="2" t="str">
        <f t="shared" si="187"/>
        <v/>
      </c>
      <c r="N87" s="2" t="str">
        <f>IF($A87="","",INDEX(v_data!$B$2:$L$1000,MATCH($A87,v_data!$A$3:$A$1000,0)+1,MATCH(LOWER(N$1),v_data!$B$2:$L$2,0)))</f>
        <v/>
      </c>
      <c r="O87" s="2" t="str">
        <f t="shared" si="188"/>
        <v/>
      </c>
      <c r="P87" s="2" t="str">
        <f>IF($A87="","",INDEX(v_data!$B$2:$L$1000,MATCH($A87,v_data!$A$3:$A$1000,0)+1,MATCH(LOWER(P$1),v_data!$B$2:$L$2,0)))</f>
        <v/>
      </c>
      <c r="Q87" s="2" t="str">
        <f t="shared" si="189"/>
        <v/>
      </c>
      <c r="R87" s="2" t="str">
        <f>IF($A87="","",INDEX(v_data!$B$2:$L$1000,MATCH($A87,v_data!$A$3:$A$1000,0)+1,MATCH(LOWER(R$1),v_data!$B$2:$L$2,0)))</f>
        <v/>
      </c>
      <c r="S87" s="2" t="str">
        <f t="shared" si="190"/>
        <v/>
      </c>
      <c r="T87" s="2" t="str">
        <f>IF($A87="","",INDEX(v_data!$B$2:$L$1000,MATCH($A87,v_data!$A$3:$A$1000,0)+1,MATCH(LOWER(T$1),v_data!$B$2:$L$2,0)))</f>
        <v/>
      </c>
      <c r="U87" s="2" t="str">
        <f t="shared" si="191"/>
        <v/>
      </c>
      <c r="V87" s="2" t="str">
        <f>IF($A87="","",INDEX(v_data!$B$2:$L$1000,MATCH($A87,v_data!$A$3:$A$1000,0)+1,MATCH(LOWER(V$1),v_data!$B$2:$L$2,0)))</f>
        <v/>
      </c>
      <c r="W87" s="2" t="str">
        <f t="shared" si="192"/>
        <v/>
      </c>
      <c r="X87" s="2" t="str">
        <f>IF($A87="","",INDEX(v_data!$B$2:$L$1000,MATCH($A87,v_data!$A$3:$A$1000,0)+1,MATCH(LOWER(X$1),v_data!$B$2:$L$2,0)))</f>
        <v/>
      </c>
      <c r="Y87" s="2" t="str">
        <f t="shared" si="193"/>
        <v/>
      </c>
      <c r="Z87" s="2" t="str">
        <f>IF($A87="","",INDEX(v_data!$B$2:$L$1000,MATCH($A87,v_data!$A$3:$A$1000,0)+1,MATCH(LOWER(Z$1),v_data!$B$2:$L$2,0)))</f>
        <v/>
      </c>
      <c r="AA87" s="2" t="str">
        <f t="shared" si="194"/>
        <v/>
      </c>
      <c r="AB87" s="2" t="str">
        <f t="shared" si="195"/>
        <v/>
      </c>
      <c r="AC87" s="2">
        <f>(SUM(G87,I87,K87,M87,O87,Q87,S87,U87,W87,Y87,AA87)+IF(AND(G87&gt;0,I87&gt;0,K87&gt;0),100,0))*VLOOKUP(B87,variables!$A$2:$B$6,2,FALSE)</f>
        <v>80</v>
      </c>
      <c r="AD87" s="16" t="str">
        <f>IF($A87="","",INDEX(v_data!$B$2:$X$1000,MATCH($A87,v_data!$A$3:$A$1000,0)+1,MATCH(LOWER("hours"),v_data!$B$2:$X$2,0)))</f>
        <v/>
      </c>
    </row>
    <row r="88" spans="1:30" hidden="1" x14ac:dyDescent="0.25">
      <c r="A88" s="2" t="str">
        <f>IF(ISBLANK(v_data!A87),"",v_data!A87)</f>
        <v/>
      </c>
      <c r="B88" s="2" t="s">
        <v>22</v>
      </c>
      <c r="C88" s="2">
        <f>VLOOKUP(B88,variables!$A$2:$B$6,2,FALSE)</f>
        <v>0.8</v>
      </c>
      <c r="D88" s="4">
        <v>43826</v>
      </c>
      <c r="E88" s="4">
        <v>43431</v>
      </c>
      <c r="F88" s="2" t="str">
        <f>IF($A88="","",INDEX(v_data!$B$2:$L$1000,MATCH($A88,v_data!$A$3:$A$1000,0)+1,MATCH(LOWER(F$1),v_data!$B$2:$L$2,0)))</f>
        <v/>
      </c>
      <c r="G88" s="2" t="str">
        <f t="shared" ref="G88:G151" si="196">IF($A88="","",F88*G$2)</f>
        <v/>
      </c>
      <c r="H88" s="2" t="str">
        <f>IF($A88="","",INDEX(v_data!$B$2:$L$1000,MATCH($A88,v_data!$A$3:$A$1000,0)+1,MATCH(LOWER(H$1),v_data!$B$2:$L$2,0)))</f>
        <v/>
      </c>
      <c r="I88" s="2" t="str">
        <f t="shared" ref="I88:I151" si="197">IF($A88="","",H88*I$2)</f>
        <v/>
      </c>
      <c r="J88" s="2" t="str">
        <f>IF($A88="","",INDEX(v_data!$B$2:$L$1000,MATCH($A88,v_data!$A$3:$A$1000,0)+1,MATCH(LOWER(J$1),v_data!$B$2:$L$2,0)))</f>
        <v/>
      </c>
      <c r="K88" s="2" t="str">
        <f t="shared" ref="K88:K151" si="198">IF($A88="","",J88*K$2)</f>
        <v/>
      </c>
      <c r="L88" s="2" t="str">
        <f>IF($A88="","",INDEX(v_data!$B$2:$L$1000,MATCH($A88,v_data!$A$3:$A$1000,0)+1,MATCH(LOWER(L$1),v_data!$B$2:$L$2,0)))</f>
        <v/>
      </c>
      <c r="M88" s="2" t="str">
        <f t="shared" ref="M88:M151" si="199">IF($A88="","",L88*M$2)</f>
        <v/>
      </c>
      <c r="N88" s="2" t="str">
        <f>IF($A88="","",INDEX(v_data!$B$2:$L$1000,MATCH($A88,v_data!$A$3:$A$1000,0)+1,MATCH(LOWER(N$1),v_data!$B$2:$L$2,0)))</f>
        <v/>
      </c>
      <c r="O88" s="2" t="str">
        <f t="shared" ref="O88:O151" si="200">IF($A88="","",N88*O$2)</f>
        <v/>
      </c>
      <c r="P88" s="2" t="str">
        <f>IF($A88="","",INDEX(v_data!$B$2:$L$1000,MATCH($A88,v_data!$A$3:$A$1000,0)+1,MATCH(LOWER(P$1),v_data!$B$2:$L$2,0)))</f>
        <v/>
      </c>
      <c r="Q88" s="2" t="str">
        <f t="shared" ref="Q88:Q151" si="201">IF($A88="","",P88*Q$2)</f>
        <v/>
      </c>
      <c r="R88" s="2" t="str">
        <f>IF($A88="","",INDEX(v_data!$B$2:$L$1000,MATCH($A88,v_data!$A$3:$A$1000,0)+1,MATCH(LOWER(R$1),v_data!$B$2:$L$2,0)))</f>
        <v/>
      </c>
      <c r="S88" s="2" t="str">
        <f t="shared" ref="S88:S151" si="202">IF($A88="","",R88*S$2)</f>
        <v/>
      </c>
      <c r="T88" s="2" t="str">
        <f>IF($A88="","",INDEX(v_data!$B$2:$L$1000,MATCH($A88,v_data!$A$3:$A$1000,0)+1,MATCH(LOWER(T$1),v_data!$B$2:$L$2,0)))</f>
        <v/>
      </c>
      <c r="U88" s="2" t="str">
        <f t="shared" ref="U88:U151" si="203">IF($A88="","",T88*U$2)</f>
        <v/>
      </c>
      <c r="V88" s="2" t="str">
        <f>IF($A88="","",INDEX(v_data!$B$2:$L$1000,MATCH($A88,v_data!$A$3:$A$1000,0)+1,MATCH(LOWER(V$1),v_data!$B$2:$L$2,0)))</f>
        <v/>
      </c>
      <c r="W88" s="2" t="str">
        <f t="shared" ref="W88:W151" si="204">IF($A88="","",V88*W$2)</f>
        <v/>
      </c>
      <c r="X88" s="2" t="str">
        <f>IF($A88="","",INDEX(v_data!$B$2:$L$1000,MATCH($A88,v_data!$A$3:$A$1000,0)+1,MATCH(LOWER(X$1),v_data!$B$2:$L$2,0)))</f>
        <v/>
      </c>
      <c r="Y88" s="2" t="str">
        <f t="shared" ref="Y88:Y151" si="205">IF($A88="","",X88*Y$2)</f>
        <v/>
      </c>
      <c r="Z88" s="2" t="str">
        <f>IF($A88="","",INDEX(v_data!$B$2:$L$1000,MATCH($A88,v_data!$A$3:$A$1000,0)+1,MATCH(LOWER(Z$1),v_data!$B$2:$L$2,0)))</f>
        <v/>
      </c>
      <c r="AA88" s="2" t="str">
        <f t="shared" ref="AA88:AA151" si="206">IF($A88="","",Z88*AA$2)</f>
        <v/>
      </c>
      <c r="AB88" s="2" t="str">
        <f t="shared" ref="AB88:AB151" si="207">IF(A88="","",SUM(G88,I88,K88,M88,O88,Q88,S88,U88,W88,Y88,AA88))</f>
        <v/>
      </c>
      <c r="AC88" s="2">
        <f>(SUM(G88,I88,K88,M88,O88,Q88,S88,U88,W88,Y88,AA88)+IF(AND(G88&gt;0,I88&gt;0,K88&gt;0),100,0))*VLOOKUP(B88,variables!$A$2:$B$6,2,FALSE)</f>
        <v>80</v>
      </c>
      <c r="AD88" s="16" t="str">
        <f>IF($A88="","",INDEX(v_data!$B$2:$X$1000,MATCH($A88,v_data!$A$3:$A$1000,0)+1,MATCH(LOWER("hours"),v_data!$B$2:$X$2,0)))</f>
        <v/>
      </c>
    </row>
    <row r="89" spans="1:30" hidden="1" x14ac:dyDescent="0.25">
      <c r="A89" s="2" t="str">
        <f>IF(ISBLANK(v_data!A88),"",v_data!A88)</f>
        <v/>
      </c>
      <c r="B89" s="2" t="s">
        <v>22</v>
      </c>
      <c r="C89" s="2">
        <f>VLOOKUP(B89,variables!$A$2:$B$6,2,FALSE)</f>
        <v>0.8</v>
      </c>
      <c r="D89" s="4">
        <v>43826</v>
      </c>
      <c r="E89" s="4">
        <v>43431</v>
      </c>
      <c r="F89" s="2" t="str">
        <f>IF($A89="","",INDEX(v_data!$B$2:$L$1000,MATCH($A89,v_data!$A$3:$A$1000,0)+1,MATCH(LOWER(F$1),v_data!$B$2:$L$2,0)))</f>
        <v/>
      </c>
      <c r="G89" s="2" t="str">
        <f t="shared" si="196"/>
        <v/>
      </c>
      <c r="H89" s="2" t="str">
        <f>IF($A89="","",INDEX(v_data!$B$2:$L$1000,MATCH($A89,v_data!$A$3:$A$1000,0)+1,MATCH(LOWER(H$1),v_data!$B$2:$L$2,0)))</f>
        <v/>
      </c>
      <c r="I89" s="2" t="str">
        <f t="shared" si="197"/>
        <v/>
      </c>
      <c r="J89" s="2" t="str">
        <f>IF($A89="","",INDEX(v_data!$B$2:$L$1000,MATCH($A89,v_data!$A$3:$A$1000,0)+1,MATCH(LOWER(J$1),v_data!$B$2:$L$2,0)))</f>
        <v/>
      </c>
      <c r="K89" s="2" t="str">
        <f t="shared" si="198"/>
        <v/>
      </c>
      <c r="L89" s="2" t="str">
        <f>IF($A89="","",INDEX(v_data!$B$2:$L$1000,MATCH($A89,v_data!$A$3:$A$1000,0)+1,MATCH(LOWER(L$1),v_data!$B$2:$L$2,0)))</f>
        <v/>
      </c>
      <c r="M89" s="2" t="str">
        <f t="shared" si="199"/>
        <v/>
      </c>
      <c r="N89" s="2" t="str">
        <f>IF($A89="","",INDEX(v_data!$B$2:$L$1000,MATCH($A89,v_data!$A$3:$A$1000,0)+1,MATCH(LOWER(N$1),v_data!$B$2:$L$2,0)))</f>
        <v/>
      </c>
      <c r="O89" s="2" t="str">
        <f t="shared" si="200"/>
        <v/>
      </c>
      <c r="P89" s="2" t="str">
        <f>IF($A89="","",INDEX(v_data!$B$2:$L$1000,MATCH($A89,v_data!$A$3:$A$1000,0)+1,MATCH(LOWER(P$1),v_data!$B$2:$L$2,0)))</f>
        <v/>
      </c>
      <c r="Q89" s="2" t="str">
        <f t="shared" si="201"/>
        <v/>
      </c>
      <c r="R89" s="2" t="str">
        <f>IF($A89="","",INDEX(v_data!$B$2:$L$1000,MATCH($A89,v_data!$A$3:$A$1000,0)+1,MATCH(LOWER(R$1),v_data!$B$2:$L$2,0)))</f>
        <v/>
      </c>
      <c r="S89" s="2" t="str">
        <f t="shared" si="202"/>
        <v/>
      </c>
      <c r="T89" s="2" t="str">
        <f>IF($A89="","",INDEX(v_data!$B$2:$L$1000,MATCH($A89,v_data!$A$3:$A$1000,0)+1,MATCH(LOWER(T$1),v_data!$B$2:$L$2,0)))</f>
        <v/>
      </c>
      <c r="U89" s="2" t="str">
        <f t="shared" si="203"/>
        <v/>
      </c>
      <c r="V89" s="2" t="str">
        <f>IF($A89="","",INDEX(v_data!$B$2:$L$1000,MATCH($A89,v_data!$A$3:$A$1000,0)+1,MATCH(LOWER(V$1),v_data!$B$2:$L$2,0)))</f>
        <v/>
      </c>
      <c r="W89" s="2" t="str">
        <f t="shared" si="204"/>
        <v/>
      </c>
      <c r="X89" s="2" t="str">
        <f>IF($A89="","",INDEX(v_data!$B$2:$L$1000,MATCH($A89,v_data!$A$3:$A$1000,0)+1,MATCH(LOWER(X$1),v_data!$B$2:$L$2,0)))</f>
        <v/>
      </c>
      <c r="Y89" s="2" t="str">
        <f t="shared" si="205"/>
        <v/>
      </c>
      <c r="Z89" s="2" t="str">
        <f>IF($A89="","",INDEX(v_data!$B$2:$L$1000,MATCH($A89,v_data!$A$3:$A$1000,0)+1,MATCH(LOWER(Z$1),v_data!$B$2:$L$2,0)))</f>
        <v/>
      </c>
      <c r="AA89" s="2" t="str">
        <f t="shared" si="206"/>
        <v/>
      </c>
      <c r="AB89" s="2" t="str">
        <f t="shared" si="207"/>
        <v/>
      </c>
      <c r="AC89" s="2">
        <f>(SUM(G89,I89,K89,M89,O89,Q89,S89,U89,W89,Y89,AA89)+IF(AND(G89&gt;0,I89&gt;0,K89&gt;0),100,0))*VLOOKUP(B89,variables!$A$2:$B$6,2,FALSE)</f>
        <v>80</v>
      </c>
      <c r="AD89" s="16" t="str">
        <f>IF($A89="","",INDEX(v_data!$B$2:$X$1000,MATCH($A89,v_data!$A$3:$A$1000,0)+1,MATCH(LOWER("hours"),v_data!$B$2:$X$2,0)))</f>
        <v/>
      </c>
    </row>
    <row r="90" spans="1:30" hidden="1" x14ac:dyDescent="0.25">
      <c r="A90" s="2" t="str">
        <f>IF(ISBLANK(v_data!A89),"",v_data!A89)</f>
        <v/>
      </c>
      <c r="B90" s="2" t="s">
        <v>22</v>
      </c>
      <c r="C90" s="2">
        <f>VLOOKUP(B90,variables!$A$2:$B$6,2,FALSE)</f>
        <v>0.8</v>
      </c>
      <c r="D90" s="4">
        <v>43826</v>
      </c>
      <c r="E90" s="4">
        <v>43431</v>
      </c>
      <c r="F90" s="2" t="str">
        <f>IF($A90="","",INDEX(v_data!$B$2:$L$1000,MATCH($A90,v_data!$A$3:$A$1000,0)+1,MATCH(LOWER(F$1),v_data!$B$2:$L$2,0)))</f>
        <v/>
      </c>
      <c r="G90" s="2" t="str">
        <f t="shared" si="196"/>
        <v/>
      </c>
      <c r="H90" s="2" t="str">
        <f>IF($A90="","",INDEX(v_data!$B$2:$L$1000,MATCH($A90,v_data!$A$3:$A$1000,0)+1,MATCH(LOWER(H$1),v_data!$B$2:$L$2,0)))</f>
        <v/>
      </c>
      <c r="I90" s="2" t="str">
        <f t="shared" si="197"/>
        <v/>
      </c>
      <c r="J90" s="2" t="str">
        <f>IF($A90="","",INDEX(v_data!$B$2:$L$1000,MATCH($A90,v_data!$A$3:$A$1000,0)+1,MATCH(LOWER(J$1),v_data!$B$2:$L$2,0)))</f>
        <v/>
      </c>
      <c r="K90" s="2" t="str">
        <f t="shared" si="198"/>
        <v/>
      </c>
      <c r="L90" s="2" t="str">
        <f>IF($A90="","",INDEX(v_data!$B$2:$L$1000,MATCH($A90,v_data!$A$3:$A$1000,0)+1,MATCH(LOWER(L$1),v_data!$B$2:$L$2,0)))</f>
        <v/>
      </c>
      <c r="M90" s="2" t="str">
        <f t="shared" si="199"/>
        <v/>
      </c>
      <c r="N90" s="2" t="str">
        <f>IF($A90="","",INDEX(v_data!$B$2:$L$1000,MATCH($A90,v_data!$A$3:$A$1000,0)+1,MATCH(LOWER(N$1),v_data!$B$2:$L$2,0)))</f>
        <v/>
      </c>
      <c r="O90" s="2" t="str">
        <f t="shared" si="200"/>
        <v/>
      </c>
      <c r="P90" s="2" t="str">
        <f>IF($A90="","",INDEX(v_data!$B$2:$L$1000,MATCH($A90,v_data!$A$3:$A$1000,0)+1,MATCH(LOWER(P$1),v_data!$B$2:$L$2,0)))</f>
        <v/>
      </c>
      <c r="Q90" s="2" t="str">
        <f t="shared" si="201"/>
        <v/>
      </c>
      <c r="R90" s="2" t="str">
        <f>IF($A90="","",INDEX(v_data!$B$2:$L$1000,MATCH($A90,v_data!$A$3:$A$1000,0)+1,MATCH(LOWER(R$1),v_data!$B$2:$L$2,0)))</f>
        <v/>
      </c>
      <c r="S90" s="2" t="str">
        <f t="shared" si="202"/>
        <v/>
      </c>
      <c r="T90" s="2" t="str">
        <f>IF($A90="","",INDEX(v_data!$B$2:$L$1000,MATCH($A90,v_data!$A$3:$A$1000,0)+1,MATCH(LOWER(T$1),v_data!$B$2:$L$2,0)))</f>
        <v/>
      </c>
      <c r="U90" s="2" t="str">
        <f t="shared" si="203"/>
        <v/>
      </c>
      <c r="V90" s="2" t="str">
        <f>IF($A90="","",INDEX(v_data!$B$2:$L$1000,MATCH($A90,v_data!$A$3:$A$1000,0)+1,MATCH(LOWER(V$1),v_data!$B$2:$L$2,0)))</f>
        <v/>
      </c>
      <c r="W90" s="2" t="str">
        <f t="shared" si="204"/>
        <v/>
      </c>
      <c r="X90" s="2" t="str">
        <f>IF($A90="","",INDEX(v_data!$B$2:$L$1000,MATCH($A90,v_data!$A$3:$A$1000,0)+1,MATCH(LOWER(X$1),v_data!$B$2:$L$2,0)))</f>
        <v/>
      </c>
      <c r="Y90" s="2" t="str">
        <f t="shared" si="205"/>
        <v/>
      </c>
      <c r="Z90" s="2" t="str">
        <f>IF($A90="","",INDEX(v_data!$B$2:$L$1000,MATCH($A90,v_data!$A$3:$A$1000,0)+1,MATCH(LOWER(Z$1),v_data!$B$2:$L$2,0)))</f>
        <v/>
      </c>
      <c r="AA90" s="2" t="str">
        <f t="shared" si="206"/>
        <v/>
      </c>
      <c r="AB90" s="2" t="str">
        <f t="shared" si="207"/>
        <v/>
      </c>
      <c r="AC90" s="2">
        <f>(SUM(G90,I90,K90,M90,O90,Q90,S90,U90,W90,Y90,AA90)+IF(AND(G90&gt;0,I90&gt;0,K90&gt;0),100,0))*VLOOKUP(B90,variables!$A$2:$B$6,2,FALSE)</f>
        <v>80</v>
      </c>
      <c r="AD90" s="16" t="str">
        <f>IF($A90="","",INDEX(v_data!$B$2:$X$1000,MATCH($A90,v_data!$A$3:$A$1000,0)+1,MATCH(LOWER("hours"),v_data!$B$2:$X$2,0)))</f>
        <v/>
      </c>
    </row>
    <row r="91" spans="1:30" hidden="1" x14ac:dyDescent="0.25">
      <c r="A91" s="2" t="str">
        <f>IF(ISBLANK(v_data!A90),"",v_data!A90)</f>
        <v/>
      </c>
      <c r="B91" s="2" t="s">
        <v>22</v>
      </c>
      <c r="C91" s="2">
        <f>VLOOKUP(B91,variables!$A$2:$B$6,2,FALSE)</f>
        <v>0.8</v>
      </c>
      <c r="D91" s="4">
        <v>43826</v>
      </c>
      <c r="E91" s="4">
        <v>43431</v>
      </c>
      <c r="F91" s="2" t="str">
        <f>IF($A91="","",INDEX(v_data!$B$2:$L$1000,MATCH($A91,v_data!$A$3:$A$1000,0)+1,MATCH(LOWER(F$1),v_data!$B$2:$L$2,0)))</f>
        <v/>
      </c>
      <c r="G91" s="2" t="str">
        <f t="shared" si="196"/>
        <v/>
      </c>
      <c r="H91" s="2" t="str">
        <f>IF($A91="","",INDEX(v_data!$B$2:$L$1000,MATCH($A91,v_data!$A$3:$A$1000,0)+1,MATCH(LOWER(H$1),v_data!$B$2:$L$2,0)))</f>
        <v/>
      </c>
      <c r="I91" s="2" t="str">
        <f t="shared" si="197"/>
        <v/>
      </c>
      <c r="J91" s="2" t="str">
        <f>IF($A91="","",INDEX(v_data!$B$2:$L$1000,MATCH($A91,v_data!$A$3:$A$1000,0)+1,MATCH(LOWER(J$1),v_data!$B$2:$L$2,0)))</f>
        <v/>
      </c>
      <c r="K91" s="2" t="str">
        <f t="shared" si="198"/>
        <v/>
      </c>
      <c r="L91" s="2" t="str">
        <f>IF($A91="","",INDEX(v_data!$B$2:$L$1000,MATCH($A91,v_data!$A$3:$A$1000,0)+1,MATCH(LOWER(L$1),v_data!$B$2:$L$2,0)))</f>
        <v/>
      </c>
      <c r="M91" s="2" t="str">
        <f t="shared" si="199"/>
        <v/>
      </c>
      <c r="N91" s="2" t="str">
        <f>IF($A91="","",INDEX(v_data!$B$2:$L$1000,MATCH($A91,v_data!$A$3:$A$1000,0)+1,MATCH(LOWER(N$1),v_data!$B$2:$L$2,0)))</f>
        <v/>
      </c>
      <c r="O91" s="2" t="str">
        <f t="shared" si="200"/>
        <v/>
      </c>
      <c r="P91" s="2" t="str">
        <f>IF($A91="","",INDEX(v_data!$B$2:$L$1000,MATCH($A91,v_data!$A$3:$A$1000,0)+1,MATCH(LOWER(P$1),v_data!$B$2:$L$2,0)))</f>
        <v/>
      </c>
      <c r="Q91" s="2" t="str">
        <f t="shared" si="201"/>
        <v/>
      </c>
      <c r="R91" s="2" t="str">
        <f>IF($A91="","",INDEX(v_data!$B$2:$L$1000,MATCH($A91,v_data!$A$3:$A$1000,0)+1,MATCH(LOWER(R$1),v_data!$B$2:$L$2,0)))</f>
        <v/>
      </c>
      <c r="S91" s="2" t="str">
        <f t="shared" si="202"/>
        <v/>
      </c>
      <c r="T91" s="2" t="str">
        <f>IF($A91="","",INDEX(v_data!$B$2:$L$1000,MATCH($A91,v_data!$A$3:$A$1000,0)+1,MATCH(LOWER(T$1),v_data!$B$2:$L$2,0)))</f>
        <v/>
      </c>
      <c r="U91" s="2" t="str">
        <f t="shared" si="203"/>
        <v/>
      </c>
      <c r="V91" s="2" t="str">
        <f>IF($A91="","",INDEX(v_data!$B$2:$L$1000,MATCH($A91,v_data!$A$3:$A$1000,0)+1,MATCH(LOWER(V$1),v_data!$B$2:$L$2,0)))</f>
        <v/>
      </c>
      <c r="W91" s="2" t="str">
        <f t="shared" si="204"/>
        <v/>
      </c>
      <c r="X91" s="2" t="str">
        <f>IF($A91="","",INDEX(v_data!$B$2:$L$1000,MATCH($A91,v_data!$A$3:$A$1000,0)+1,MATCH(LOWER(X$1),v_data!$B$2:$L$2,0)))</f>
        <v/>
      </c>
      <c r="Y91" s="2" t="str">
        <f t="shared" si="205"/>
        <v/>
      </c>
      <c r="Z91" s="2" t="str">
        <f>IF($A91="","",INDEX(v_data!$B$2:$L$1000,MATCH($A91,v_data!$A$3:$A$1000,0)+1,MATCH(LOWER(Z$1),v_data!$B$2:$L$2,0)))</f>
        <v/>
      </c>
      <c r="AA91" s="2" t="str">
        <f t="shared" si="206"/>
        <v/>
      </c>
      <c r="AB91" s="2" t="str">
        <f t="shared" si="207"/>
        <v/>
      </c>
      <c r="AC91" s="2">
        <f>(SUM(G91,I91,K91,M91,O91,Q91,S91,U91,W91,Y91,AA91)+IF(AND(G91&gt;0,I91&gt;0,K91&gt;0),100,0))*VLOOKUP(B91,variables!$A$2:$B$6,2,FALSE)</f>
        <v>80</v>
      </c>
      <c r="AD91" s="16" t="str">
        <f>IF($A91="","",INDEX(v_data!$B$2:$X$1000,MATCH($A91,v_data!$A$3:$A$1000,0)+1,MATCH(LOWER("hours"),v_data!$B$2:$X$2,0)))</f>
        <v/>
      </c>
    </row>
    <row r="92" spans="1:30" hidden="1" x14ac:dyDescent="0.25">
      <c r="A92" s="2" t="str">
        <f>IF(ISBLANK(v_data!A91),"",v_data!A91)</f>
        <v/>
      </c>
      <c r="B92" s="2" t="s">
        <v>22</v>
      </c>
      <c r="C92" s="2">
        <f>VLOOKUP(B92,variables!$A$2:$B$6,2,FALSE)</f>
        <v>0.8</v>
      </c>
      <c r="D92" s="4">
        <v>43826</v>
      </c>
      <c r="E92" s="4">
        <v>43431</v>
      </c>
      <c r="F92" s="2" t="str">
        <f>IF($A92="","",INDEX(v_data!$B$2:$L$1000,MATCH($A92,v_data!$A$3:$A$1000,0)+1,MATCH(LOWER(F$1),v_data!$B$2:$L$2,0)))</f>
        <v/>
      </c>
      <c r="G92" s="2" t="str">
        <f t="shared" si="196"/>
        <v/>
      </c>
      <c r="H92" s="2" t="str">
        <f>IF($A92="","",INDEX(v_data!$B$2:$L$1000,MATCH($A92,v_data!$A$3:$A$1000,0)+1,MATCH(LOWER(H$1),v_data!$B$2:$L$2,0)))</f>
        <v/>
      </c>
      <c r="I92" s="2" t="str">
        <f t="shared" si="197"/>
        <v/>
      </c>
      <c r="J92" s="2" t="str">
        <f>IF($A92="","",INDEX(v_data!$B$2:$L$1000,MATCH($A92,v_data!$A$3:$A$1000,0)+1,MATCH(LOWER(J$1),v_data!$B$2:$L$2,0)))</f>
        <v/>
      </c>
      <c r="K92" s="2" t="str">
        <f t="shared" si="198"/>
        <v/>
      </c>
      <c r="L92" s="2" t="str">
        <f>IF($A92="","",INDEX(v_data!$B$2:$L$1000,MATCH($A92,v_data!$A$3:$A$1000,0)+1,MATCH(LOWER(L$1),v_data!$B$2:$L$2,0)))</f>
        <v/>
      </c>
      <c r="M92" s="2" t="str">
        <f t="shared" si="199"/>
        <v/>
      </c>
      <c r="N92" s="2" t="str">
        <f>IF($A92="","",INDEX(v_data!$B$2:$L$1000,MATCH($A92,v_data!$A$3:$A$1000,0)+1,MATCH(LOWER(N$1),v_data!$B$2:$L$2,0)))</f>
        <v/>
      </c>
      <c r="O92" s="2" t="str">
        <f t="shared" si="200"/>
        <v/>
      </c>
      <c r="P92" s="2" t="str">
        <f>IF($A92="","",INDEX(v_data!$B$2:$L$1000,MATCH($A92,v_data!$A$3:$A$1000,0)+1,MATCH(LOWER(P$1),v_data!$B$2:$L$2,0)))</f>
        <v/>
      </c>
      <c r="Q92" s="2" t="str">
        <f t="shared" si="201"/>
        <v/>
      </c>
      <c r="R92" s="2" t="str">
        <f>IF($A92="","",INDEX(v_data!$B$2:$L$1000,MATCH($A92,v_data!$A$3:$A$1000,0)+1,MATCH(LOWER(R$1),v_data!$B$2:$L$2,0)))</f>
        <v/>
      </c>
      <c r="S92" s="2" t="str">
        <f t="shared" si="202"/>
        <v/>
      </c>
      <c r="T92" s="2" t="str">
        <f>IF($A92="","",INDEX(v_data!$B$2:$L$1000,MATCH($A92,v_data!$A$3:$A$1000,0)+1,MATCH(LOWER(T$1),v_data!$B$2:$L$2,0)))</f>
        <v/>
      </c>
      <c r="U92" s="2" t="str">
        <f t="shared" si="203"/>
        <v/>
      </c>
      <c r="V92" s="2" t="str">
        <f>IF($A92="","",INDEX(v_data!$B$2:$L$1000,MATCH($A92,v_data!$A$3:$A$1000,0)+1,MATCH(LOWER(V$1),v_data!$B$2:$L$2,0)))</f>
        <v/>
      </c>
      <c r="W92" s="2" t="str">
        <f t="shared" si="204"/>
        <v/>
      </c>
      <c r="X92" s="2" t="str">
        <f>IF($A92="","",INDEX(v_data!$B$2:$L$1000,MATCH($A92,v_data!$A$3:$A$1000,0)+1,MATCH(LOWER(X$1),v_data!$B$2:$L$2,0)))</f>
        <v/>
      </c>
      <c r="Y92" s="2" t="str">
        <f t="shared" si="205"/>
        <v/>
      </c>
      <c r="Z92" s="2" t="str">
        <f>IF($A92="","",INDEX(v_data!$B$2:$L$1000,MATCH($A92,v_data!$A$3:$A$1000,0)+1,MATCH(LOWER(Z$1),v_data!$B$2:$L$2,0)))</f>
        <v/>
      </c>
      <c r="AA92" s="2" t="str">
        <f t="shared" si="206"/>
        <v/>
      </c>
      <c r="AB92" s="2" t="str">
        <f t="shared" si="207"/>
        <v/>
      </c>
      <c r="AC92" s="2">
        <f>(SUM(G92,I92,K92,M92,O92,Q92,S92,U92,W92,Y92,AA92)+IF(AND(G92&gt;0,I92&gt;0,K92&gt;0),100,0))*VLOOKUP(B92,variables!$A$2:$B$6,2,FALSE)</f>
        <v>80</v>
      </c>
      <c r="AD92" s="16" t="str">
        <f>IF($A92="","",INDEX(v_data!$B$2:$X$1000,MATCH($A92,v_data!$A$3:$A$1000,0)+1,MATCH(LOWER("hours"),v_data!$B$2:$X$2,0)))</f>
        <v/>
      </c>
    </row>
    <row r="93" spans="1:30" hidden="1" x14ac:dyDescent="0.25">
      <c r="A93" s="2" t="str">
        <f>IF(ISBLANK(v_data!A92),"",v_data!A92)</f>
        <v/>
      </c>
      <c r="B93" s="2" t="s">
        <v>22</v>
      </c>
      <c r="C93" s="2">
        <f>VLOOKUP(B93,variables!$A$2:$B$6,2,FALSE)</f>
        <v>0.8</v>
      </c>
      <c r="D93" s="4">
        <v>43826</v>
      </c>
      <c r="E93" s="4">
        <v>43431</v>
      </c>
      <c r="F93" s="2" t="str">
        <f>IF($A93="","",INDEX(v_data!$B$2:$L$1000,MATCH($A93,v_data!$A$3:$A$1000,0)+1,MATCH(LOWER(F$1),v_data!$B$2:$L$2,0)))</f>
        <v/>
      </c>
      <c r="G93" s="2" t="str">
        <f t="shared" si="196"/>
        <v/>
      </c>
      <c r="H93" s="2" t="str">
        <f>IF($A93="","",INDEX(v_data!$B$2:$L$1000,MATCH($A93,v_data!$A$3:$A$1000,0)+1,MATCH(LOWER(H$1),v_data!$B$2:$L$2,0)))</f>
        <v/>
      </c>
      <c r="I93" s="2" t="str">
        <f t="shared" si="197"/>
        <v/>
      </c>
      <c r="J93" s="2" t="str">
        <f>IF($A93="","",INDEX(v_data!$B$2:$L$1000,MATCH($A93,v_data!$A$3:$A$1000,0)+1,MATCH(LOWER(J$1),v_data!$B$2:$L$2,0)))</f>
        <v/>
      </c>
      <c r="K93" s="2" t="str">
        <f t="shared" si="198"/>
        <v/>
      </c>
      <c r="L93" s="2" t="str">
        <f>IF($A93="","",INDEX(v_data!$B$2:$L$1000,MATCH($A93,v_data!$A$3:$A$1000,0)+1,MATCH(LOWER(L$1),v_data!$B$2:$L$2,0)))</f>
        <v/>
      </c>
      <c r="M93" s="2" t="str">
        <f t="shared" si="199"/>
        <v/>
      </c>
      <c r="N93" s="2" t="str">
        <f>IF($A93="","",INDEX(v_data!$B$2:$L$1000,MATCH($A93,v_data!$A$3:$A$1000,0)+1,MATCH(LOWER(N$1),v_data!$B$2:$L$2,0)))</f>
        <v/>
      </c>
      <c r="O93" s="2" t="str">
        <f t="shared" si="200"/>
        <v/>
      </c>
      <c r="P93" s="2" t="str">
        <f>IF($A93="","",INDEX(v_data!$B$2:$L$1000,MATCH($A93,v_data!$A$3:$A$1000,0)+1,MATCH(LOWER(P$1),v_data!$B$2:$L$2,0)))</f>
        <v/>
      </c>
      <c r="Q93" s="2" t="str">
        <f t="shared" si="201"/>
        <v/>
      </c>
      <c r="R93" s="2" t="str">
        <f>IF($A93="","",INDEX(v_data!$B$2:$L$1000,MATCH($A93,v_data!$A$3:$A$1000,0)+1,MATCH(LOWER(R$1),v_data!$B$2:$L$2,0)))</f>
        <v/>
      </c>
      <c r="S93" s="2" t="str">
        <f t="shared" si="202"/>
        <v/>
      </c>
      <c r="T93" s="2" t="str">
        <f>IF($A93="","",INDEX(v_data!$B$2:$L$1000,MATCH($A93,v_data!$A$3:$A$1000,0)+1,MATCH(LOWER(T$1),v_data!$B$2:$L$2,0)))</f>
        <v/>
      </c>
      <c r="U93" s="2" t="str">
        <f t="shared" si="203"/>
        <v/>
      </c>
      <c r="V93" s="2" t="str">
        <f>IF($A93="","",INDEX(v_data!$B$2:$L$1000,MATCH($A93,v_data!$A$3:$A$1000,0)+1,MATCH(LOWER(V$1),v_data!$B$2:$L$2,0)))</f>
        <v/>
      </c>
      <c r="W93" s="2" t="str">
        <f t="shared" si="204"/>
        <v/>
      </c>
      <c r="X93" s="2" t="str">
        <f>IF($A93="","",INDEX(v_data!$B$2:$L$1000,MATCH($A93,v_data!$A$3:$A$1000,0)+1,MATCH(LOWER(X$1),v_data!$B$2:$L$2,0)))</f>
        <v/>
      </c>
      <c r="Y93" s="2" t="str">
        <f t="shared" si="205"/>
        <v/>
      </c>
      <c r="Z93" s="2" t="str">
        <f>IF($A93="","",INDEX(v_data!$B$2:$L$1000,MATCH($A93,v_data!$A$3:$A$1000,0)+1,MATCH(LOWER(Z$1),v_data!$B$2:$L$2,0)))</f>
        <v/>
      </c>
      <c r="AA93" s="2" t="str">
        <f t="shared" si="206"/>
        <v/>
      </c>
      <c r="AB93" s="2" t="str">
        <f t="shared" si="207"/>
        <v/>
      </c>
      <c r="AC93" s="2">
        <f>(SUM(G93,I93,K93,M93,O93,Q93,S93,U93,W93,Y93,AA93)+IF(AND(G93&gt;0,I93&gt;0,K93&gt;0),100,0))*VLOOKUP(B93,variables!$A$2:$B$6,2,FALSE)</f>
        <v>80</v>
      </c>
      <c r="AD93" s="16" t="str">
        <f>IF($A93="","",INDEX(v_data!$B$2:$X$1000,MATCH($A93,v_data!$A$3:$A$1000,0)+1,MATCH(LOWER("hours"),v_data!$B$2:$X$2,0)))</f>
        <v/>
      </c>
    </row>
    <row r="94" spans="1:30" hidden="1" x14ac:dyDescent="0.25">
      <c r="A94" s="2" t="str">
        <f>IF(ISBLANK(v_data!A93),"",v_data!A93)</f>
        <v/>
      </c>
      <c r="B94" s="2" t="s">
        <v>22</v>
      </c>
      <c r="C94" s="2">
        <f>VLOOKUP(B94,variables!$A$2:$B$6,2,FALSE)</f>
        <v>0.8</v>
      </c>
      <c r="D94" s="4">
        <v>43826</v>
      </c>
      <c r="E94" s="4">
        <v>43431</v>
      </c>
      <c r="F94" s="2" t="str">
        <f>IF($A94="","",INDEX(v_data!$B$2:$L$1000,MATCH($A94,v_data!$A$3:$A$1000,0)+1,MATCH(LOWER(F$1),v_data!$B$2:$L$2,0)))</f>
        <v/>
      </c>
      <c r="G94" s="2" t="str">
        <f t="shared" si="196"/>
        <v/>
      </c>
      <c r="H94" s="2" t="str">
        <f>IF($A94="","",INDEX(v_data!$B$2:$L$1000,MATCH($A94,v_data!$A$3:$A$1000,0)+1,MATCH(LOWER(H$1),v_data!$B$2:$L$2,0)))</f>
        <v/>
      </c>
      <c r="I94" s="2" t="str">
        <f t="shared" si="197"/>
        <v/>
      </c>
      <c r="J94" s="2" t="str">
        <f>IF($A94="","",INDEX(v_data!$B$2:$L$1000,MATCH($A94,v_data!$A$3:$A$1000,0)+1,MATCH(LOWER(J$1),v_data!$B$2:$L$2,0)))</f>
        <v/>
      </c>
      <c r="K94" s="2" t="str">
        <f t="shared" si="198"/>
        <v/>
      </c>
      <c r="L94" s="2" t="str">
        <f>IF($A94="","",INDEX(v_data!$B$2:$L$1000,MATCH($A94,v_data!$A$3:$A$1000,0)+1,MATCH(LOWER(L$1),v_data!$B$2:$L$2,0)))</f>
        <v/>
      </c>
      <c r="M94" s="2" t="str">
        <f t="shared" si="199"/>
        <v/>
      </c>
      <c r="N94" s="2" t="str">
        <f>IF($A94="","",INDEX(v_data!$B$2:$L$1000,MATCH($A94,v_data!$A$3:$A$1000,0)+1,MATCH(LOWER(N$1),v_data!$B$2:$L$2,0)))</f>
        <v/>
      </c>
      <c r="O94" s="2" t="str">
        <f t="shared" si="200"/>
        <v/>
      </c>
      <c r="P94" s="2" t="str">
        <f>IF($A94="","",INDEX(v_data!$B$2:$L$1000,MATCH($A94,v_data!$A$3:$A$1000,0)+1,MATCH(LOWER(P$1),v_data!$B$2:$L$2,0)))</f>
        <v/>
      </c>
      <c r="Q94" s="2" t="str">
        <f t="shared" si="201"/>
        <v/>
      </c>
      <c r="R94" s="2" t="str">
        <f>IF($A94="","",INDEX(v_data!$B$2:$L$1000,MATCH($A94,v_data!$A$3:$A$1000,0)+1,MATCH(LOWER(R$1),v_data!$B$2:$L$2,0)))</f>
        <v/>
      </c>
      <c r="S94" s="2" t="str">
        <f t="shared" si="202"/>
        <v/>
      </c>
      <c r="T94" s="2" t="str">
        <f>IF($A94="","",INDEX(v_data!$B$2:$L$1000,MATCH($A94,v_data!$A$3:$A$1000,0)+1,MATCH(LOWER(T$1),v_data!$B$2:$L$2,0)))</f>
        <v/>
      </c>
      <c r="U94" s="2" t="str">
        <f t="shared" si="203"/>
        <v/>
      </c>
      <c r="V94" s="2" t="str">
        <f>IF($A94="","",INDEX(v_data!$B$2:$L$1000,MATCH($A94,v_data!$A$3:$A$1000,0)+1,MATCH(LOWER(V$1),v_data!$B$2:$L$2,0)))</f>
        <v/>
      </c>
      <c r="W94" s="2" t="str">
        <f t="shared" si="204"/>
        <v/>
      </c>
      <c r="X94" s="2" t="str">
        <f>IF($A94="","",INDEX(v_data!$B$2:$L$1000,MATCH($A94,v_data!$A$3:$A$1000,0)+1,MATCH(LOWER(X$1),v_data!$B$2:$L$2,0)))</f>
        <v/>
      </c>
      <c r="Y94" s="2" t="str">
        <f t="shared" si="205"/>
        <v/>
      </c>
      <c r="Z94" s="2" t="str">
        <f>IF($A94="","",INDEX(v_data!$B$2:$L$1000,MATCH($A94,v_data!$A$3:$A$1000,0)+1,MATCH(LOWER(Z$1),v_data!$B$2:$L$2,0)))</f>
        <v/>
      </c>
      <c r="AA94" s="2" t="str">
        <f t="shared" si="206"/>
        <v/>
      </c>
      <c r="AB94" s="2" t="str">
        <f t="shared" si="207"/>
        <v/>
      </c>
      <c r="AC94" s="2">
        <f>(SUM(G94,I94,K94,M94,O94,Q94,S94,U94,W94,Y94,AA94)+IF(AND(G94&gt;0,I94&gt;0,K94&gt;0),100,0))*VLOOKUP(B94,variables!$A$2:$B$6,2,FALSE)</f>
        <v>80</v>
      </c>
      <c r="AD94" s="16" t="str">
        <f>IF($A94="","",INDEX(v_data!$B$2:$X$1000,MATCH($A94,v_data!$A$3:$A$1000,0)+1,MATCH(LOWER("hours"),v_data!$B$2:$X$2,0)))</f>
        <v/>
      </c>
    </row>
    <row r="95" spans="1:30" hidden="1" x14ac:dyDescent="0.25">
      <c r="A95" s="2" t="str">
        <f>IF(ISBLANK(v_data!A94),"",v_data!A94)</f>
        <v/>
      </c>
      <c r="B95" s="2" t="s">
        <v>22</v>
      </c>
      <c r="C95" s="2">
        <f>VLOOKUP(B95,variables!$A$2:$B$6,2,FALSE)</f>
        <v>0.8</v>
      </c>
      <c r="D95" s="4">
        <v>43826</v>
      </c>
      <c r="E95" s="4">
        <v>43431</v>
      </c>
      <c r="F95" s="2" t="str">
        <f>IF($A95="","",INDEX(v_data!$B$2:$L$1000,MATCH($A95,v_data!$A$3:$A$1000,0)+1,MATCH(LOWER(F$1),v_data!$B$2:$L$2,0)))</f>
        <v/>
      </c>
      <c r="G95" s="2" t="str">
        <f t="shared" si="196"/>
        <v/>
      </c>
      <c r="H95" s="2" t="str">
        <f>IF($A95="","",INDEX(v_data!$B$2:$L$1000,MATCH($A95,v_data!$A$3:$A$1000,0)+1,MATCH(LOWER(H$1),v_data!$B$2:$L$2,0)))</f>
        <v/>
      </c>
      <c r="I95" s="2" t="str">
        <f t="shared" si="197"/>
        <v/>
      </c>
      <c r="J95" s="2" t="str">
        <f>IF($A95="","",INDEX(v_data!$B$2:$L$1000,MATCH($A95,v_data!$A$3:$A$1000,0)+1,MATCH(LOWER(J$1),v_data!$B$2:$L$2,0)))</f>
        <v/>
      </c>
      <c r="K95" s="2" t="str">
        <f t="shared" si="198"/>
        <v/>
      </c>
      <c r="L95" s="2" t="str">
        <f>IF($A95="","",INDEX(v_data!$B$2:$L$1000,MATCH($A95,v_data!$A$3:$A$1000,0)+1,MATCH(LOWER(L$1),v_data!$B$2:$L$2,0)))</f>
        <v/>
      </c>
      <c r="M95" s="2" t="str">
        <f t="shared" si="199"/>
        <v/>
      </c>
      <c r="N95" s="2" t="str">
        <f>IF($A95="","",INDEX(v_data!$B$2:$L$1000,MATCH($A95,v_data!$A$3:$A$1000,0)+1,MATCH(LOWER(N$1),v_data!$B$2:$L$2,0)))</f>
        <v/>
      </c>
      <c r="O95" s="2" t="str">
        <f t="shared" si="200"/>
        <v/>
      </c>
      <c r="P95" s="2" t="str">
        <f>IF($A95="","",INDEX(v_data!$B$2:$L$1000,MATCH($A95,v_data!$A$3:$A$1000,0)+1,MATCH(LOWER(P$1),v_data!$B$2:$L$2,0)))</f>
        <v/>
      </c>
      <c r="Q95" s="2" t="str">
        <f t="shared" si="201"/>
        <v/>
      </c>
      <c r="R95" s="2" t="str">
        <f>IF($A95="","",INDEX(v_data!$B$2:$L$1000,MATCH($A95,v_data!$A$3:$A$1000,0)+1,MATCH(LOWER(R$1),v_data!$B$2:$L$2,0)))</f>
        <v/>
      </c>
      <c r="S95" s="2" t="str">
        <f t="shared" si="202"/>
        <v/>
      </c>
      <c r="T95" s="2" t="str">
        <f>IF($A95="","",INDEX(v_data!$B$2:$L$1000,MATCH($A95,v_data!$A$3:$A$1000,0)+1,MATCH(LOWER(T$1),v_data!$B$2:$L$2,0)))</f>
        <v/>
      </c>
      <c r="U95" s="2" t="str">
        <f t="shared" si="203"/>
        <v/>
      </c>
      <c r="V95" s="2" t="str">
        <f>IF($A95="","",INDEX(v_data!$B$2:$L$1000,MATCH($A95,v_data!$A$3:$A$1000,0)+1,MATCH(LOWER(V$1),v_data!$B$2:$L$2,0)))</f>
        <v/>
      </c>
      <c r="W95" s="2" t="str">
        <f t="shared" si="204"/>
        <v/>
      </c>
      <c r="X95" s="2" t="str">
        <f>IF($A95="","",INDEX(v_data!$B$2:$L$1000,MATCH($A95,v_data!$A$3:$A$1000,0)+1,MATCH(LOWER(X$1),v_data!$B$2:$L$2,0)))</f>
        <v/>
      </c>
      <c r="Y95" s="2" t="str">
        <f t="shared" si="205"/>
        <v/>
      </c>
      <c r="Z95" s="2" t="str">
        <f>IF($A95="","",INDEX(v_data!$B$2:$L$1000,MATCH($A95,v_data!$A$3:$A$1000,0)+1,MATCH(LOWER(Z$1),v_data!$B$2:$L$2,0)))</f>
        <v/>
      </c>
      <c r="AA95" s="2" t="str">
        <f t="shared" si="206"/>
        <v/>
      </c>
      <c r="AB95" s="2" t="str">
        <f t="shared" si="207"/>
        <v/>
      </c>
      <c r="AC95" s="2">
        <f>(SUM(G95,I95,K95,M95,O95,Q95,S95,U95,W95,Y95,AA95)+IF(AND(G95&gt;0,I95&gt;0,K95&gt;0),100,0))*VLOOKUP(B95,variables!$A$2:$B$6,2,FALSE)</f>
        <v>80</v>
      </c>
      <c r="AD95" s="16" t="str">
        <f>IF($A95="","",INDEX(v_data!$B$2:$X$1000,MATCH($A95,v_data!$A$3:$A$1000,0)+1,MATCH(LOWER("hours"),v_data!$B$2:$X$2,0)))</f>
        <v/>
      </c>
    </row>
    <row r="96" spans="1:30" hidden="1" x14ac:dyDescent="0.25">
      <c r="A96" s="2" t="str">
        <f>IF(ISBLANK(v_data!A95),"",v_data!A95)</f>
        <v/>
      </c>
      <c r="B96" s="2" t="s">
        <v>22</v>
      </c>
      <c r="C96" s="2">
        <f>VLOOKUP(B96,variables!$A$2:$B$6,2,FALSE)</f>
        <v>0.8</v>
      </c>
      <c r="D96" s="4">
        <v>43826</v>
      </c>
      <c r="E96" s="4">
        <v>43431</v>
      </c>
      <c r="F96" s="2" t="str">
        <f>IF($A96="","",INDEX(v_data!$B$2:$L$1000,MATCH($A96,v_data!$A$3:$A$1000,0)+1,MATCH(LOWER(F$1),v_data!$B$2:$L$2,0)))</f>
        <v/>
      </c>
      <c r="G96" s="2" t="str">
        <f t="shared" si="196"/>
        <v/>
      </c>
      <c r="H96" s="2" t="str">
        <f>IF($A96="","",INDEX(v_data!$B$2:$L$1000,MATCH($A96,v_data!$A$3:$A$1000,0)+1,MATCH(LOWER(H$1),v_data!$B$2:$L$2,0)))</f>
        <v/>
      </c>
      <c r="I96" s="2" t="str">
        <f t="shared" si="197"/>
        <v/>
      </c>
      <c r="J96" s="2" t="str">
        <f>IF($A96="","",INDEX(v_data!$B$2:$L$1000,MATCH($A96,v_data!$A$3:$A$1000,0)+1,MATCH(LOWER(J$1),v_data!$B$2:$L$2,0)))</f>
        <v/>
      </c>
      <c r="K96" s="2" t="str">
        <f t="shared" si="198"/>
        <v/>
      </c>
      <c r="L96" s="2" t="str">
        <f>IF($A96="","",INDEX(v_data!$B$2:$L$1000,MATCH($A96,v_data!$A$3:$A$1000,0)+1,MATCH(LOWER(L$1),v_data!$B$2:$L$2,0)))</f>
        <v/>
      </c>
      <c r="M96" s="2" t="str">
        <f t="shared" si="199"/>
        <v/>
      </c>
      <c r="N96" s="2" t="str">
        <f>IF($A96="","",INDEX(v_data!$B$2:$L$1000,MATCH($A96,v_data!$A$3:$A$1000,0)+1,MATCH(LOWER(N$1),v_data!$B$2:$L$2,0)))</f>
        <v/>
      </c>
      <c r="O96" s="2" t="str">
        <f t="shared" si="200"/>
        <v/>
      </c>
      <c r="P96" s="2" t="str">
        <f>IF($A96="","",INDEX(v_data!$B$2:$L$1000,MATCH($A96,v_data!$A$3:$A$1000,0)+1,MATCH(LOWER(P$1),v_data!$B$2:$L$2,0)))</f>
        <v/>
      </c>
      <c r="Q96" s="2" t="str">
        <f t="shared" si="201"/>
        <v/>
      </c>
      <c r="R96" s="2" t="str">
        <f>IF($A96="","",INDEX(v_data!$B$2:$L$1000,MATCH($A96,v_data!$A$3:$A$1000,0)+1,MATCH(LOWER(R$1),v_data!$B$2:$L$2,0)))</f>
        <v/>
      </c>
      <c r="S96" s="2" t="str">
        <f t="shared" si="202"/>
        <v/>
      </c>
      <c r="T96" s="2" t="str">
        <f>IF($A96="","",INDEX(v_data!$B$2:$L$1000,MATCH($A96,v_data!$A$3:$A$1000,0)+1,MATCH(LOWER(T$1),v_data!$B$2:$L$2,0)))</f>
        <v/>
      </c>
      <c r="U96" s="2" t="str">
        <f t="shared" si="203"/>
        <v/>
      </c>
      <c r="V96" s="2" t="str">
        <f>IF($A96="","",INDEX(v_data!$B$2:$L$1000,MATCH($A96,v_data!$A$3:$A$1000,0)+1,MATCH(LOWER(V$1),v_data!$B$2:$L$2,0)))</f>
        <v/>
      </c>
      <c r="W96" s="2" t="str">
        <f t="shared" si="204"/>
        <v/>
      </c>
      <c r="X96" s="2" t="str">
        <f>IF($A96="","",INDEX(v_data!$B$2:$L$1000,MATCH($A96,v_data!$A$3:$A$1000,0)+1,MATCH(LOWER(X$1),v_data!$B$2:$L$2,0)))</f>
        <v/>
      </c>
      <c r="Y96" s="2" t="str">
        <f t="shared" si="205"/>
        <v/>
      </c>
      <c r="Z96" s="2" t="str">
        <f>IF($A96="","",INDEX(v_data!$B$2:$L$1000,MATCH($A96,v_data!$A$3:$A$1000,0)+1,MATCH(LOWER(Z$1),v_data!$B$2:$L$2,0)))</f>
        <v/>
      </c>
      <c r="AA96" s="2" t="str">
        <f t="shared" si="206"/>
        <v/>
      </c>
      <c r="AB96" s="2" t="str">
        <f t="shared" si="207"/>
        <v/>
      </c>
      <c r="AC96" s="2">
        <f>(SUM(G96,I96,K96,M96,O96,Q96,S96,U96,W96,Y96,AA96)+IF(AND(G96&gt;0,I96&gt;0,K96&gt;0),100,0))*VLOOKUP(B96,variables!$A$2:$B$6,2,FALSE)</f>
        <v>80</v>
      </c>
      <c r="AD96" s="16" t="str">
        <f>IF($A96="","",INDEX(v_data!$B$2:$X$1000,MATCH($A96,v_data!$A$3:$A$1000,0)+1,MATCH(LOWER("hours"),v_data!$B$2:$X$2,0)))</f>
        <v/>
      </c>
    </row>
    <row r="97" spans="1:30" hidden="1" x14ac:dyDescent="0.25">
      <c r="A97" s="2" t="str">
        <f>IF(ISBLANK(v_data!A96),"",v_data!A96)</f>
        <v/>
      </c>
      <c r="B97" s="2" t="s">
        <v>22</v>
      </c>
      <c r="C97" s="2">
        <f>VLOOKUP(B97,variables!$A$2:$B$6,2,FALSE)</f>
        <v>0.8</v>
      </c>
      <c r="D97" s="4">
        <v>43826</v>
      </c>
      <c r="E97" s="4">
        <v>43431</v>
      </c>
      <c r="F97" s="2" t="str">
        <f>IF($A97="","",INDEX(v_data!$B$2:$L$1000,MATCH($A97,v_data!$A$3:$A$1000,0)+1,MATCH(LOWER(F$1),v_data!$B$2:$L$2,0)))</f>
        <v/>
      </c>
      <c r="G97" s="2" t="str">
        <f t="shared" si="196"/>
        <v/>
      </c>
      <c r="H97" s="2" t="str">
        <f>IF($A97="","",INDEX(v_data!$B$2:$L$1000,MATCH($A97,v_data!$A$3:$A$1000,0)+1,MATCH(LOWER(H$1),v_data!$B$2:$L$2,0)))</f>
        <v/>
      </c>
      <c r="I97" s="2" t="str">
        <f t="shared" si="197"/>
        <v/>
      </c>
      <c r="J97" s="2" t="str">
        <f>IF($A97="","",INDEX(v_data!$B$2:$L$1000,MATCH($A97,v_data!$A$3:$A$1000,0)+1,MATCH(LOWER(J$1),v_data!$B$2:$L$2,0)))</f>
        <v/>
      </c>
      <c r="K97" s="2" t="str">
        <f t="shared" si="198"/>
        <v/>
      </c>
      <c r="L97" s="2" t="str">
        <f>IF($A97="","",INDEX(v_data!$B$2:$L$1000,MATCH($A97,v_data!$A$3:$A$1000,0)+1,MATCH(LOWER(L$1),v_data!$B$2:$L$2,0)))</f>
        <v/>
      </c>
      <c r="M97" s="2" t="str">
        <f t="shared" si="199"/>
        <v/>
      </c>
      <c r="N97" s="2" t="str">
        <f>IF($A97="","",INDEX(v_data!$B$2:$L$1000,MATCH($A97,v_data!$A$3:$A$1000,0)+1,MATCH(LOWER(N$1),v_data!$B$2:$L$2,0)))</f>
        <v/>
      </c>
      <c r="O97" s="2" t="str">
        <f t="shared" si="200"/>
        <v/>
      </c>
      <c r="P97" s="2" t="str">
        <f>IF($A97="","",INDEX(v_data!$B$2:$L$1000,MATCH($A97,v_data!$A$3:$A$1000,0)+1,MATCH(LOWER(P$1),v_data!$B$2:$L$2,0)))</f>
        <v/>
      </c>
      <c r="Q97" s="2" t="str">
        <f t="shared" si="201"/>
        <v/>
      </c>
      <c r="R97" s="2" t="str">
        <f>IF($A97="","",INDEX(v_data!$B$2:$L$1000,MATCH($A97,v_data!$A$3:$A$1000,0)+1,MATCH(LOWER(R$1),v_data!$B$2:$L$2,0)))</f>
        <v/>
      </c>
      <c r="S97" s="2" t="str">
        <f t="shared" si="202"/>
        <v/>
      </c>
      <c r="T97" s="2" t="str">
        <f>IF($A97="","",INDEX(v_data!$B$2:$L$1000,MATCH($A97,v_data!$A$3:$A$1000,0)+1,MATCH(LOWER(T$1),v_data!$B$2:$L$2,0)))</f>
        <v/>
      </c>
      <c r="U97" s="2" t="str">
        <f t="shared" si="203"/>
        <v/>
      </c>
      <c r="V97" s="2" t="str">
        <f>IF($A97="","",INDEX(v_data!$B$2:$L$1000,MATCH($A97,v_data!$A$3:$A$1000,0)+1,MATCH(LOWER(V$1),v_data!$B$2:$L$2,0)))</f>
        <v/>
      </c>
      <c r="W97" s="2" t="str">
        <f t="shared" si="204"/>
        <v/>
      </c>
      <c r="X97" s="2" t="str">
        <f>IF($A97="","",INDEX(v_data!$B$2:$L$1000,MATCH($A97,v_data!$A$3:$A$1000,0)+1,MATCH(LOWER(X$1),v_data!$B$2:$L$2,0)))</f>
        <v/>
      </c>
      <c r="Y97" s="2" t="str">
        <f t="shared" si="205"/>
        <v/>
      </c>
      <c r="Z97" s="2" t="str">
        <f>IF($A97="","",INDEX(v_data!$B$2:$L$1000,MATCH($A97,v_data!$A$3:$A$1000,0)+1,MATCH(LOWER(Z$1),v_data!$B$2:$L$2,0)))</f>
        <v/>
      </c>
      <c r="AA97" s="2" t="str">
        <f t="shared" si="206"/>
        <v/>
      </c>
      <c r="AB97" s="2" t="str">
        <f t="shared" si="207"/>
        <v/>
      </c>
      <c r="AC97" s="2">
        <f>(SUM(G97,I97,K97,M97,O97,Q97,S97,U97,W97,Y97,AA97)+IF(AND(G97&gt;0,I97&gt;0,K97&gt;0),100,0))*VLOOKUP(B97,variables!$A$2:$B$6,2,FALSE)</f>
        <v>80</v>
      </c>
      <c r="AD97" s="16" t="str">
        <f>IF($A97="","",INDEX(v_data!$B$2:$X$1000,MATCH($A97,v_data!$A$3:$A$1000,0)+1,MATCH(LOWER("hours"),v_data!$B$2:$X$2,0)))</f>
        <v/>
      </c>
    </row>
    <row r="98" spans="1:30" hidden="1" x14ac:dyDescent="0.25">
      <c r="A98" s="2" t="str">
        <f>IF(ISBLANK(v_data!A97),"",v_data!A97)</f>
        <v/>
      </c>
      <c r="B98" s="2" t="s">
        <v>22</v>
      </c>
      <c r="C98" s="2">
        <f>VLOOKUP(B98,variables!$A$2:$B$6,2,FALSE)</f>
        <v>0.8</v>
      </c>
      <c r="D98" s="4">
        <v>43826</v>
      </c>
      <c r="E98" s="4">
        <v>43431</v>
      </c>
      <c r="F98" s="2" t="str">
        <f>IF($A98="","",INDEX(v_data!$B$2:$L$1000,MATCH($A98,v_data!$A$3:$A$1000,0)+1,MATCH(LOWER(F$1),v_data!$B$2:$L$2,0)))</f>
        <v/>
      </c>
      <c r="G98" s="2" t="str">
        <f t="shared" si="196"/>
        <v/>
      </c>
      <c r="H98" s="2" t="str">
        <f>IF($A98="","",INDEX(v_data!$B$2:$L$1000,MATCH($A98,v_data!$A$3:$A$1000,0)+1,MATCH(LOWER(H$1),v_data!$B$2:$L$2,0)))</f>
        <v/>
      </c>
      <c r="I98" s="2" t="str">
        <f t="shared" si="197"/>
        <v/>
      </c>
      <c r="J98" s="2" t="str">
        <f>IF($A98="","",INDEX(v_data!$B$2:$L$1000,MATCH($A98,v_data!$A$3:$A$1000,0)+1,MATCH(LOWER(J$1),v_data!$B$2:$L$2,0)))</f>
        <v/>
      </c>
      <c r="K98" s="2" t="str">
        <f t="shared" si="198"/>
        <v/>
      </c>
      <c r="L98" s="2" t="str">
        <f>IF($A98="","",INDEX(v_data!$B$2:$L$1000,MATCH($A98,v_data!$A$3:$A$1000,0)+1,MATCH(LOWER(L$1),v_data!$B$2:$L$2,0)))</f>
        <v/>
      </c>
      <c r="M98" s="2" t="str">
        <f t="shared" si="199"/>
        <v/>
      </c>
      <c r="N98" s="2" t="str">
        <f>IF($A98="","",INDEX(v_data!$B$2:$L$1000,MATCH($A98,v_data!$A$3:$A$1000,0)+1,MATCH(LOWER(N$1),v_data!$B$2:$L$2,0)))</f>
        <v/>
      </c>
      <c r="O98" s="2" t="str">
        <f t="shared" si="200"/>
        <v/>
      </c>
      <c r="P98" s="2" t="str">
        <f>IF($A98="","",INDEX(v_data!$B$2:$L$1000,MATCH($A98,v_data!$A$3:$A$1000,0)+1,MATCH(LOWER(P$1),v_data!$B$2:$L$2,0)))</f>
        <v/>
      </c>
      <c r="Q98" s="2" t="str">
        <f t="shared" si="201"/>
        <v/>
      </c>
      <c r="R98" s="2" t="str">
        <f>IF($A98="","",INDEX(v_data!$B$2:$L$1000,MATCH($A98,v_data!$A$3:$A$1000,0)+1,MATCH(LOWER(R$1),v_data!$B$2:$L$2,0)))</f>
        <v/>
      </c>
      <c r="S98" s="2" t="str">
        <f t="shared" si="202"/>
        <v/>
      </c>
      <c r="T98" s="2" t="str">
        <f>IF($A98="","",INDEX(v_data!$B$2:$L$1000,MATCH($A98,v_data!$A$3:$A$1000,0)+1,MATCH(LOWER(T$1),v_data!$B$2:$L$2,0)))</f>
        <v/>
      </c>
      <c r="U98" s="2" t="str">
        <f t="shared" si="203"/>
        <v/>
      </c>
      <c r="V98" s="2" t="str">
        <f>IF($A98="","",INDEX(v_data!$B$2:$L$1000,MATCH($A98,v_data!$A$3:$A$1000,0)+1,MATCH(LOWER(V$1),v_data!$B$2:$L$2,0)))</f>
        <v/>
      </c>
      <c r="W98" s="2" t="str">
        <f t="shared" si="204"/>
        <v/>
      </c>
      <c r="X98" s="2" t="str">
        <f>IF($A98="","",INDEX(v_data!$B$2:$L$1000,MATCH($A98,v_data!$A$3:$A$1000,0)+1,MATCH(LOWER(X$1),v_data!$B$2:$L$2,0)))</f>
        <v/>
      </c>
      <c r="Y98" s="2" t="str">
        <f t="shared" si="205"/>
        <v/>
      </c>
      <c r="Z98" s="2" t="str">
        <f>IF($A98="","",INDEX(v_data!$B$2:$L$1000,MATCH($A98,v_data!$A$3:$A$1000,0)+1,MATCH(LOWER(Z$1),v_data!$B$2:$L$2,0)))</f>
        <v/>
      </c>
      <c r="AA98" s="2" t="str">
        <f t="shared" si="206"/>
        <v/>
      </c>
      <c r="AB98" s="2" t="str">
        <f t="shared" si="207"/>
        <v/>
      </c>
      <c r="AC98" s="2">
        <f>(SUM(G98,I98,K98,M98,O98,Q98,S98,U98,W98,Y98,AA98)+IF(AND(G98&gt;0,I98&gt;0,K98&gt;0),100,0))*VLOOKUP(B98,variables!$A$2:$B$6,2,FALSE)</f>
        <v>80</v>
      </c>
      <c r="AD98" s="16" t="str">
        <f>IF($A98="","",INDEX(v_data!$B$2:$X$1000,MATCH($A98,v_data!$A$3:$A$1000,0)+1,MATCH(LOWER("hours"),v_data!$B$2:$X$2,0)))</f>
        <v/>
      </c>
    </row>
    <row r="99" spans="1:30" hidden="1" x14ac:dyDescent="0.25">
      <c r="A99" s="2" t="str">
        <f>IF(ISBLANK(v_data!A98),"",v_data!A98)</f>
        <v/>
      </c>
      <c r="B99" s="2" t="s">
        <v>22</v>
      </c>
      <c r="C99" s="2">
        <f>VLOOKUP(B99,variables!$A$2:$B$6,2,FALSE)</f>
        <v>0.8</v>
      </c>
      <c r="D99" s="4">
        <v>43826</v>
      </c>
      <c r="E99" s="4">
        <v>43431</v>
      </c>
      <c r="F99" s="2" t="str">
        <f>IF($A99="","",INDEX(v_data!$B$2:$L$1000,MATCH($A99,v_data!$A$3:$A$1000,0)+1,MATCH(LOWER(F$1),v_data!$B$2:$L$2,0)))</f>
        <v/>
      </c>
      <c r="G99" s="2" t="str">
        <f t="shared" si="196"/>
        <v/>
      </c>
      <c r="H99" s="2" t="str">
        <f>IF($A99="","",INDEX(v_data!$B$2:$L$1000,MATCH($A99,v_data!$A$3:$A$1000,0)+1,MATCH(LOWER(H$1),v_data!$B$2:$L$2,0)))</f>
        <v/>
      </c>
      <c r="I99" s="2" t="str">
        <f t="shared" si="197"/>
        <v/>
      </c>
      <c r="J99" s="2" t="str">
        <f>IF($A99="","",INDEX(v_data!$B$2:$L$1000,MATCH($A99,v_data!$A$3:$A$1000,0)+1,MATCH(LOWER(J$1),v_data!$B$2:$L$2,0)))</f>
        <v/>
      </c>
      <c r="K99" s="2" t="str">
        <f t="shared" si="198"/>
        <v/>
      </c>
      <c r="L99" s="2" t="str">
        <f>IF($A99="","",INDEX(v_data!$B$2:$L$1000,MATCH($A99,v_data!$A$3:$A$1000,0)+1,MATCH(LOWER(L$1),v_data!$B$2:$L$2,0)))</f>
        <v/>
      </c>
      <c r="M99" s="2" t="str">
        <f t="shared" si="199"/>
        <v/>
      </c>
      <c r="N99" s="2" t="str">
        <f>IF($A99="","",INDEX(v_data!$B$2:$L$1000,MATCH($A99,v_data!$A$3:$A$1000,0)+1,MATCH(LOWER(N$1),v_data!$B$2:$L$2,0)))</f>
        <v/>
      </c>
      <c r="O99" s="2" t="str">
        <f t="shared" si="200"/>
        <v/>
      </c>
      <c r="P99" s="2" t="str">
        <f>IF($A99="","",INDEX(v_data!$B$2:$L$1000,MATCH($A99,v_data!$A$3:$A$1000,0)+1,MATCH(LOWER(P$1),v_data!$B$2:$L$2,0)))</f>
        <v/>
      </c>
      <c r="Q99" s="2" t="str">
        <f t="shared" si="201"/>
        <v/>
      </c>
      <c r="R99" s="2" t="str">
        <f>IF($A99="","",INDEX(v_data!$B$2:$L$1000,MATCH($A99,v_data!$A$3:$A$1000,0)+1,MATCH(LOWER(R$1),v_data!$B$2:$L$2,0)))</f>
        <v/>
      </c>
      <c r="S99" s="2" t="str">
        <f t="shared" si="202"/>
        <v/>
      </c>
      <c r="T99" s="2" t="str">
        <f>IF($A99="","",INDEX(v_data!$B$2:$L$1000,MATCH($A99,v_data!$A$3:$A$1000,0)+1,MATCH(LOWER(T$1),v_data!$B$2:$L$2,0)))</f>
        <v/>
      </c>
      <c r="U99" s="2" t="str">
        <f t="shared" si="203"/>
        <v/>
      </c>
      <c r="V99" s="2" t="str">
        <f>IF($A99="","",INDEX(v_data!$B$2:$L$1000,MATCH($A99,v_data!$A$3:$A$1000,0)+1,MATCH(LOWER(V$1),v_data!$B$2:$L$2,0)))</f>
        <v/>
      </c>
      <c r="W99" s="2" t="str">
        <f t="shared" si="204"/>
        <v/>
      </c>
      <c r="X99" s="2" t="str">
        <f>IF($A99="","",INDEX(v_data!$B$2:$L$1000,MATCH($A99,v_data!$A$3:$A$1000,0)+1,MATCH(LOWER(X$1),v_data!$B$2:$L$2,0)))</f>
        <v/>
      </c>
      <c r="Y99" s="2" t="str">
        <f t="shared" si="205"/>
        <v/>
      </c>
      <c r="Z99" s="2" t="str">
        <f>IF($A99="","",INDEX(v_data!$B$2:$L$1000,MATCH($A99,v_data!$A$3:$A$1000,0)+1,MATCH(LOWER(Z$1),v_data!$B$2:$L$2,0)))</f>
        <v/>
      </c>
      <c r="AA99" s="2" t="str">
        <f t="shared" si="206"/>
        <v/>
      </c>
      <c r="AB99" s="2" t="str">
        <f t="shared" si="207"/>
        <v/>
      </c>
      <c r="AC99" s="2">
        <f>(SUM(G99,I99,K99,M99,O99,Q99,S99,U99,W99,Y99,AA99)+IF(AND(G99&gt;0,I99&gt;0,K99&gt;0),100,0))*VLOOKUP(B99,variables!$A$2:$B$6,2,FALSE)</f>
        <v>80</v>
      </c>
      <c r="AD99" s="16" t="str">
        <f>IF($A99="","",INDEX(v_data!$B$2:$X$1000,MATCH($A99,v_data!$A$3:$A$1000,0)+1,MATCH(LOWER("hours"),v_data!$B$2:$X$2,0)))</f>
        <v/>
      </c>
    </row>
    <row r="100" spans="1:30" hidden="1" x14ac:dyDescent="0.25">
      <c r="A100" s="2" t="str">
        <f>IF(ISBLANK(v_data!A99),"",v_data!A99)</f>
        <v/>
      </c>
      <c r="B100" s="2" t="s">
        <v>22</v>
      </c>
      <c r="C100" s="2">
        <f>VLOOKUP(B100,variables!$A$2:$B$6,2,FALSE)</f>
        <v>0.8</v>
      </c>
      <c r="D100" s="4">
        <v>43826</v>
      </c>
      <c r="E100" s="4">
        <v>43431</v>
      </c>
      <c r="F100" s="2" t="str">
        <f>IF($A100="","",INDEX(v_data!$B$2:$L$1000,MATCH($A100,v_data!$A$3:$A$1000,0)+1,MATCH(LOWER(F$1),v_data!$B$2:$L$2,0)))</f>
        <v/>
      </c>
      <c r="G100" s="2" t="str">
        <f t="shared" si="196"/>
        <v/>
      </c>
      <c r="H100" s="2" t="str">
        <f>IF($A100="","",INDEX(v_data!$B$2:$L$1000,MATCH($A100,v_data!$A$3:$A$1000,0)+1,MATCH(LOWER(H$1),v_data!$B$2:$L$2,0)))</f>
        <v/>
      </c>
      <c r="I100" s="2" t="str">
        <f t="shared" si="197"/>
        <v/>
      </c>
      <c r="J100" s="2" t="str">
        <f>IF($A100="","",INDEX(v_data!$B$2:$L$1000,MATCH($A100,v_data!$A$3:$A$1000,0)+1,MATCH(LOWER(J$1),v_data!$B$2:$L$2,0)))</f>
        <v/>
      </c>
      <c r="K100" s="2" t="str">
        <f t="shared" si="198"/>
        <v/>
      </c>
      <c r="L100" s="2" t="str">
        <f>IF($A100="","",INDEX(v_data!$B$2:$L$1000,MATCH($A100,v_data!$A$3:$A$1000,0)+1,MATCH(LOWER(L$1),v_data!$B$2:$L$2,0)))</f>
        <v/>
      </c>
      <c r="M100" s="2" t="str">
        <f t="shared" si="199"/>
        <v/>
      </c>
      <c r="N100" s="2" t="str">
        <f>IF($A100="","",INDEX(v_data!$B$2:$L$1000,MATCH($A100,v_data!$A$3:$A$1000,0)+1,MATCH(LOWER(N$1),v_data!$B$2:$L$2,0)))</f>
        <v/>
      </c>
      <c r="O100" s="2" t="str">
        <f t="shared" si="200"/>
        <v/>
      </c>
      <c r="P100" s="2" t="str">
        <f>IF($A100="","",INDEX(v_data!$B$2:$L$1000,MATCH($A100,v_data!$A$3:$A$1000,0)+1,MATCH(LOWER(P$1),v_data!$B$2:$L$2,0)))</f>
        <v/>
      </c>
      <c r="Q100" s="2" t="str">
        <f t="shared" si="201"/>
        <v/>
      </c>
      <c r="R100" s="2" t="str">
        <f>IF($A100="","",INDEX(v_data!$B$2:$L$1000,MATCH($A100,v_data!$A$3:$A$1000,0)+1,MATCH(LOWER(R$1),v_data!$B$2:$L$2,0)))</f>
        <v/>
      </c>
      <c r="S100" s="2" t="str">
        <f t="shared" si="202"/>
        <v/>
      </c>
      <c r="T100" s="2" t="str">
        <f>IF($A100="","",INDEX(v_data!$B$2:$L$1000,MATCH($A100,v_data!$A$3:$A$1000,0)+1,MATCH(LOWER(T$1),v_data!$B$2:$L$2,0)))</f>
        <v/>
      </c>
      <c r="U100" s="2" t="str">
        <f t="shared" si="203"/>
        <v/>
      </c>
      <c r="V100" s="2" t="str">
        <f>IF($A100="","",INDEX(v_data!$B$2:$L$1000,MATCH($A100,v_data!$A$3:$A$1000,0)+1,MATCH(LOWER(V$1),v_data!$B$2:$L$2,0)))</f>
        <v/>
      </c>
      <c r="W100" s="2" t="str">
        <f t="shared" si="204"/>
        <v/>
      </c>
      <c r="X100" s="2" t="str">
        <f>IF($A100="","",INDEX(v_data!$B$2:$L$1000,MATCH($A100,v_data!$A$3:$A$1000,0)+1,MATCH(LOWER(X$1),v_data!$B$2:$L$2,0)))</f>
        <v/>
      </c>
      <c r="Y100" s="2" t="str">
        <f t="shared" si="205"/>
        <v/>
      </c>
      <c r="Z100" s="2" t="str">
        <f>IF($A100="","",INDEX(v_data!$B$2:$L$1000,MATCH($A100,v_data!$A$3:$A$1000,0)+1,MATCH(LOWER(Z$1),v_data!$B$2:$L$2,0)))</f>
        <v/>
      </c>
      <c r="AA100" s="2" t="str">
        <f t="shared" si="206"/>
        <v/>
      </c>
      <c r="AB100" s="2" t="str">
        <f t="shared" si="207"/>
        <v/>
      </c>
      <c r="AC100" s="2">
        <f>(SUM(G100,I100,K100,M100,O100,Q100,S100,U100,W100,Y100,AA100)+IF(AND(G100&gt;0,I100&gt;0,K100&gt;0),100,0))*VLOOKUP(B100,variables!$A$2:$B$6,2,FALSE)</f>
        <v>80</v>
      </c>
      <c r="AD100" s="16" t="str">
        <f>IF($A100="","",INDEX(v_data!$B$2:$X$1000,MATCH($A100,v_data!$A$3:$A$1000,0)+1,MATCH(LOWER("hours"),v_data!$B$2:$X$2,0)))</f>
        <v/>
      </c>
    </row>
    <row r="101" spans="1:30" hidden="1" x14ac:dyDescent="0.25">
      <c r="A101" s="2" t="str">
        <f>IF(ISBLANK(v_data!A100),"",v_data!A100)</f>
        <v/>
      </c>
      <c r="B101" s="2" t="s">
        <v>22</v>
      </c>
      <c r="C101" s="2">
        <f>VLOOKUP(B101,variables!$A$2:$B$6,2,FALSE)</f>
        <v>0.8</v>
      </c>
      <c r="D101" s="4">
        <v>43826</v>
      </c>
      <c r="E101" s="4">
        <v>43431</v>
      </c>
      <c r="F101" s="2" t="str">
        <f>IF($A101="","",INDEX(v_data!$B$2:$L$1000,MATCH($A101,v_data!$A$3:$A$1000,0)+1,MATCH(LOWER(F$1),v_data!$B$2:$L$2,0)))</f>
        <v/>
      </c>
      <c r="G101" s="2" t="str">
        <f t="shared" si="196"/>
        <v/>
      </c>
      <c r="H101" s="2" t="str">
        <f>IF($A101="","",INDEX(v_data!$B$2:$L$1000,MATCH($A101,v_data!$A$3:$A$1000,0)+1,MATCH(LOWER(H$1),v_data!$B$2:$L$2,0)))</f>
        <v/>
      </c>
      <c r="I101" s="2" t="str">
        <f t="shared" si="197"/>
        <v/>
      </c>
      <c r="J101" s="2" t="str">
        <f>IF($A101="","",INDEX(v_data!$B$2:$L$1000,MATCH($A101,v_data!$A$3:$A$1000,0)+1,MATCH(LOWER(J$1),v_data!$B$2:$L$2,0)))</f>
        <v/>
      </c>
      <c r="K101" s="2" t="str">
        <f t="shared" si="198"/>
        <v/>
      </c>
      <c r="L101" s="2" t="str">
        <f>IF($A101="","",INDEX(v_data!$B$2:$L$1000,MATCH($A101,v_data!$A$3:$A$1000,0)+1,MATCH(LOWER(L$1),v_data!$B$2:$L$2,0)))</f>
        <v/>
      </c>
      <c r="M101" s="2" t="str">
        <f t="shared" si="199"/>
        <v/>
      </c>
      <c r="N101" s="2" t="str">
        <f>IF($A101="","",INDEX(v_data!$B$2:$L$1000,MATCH($A101,v_data!$A$3:$A$1000,0)+1,MATCH(LOWER(N$1),v_data!$B$2:$L$2,0)))</f>
        <v/>
      </c>
      <c r="O101" s="2" t="str">
        <f t="shared" si="200"/>
        <v/>
      </c>
      <c r="P101" s="2" t="str">
        <f>IF($A101="","",INDEX(v_data!$B$2:$L$1000,MATCH($A101,v_data!$A$3:$A$1000,0)+1,MATCH(LOWER(P$1),v_data!$B$2:$L$2,0)))</f>
        <v/>
      </c>
      <c r="Q101" s="2" t="str">
        <f t="shared" si="201"/>
        <v/>
      </c>
      <c r="R101" s="2" t="str">
        <f>IF($A101="","",INDEX(v_data!$B$2:$L$1000,MATCH($A101,v_data!$A$3:$A$1000,0)+1,MATCH(LOWER(R$1),v_data!$B$2:$L$2,0)))</f>
        <v/>
      </c>
      <c r="S101" s="2" t="str">
        <f t="shared" si="202"/>
        <v/>
      </c>
      <c r="T101" s="2" t="str">
        <f>IF($A101="","",INDEX(v_data!$B$2:$L$1000,MATCH($A101,v_data!$A$3:$A$1000,0)+1,MATCH(LOWER(T$1),v_data!$B$2:$L$2,0)))</f>
        <v/>
      </c>
      <c r="U101" s="2" t="str">
        <f t="shared" si="203"/>
        <v/>
      </c>
      <c r="V101" s="2" t="str">
        <f>IF($A101="","",INDEX(v_data!$B$2:$L$1000,MATCH($A101,v_data!$A$3:$A$1000,0)+1,MATCH(LOWER(V$1),v_data!$B$2:$L$2,0)))</f>
        <v/>
      </c>
      <c r="W101" s="2" t="str">
        <f t="shared" si="204"/>
        <v/>
      </c>
      <c r="X101" s="2" t="str">
        <f>IF($A101="","",INDEX(v_data!$B$2:$L$1000,MATCH($A101,v_data!$A$3:$A$1000,0)+1,MATCH(LOWER(X$1),v_data!$B$2:$L$2,0)))</f>
        <v/>
      </c>
      <c r="Y101" s="2" t="str">
        <f t="shared" si="205"/>
        <v/>
      </c>
      <c r="Z101" s="2" t="str">
        <f>IF($A101="","",INDEX(v_data!$B$2:$L$1000,MATCH($A101,v_data!$A$3:$A$1000,0)+1,MATCH(LOWER(Z$1),v_data!$B$2:$L$2,0)))</f>
        <v/>
      </c>
      <c r="AA101" s="2" t="str">
        <f t="shared" si="206"/>
        <v/>
      </c>
      <c r="AB101" s="2" t="str">
        <f t="shared" si="207"/>
        <v/>
      </c>
      <c r="AC101" s="2">
        <f>(SUM(G101,I101,K101,M101,O101,Q101,S101,U101,W101,Y101,AA101)+IF(AND(G101&gt;0,I101&gt;0,K101&gt;0),100,0))*VLOOKUP(B101,variables!$A$2:$B$6,2,FALSE)</f>
        <v>80</v>
      </c>
      <c r="AD101" s="16" t="str">
        <f>IF($A101="","",INDEX(v_data!$B$2:$X$1000,MATCH($A101,v_data!$A$3:$A$1000,0)+1,MATCH(LOWER("hours"),v_data!$B$2:$X$2,0)))</f>
        <v/>
      </c>
    </row>
    <row r="102" spans="1:30" hidden="1" x14ac:dyDescent="0.25">
      <c r="A102" s="2" t="str">
        <f>IF(ISBLANK(v_data!A101),"",v_data!A101)</f>
        <v/>
      </c>
      <c r="B102" s="2" t="s">
        <v>22</v>
      </c>
      <c r="C102" s="2">
        <f>VLOOKUP(B102,variables!$A$2:$B$6,2,FALSE)</f>
        <v>0.8</v>
      </c>
      <c r="D102" s="4">
        <v>43826</v>
      </c>
      <c r="E102" s="4">
        <v>43431</v>
      </c>
      <c r="F102" s="2" t="str">
        <f>IF($A102="","",INDEX(v_data!$B$2:$L$1000,MATCH($A102,v_data!$A$3:$A$1000,0)+1,MATCH(LOWER(F$1),v_data!$B$2:$L$2,0)))</f>
        <v/>
      </c>
      <c r="G102" s="2" t="str">
        <f t="shared" si="196"/>
        <v/>
      </c>
      <c r="H102" s="2" t="str">
        <f>IF($A102="","",INDEX(v_data!$B$2:$L$1000,MATCH($A102,v_data!$A$3:$A$1000,0)+1,MATCH(LOWER(H$1),v_data!$B$2:$L$2,0)))</f>
        <v/>
      </c>
      <c r="I102" s="2" t="str">
        <f t="shared" si="197"/>
        <v/>
      </c>
      <c r="J102" s="2" t="str">
        <f>IF($A102="","",INDEX(v_data!$B$2:$L$1000,MATCH($A102,v_data!$A$3:$A$1000,0)+1,MATCH(LOWER(J$1),v_data!$B$2:$L$2,0)))</f>
        <v/>
      </c>
      <c r="K102" s="2" t="str">
        <f t="shared" si="198"/>
        <v/>
      </c>
      <c r="L102" s="2" t="str">
        <f>IF($A102="","",INDEX(v_data!$B$2:$L$1000,MATCH($A102,v_data!$A$3:$A$1000,0)+1,MATCH(LOWER(L$1),v_data!$B$2:$L$2,0)))</f>
        <v/>
      </c>
      <c r="M102" s="2" t="str">
        <f t="shared" si="199"/>
        <v/>
      </c>
      <c r="N102" s="2" t="str">
        <f>IF($A102="","",INDEX(v_data!$B$2:$L$1000,MATCH($A102,v_data!$A$3:$A$1000,0)+1,MATCH(LOWER(N$1),v_data!$B$2:$L$2,0)))</f>
        <v/>
      </c>
      <c r="O102" s="2" t="str">
        <f t="shared" si="200"/>
        <v/>
      </c>
      <c r="P102" s="2" t="str">
        <f>IF($A102="","",INDEX(v_data!$B$2:$L$1000,MATCH($A102,v_data!$A$3:$A$1000,0)+1,MATCH(LOWER(P$1),v_data!$B$2:$L$2,0)))</f>
        <v/>
      </c>
      <c r="Q102" s="2" t="str">
        <f t="shared" si="201"/>
        <v/>
      </c>
      <c r="R102" s="2" t="str">
        <f>IF($A102="","",INDEX(v_data!$B$2:$L$1000,MATCH($A102,v_data!$A$3:$A$1000,0)+1,MATCH(LOWER(R$1),v_data!$B$2:$L$2,0)))</f>
        <v/>
      </c>
      <c r="S102" s="2" t="str">
        <f t="shared" si="202"/>
        <v/>
      </c>
      <c r="T102" s="2" t="str">
        <f>IF($A102="","",INDEX(v_data!$B$2:$L$1000,MATCH($A102,v_data!$A$3:$A$1000,0)+1,MATCH(LOWER(T$1),v_data!$B$2:$L$2,0)))</f>
        <v/>
      </c>
      <c r="U102" s="2" t="str">
        <f t="shared" si="203"/>
        <v/>
      </c>
      <c r="V102" s="2" t="str">
        <f>IF($A102="","",INDEX(v_data!$B$2:$L$1000,MATCH($A102,v_data!$A$3:$A$1000,0)+1,MATCH(LOWER(V$1),v_data!$B$2:$L$2,0)))</f>
        <v/>
      </c>
      <c r="W102" s="2" t="str">
        <f t="shared" si="204"/>
        <v/>
      </c>
      <c r="X102" s="2" t="str">
        <f>IF($A102="","",INDEX(v_data!$B$2:$L$1000,MATCH($A102,v_data!$A$3:$A$1000,0)+1,MATCH(LOWER(X$1),v_data!$B$2:$L$2,0)))</f>
        <v/>
      </c>
      <c r="Y102" s="2" t="str">
        <f t="shared" si="205"/>
        <v/>
      </c>
      <c r="Z102" s="2" t="str">
        <f>IF($A102="","",INDEX(v_data!$B$2:$L$1000,MATCH($A102,v_data!$A$3:$A$1000,0)+1,MATCH(LOWER(Z$1),v_data!$B$2:$L$2,0)))</f>
        <v/>
      </c>
      <c r="AA102" s="2" t="str">
        <f t="shared" si="206"/>
        <v/>
      </c>
      <c r="AB102" s="2" t="str">
        <f t="shared" si="207"/>
        <v/>
      </c>
      <c r="AC102" s="2">
        <f>(SUM(G102,I102,K102,M102,O102,Q102,S102,U102,W102,Y102,AA102)+IF(AND(G102&gt;0,I102&gt;0,K102&gt;0),100,0))*VLOOKUP(B102,variables!$A$2:$B$6,2,FALSE)</f>
        <v>80</v>
      </c>
      <c r="AD102" s="16" t="str">
        <f>IF($A102="","",INDEX(v_data!$B$2:$X$1000,MATCH($A102,v_data!$A$3:$A$1000,0)+1,MATCH(LOWER("hours"),v_data!$B$2:$X$2,0)))</f>
        <v/>
      </c>
    </row>
    <row r="103" spans="1:30" hidden="1" x14ac:dyDescent="0.25">
      <c r="A103" s="2" t="str">
        <f>IF(ISBLANK(v_data!A102),"",v_data!A102)</f>
        <v/>
      </c>
      <c r="B103" s="2" t="s">
        <v>22</v>
      </c>
      <c r="C103" s="2">
        <f>VLOOKUP(B103,variables!$A$2:$B$6,2,FALSE)</f>
        <v>0.8</v>
      </c>
      <c r="D103" s="4">
        <v>43826</v>
      </c>
      <c r="E103" s="4">
        <v>43431</v>
      </c>
      <c r="F103" s="2" t="str">
        <f>IF($A103="","",INDEX(v_data!$B$2:$L$1000,MATCH($A103,v_data!$A$3:$A$1000,0)+1,MATCH(LOWER(F$1),v_data!$B$2:$L$2,0)))</f>
        <v/>
      </c>
      <c r="G103" s="2" t="str">
        <f t="shared" si="196"/>
        <v/>
      </c>
      <c r="H103" s="2" t="str">
        <f>IF($A103="","",INDEX(v_data!$B$2:$L$1000,MATCH($A103,v_data!$A$3:$A$1000,0)+1,MATCH(LOWER(H$1),v_data!$B$2:$L$2,0)))</f>
        <v/>
      </c>
      <c r="I103" s="2" t="str">
        <f t="shared" si="197"/>
        <v/>
      </c>
      <c r="J103" s="2" t="str">
        <f>IF($A103="","",INDEX(v_data!$B$2:$L$1000,MATCH($A103,v_data!$A$3:$A$1000,0)+1,MATCH(LOWER(J$1),v_data!$B$2:$L$2,0)))</f>
        <v/>
      </c>
      <c r="K103" s="2" t="str">
        <f t="shared" si="198"/>
        <v/>
      </c>
      <c r="L103" s="2" t="str">
        <f>IF($A103="","",INDEX(v_data!$B$2:$L$1000,MATCH($A103,v_data!$A$3:$A$1000,0)+1,MATCH(LOWER(L$1),v_data!$B$2:$L$2,0)))</f>
        <v/>
      </c>
      <c r="M103" s="2" t="str">
        <f t="shared" si="199"/>
        <v/>
      </c>
      <c r="N103" s="2" t="str">
        <f>IF($A103="","",INDEX(v_data!$B$2:$L$1000,MATCH($A103,v_data!$A$3:$A$1000,0)+1,MATCH(LOWER(N$1),v_data!$B$2:$L$2,0)))</f>
        <v/>
      </c>
      <c r="O103" s="2" t="str">
        <f t="shared" si="200"/>
        <v/>
      </c>
      <c r="P103" s="2" t="str">
        <f>IF($A103="","",INDEX(v_data!$B$2:$L$1000,MATCH($A103,v_data!$A$3:$A$1000,0)+1,MATCH(LOWER(P$1),v_data!$B$2:$L$2,0)))</f>
        <v/>
      </c>
      <c r="Q103" s="2" t="str">
        <f t="shared" si="201"/>
        <v/>
      </c>
      <c r="R103" s="2" t="str">
        <f>IF($A103="","",INDEX(v_data!$B$2:$L$1000,MATCH($A103,v_data!$A$3:$A$1000,0)+1,MATCH(LOWER(R$1),v_data!$B$2:$L$2,0)))</f>
        <v/>
      </c>
      <c r="S103" s="2" t="str">
        <f t="shared" si="202"/>
        <v/>
      </c>
      <c r="T103" s="2" t="str">
        <f>IF($A103="","",INDEX(v_data!$B$2:$L$1000,MATCH($A103,v_data!$A$3:$A$1000,0)+1,MATCH(LOWER(T$1),v_data!$B$2:$L$2,0)))</f>
        <v/>
      </c>
      <c r="U103" s="2" t="str">
        <f t="shared" si="203"/>
        <v/>
      </c>
      <c r="V103" s="2" t="str">
        <f>IF($A103="","",INDEX(v_data!$B$2:$L$1000,MATCH($A103,v_data!$A$3:$A$1000,0)+1,MATCH(LOWER(V$1),v_data!$B$2:$L$2,0)))</f>
        <v/>
      </c>
      <c r="W103" s="2" t="str">
        <f t="shared" si="204"/>
        <v/>
      </c>
      <c r="X103" s="2" t="str">
        <f>IF($A103="","",INDEX(v_data!$B$2:$L$1000,MATCH($A103,v_data!$A$3:$A$1000,0)+1,MATCH(LOWER(X$1),v_data!$B$2:$L$2,0)))</f>
        <v/>
      </c>
      <c r="Y103" s="2" t="str">
        <f t="shared" si="205"/>
        <v/>
      </c>
      <c r="Z103" s="2" t="str">
        <f>IF($A103="","",INDEX(v_data!$B$2:$L$1000,MATCH($A103,v_data!$A$3:$A$1000,0)+1,MATCH(LOWER(Z$1),v_data!$B$2:$L$2,0)))</f>
        <v/>
      </c>
      <c r="AA103" s="2" t="str">
        <f t="shared" si="206"/>
        <v/>
      </c>
      <c r="AB103" s="2" t="str">
        <f t="shared" si="207"/>
        <v/>
      </c>
      <c r="AC103" s="2">
        <f>(SUM(G103,I103,K103,M103,O103,Q103,S103,U103,W103,Y103,AA103)+IF(AND(G103&gt;0,I103&gt;0,K103&gt;0),100,0))*VLOOKUP(B103,variables!$A$2:$B$6,2,FALSE)</f>
        <v>80</v>
      </c>
      <c r="AD103" s="16" t="str">
        <f>IF($A103="","",INDEX(v_data!$B$2:$X$1000,MATCH($A103,v_data!$A$3:$A$1000,0)+1,MATCH(LOWER("hours"),v_data!$B$2:$X$2,0)))</f>
        <v/>
      </c>
    </row>
    <row r="104" spans="1:30" hidden="1" x14ac:dyDescent="0.25">
      <c r="A104" s="2" t="str">
        <f>IF(ISBLANK(v_data!A103),"",v_data!A103)</f>
        <v/>
      </c>
      <c r="B104" s="2" t="s">
        <v>22</v>
      </c>
      <c r="C104" s="2">
        <f>VLOOKUP(B104,variables!$A$2:$B$6,2,FALSE)</f>
        <v>0.8</v>
      </c>
      <c r="D104" s="4">
        <v>43826</v>
      </c>
      <c r="E104" s="4">
        <v>43431</v>
      </c>
      <c r="F104" s="2" t="str">
        <f>IF($A104="","",INDEX(v_data!$B$2:$L$1000,MATCH($A104,v_data!$A$3:$A$1000,0)+1,MATCH(LOWER(F$1),v_data!$B$2:$L$2,0)))</f>
        <v/>
      </c>
      <c r="G104" s="2" t="str">
        <f t="shared" si="196"/>
        <v/>
      </c>
      <c r="H104" s="2" t="str">
        <f>IF($A104="","",INDEX(v_data!$B$2:$L$1000,MATCH($A104,v_data!$A$3:$A$1000,0)+1,MATCH(LOWER(H$1),v_data!$B$2:$L$2,0)))</f>
        <v/>
      </c>
      <c r="I104" s="2" t="str">
        <f t="shared" si="197"/>
        <v/>
      </c>
      <c r="J104" s="2" t="str">
        <f>IF($A104="","",INDEX(v_data!$B$2:$L$1000,MATCH($A104,v_data!$A$3:$A$1000,0)+1,MATCH(LOWER(J$1),v_data!$B$2:$L$2,0)))</f>
        <v/>
      </c>
      <c r="K104" s="2" t="str">
        <f t="shared" si="198"/>
        <v/>
      </c>
      <c r="L104" s="2" t="str">
        <f>IF($A104="","",INDEX(v_data!$B$2:$L$1000,MATCH($A104,v_data!$A$3:$A$1000,0)+1,MATCH(LOWER(L$1),v_data!$B$2:$L$2,0)))</f>
        <v/>
      </c>
      <c r="M104" s="2" t="str">
        <f t="shared" si="199"/>
        <v/>
      </c>
      <c r="N104" s="2" t="str">
        <f>IF($A104="","",INDEX(v_data!$B$2:$L$1000,MATCH($A104,v_data!$A$3:$A$1000,0)+1,MATCH(LOWER(N$1),v_data!$B$2:$L$2,0)))</f>
        <v/>
      </c>
      <c r="O104" s="2" t="str">
        <f t="shared" si="200"/>
        <v/>
      </c>
      <c r="P104" s="2" t="str">
        <f>IF($A104="","",INDEX(v_data!$B$2:$L$1000,MATCH($A104,v_data!$A$3:$A$1000,0)+1,MATCH(LOWER(P$1),v_data!$B$2:$L$2,0)))</f>
        <v/>
      </c>
      <c r="Q104" s="2" t="str">
        <f t="shared" si="201"/>
        <v/>
      </c>
      <c r="R104" s="2" t="str">
        <f>IF($A104="","",INDEX(v_data!$B$2:$L$1000,MATCH($A104,v_data!$A$3:$A$1000,0)+1,MATCH(LOWER(R$1),v_data!$B$2:$L$2,0)))</f>
        <v/>
      </c>
      <c r="S104" s="2" t="str">
        <f t="shared" si="202"/>
        <v/>
      </c>
      <c r="T104" s="2" t="str">
        <f>IF($A104="","",INDEX(v_data!$B$2:$L$1000,MATCH($A104,v_data!$A$3:$A$1000,0)+1,MATCH(LOWER(T$1),v_data!$B$2:$L$2,0)))</f>
        <v/>
      </c>
      <c r="U104" s="2" t="str">
        <f t="shared" si="203"/>
        <v/>
      </c>
      <c r="V104" s="2" t="str">
        <f>IF($A104="","",INDEX(v_data!$B$2:$L$1000,MATCH($A104,v_data!$A$3:$A$1000,0)+1,MATCH(LOWER(V$1),v_data!$B$2:$L$2,0)))</f>
        <v/>
      </c>
      <c r="W104" s="2" t="str">
        <f t="shared" si="204"/>
        <v/>
      </c>
      <c r="X104" s="2" t="str">
        <f>IF($A104="","",INDEX(v_data!$B$2:$L$1000,MATCH($A104,v_data!$A$3:$A$1000,0)+1,MATCH(LOWER(X$1),v_data!$B$2:$L$2,0)))</f>
        <v/>
      </c>
      <c r="Y104" s="2" t="str">
        <f t="shared" si="205"/>
        <v/>
      </c>
      <c r="Z104" s="2" t="str">
        <f>IF($A104="","",INDEX(v_data!$B$2:$L$1000,MATCH($A104,v_data!$A$3:$A$1000,0)+1,MATCH(LOWER(Z$1),v_data!$B$2:$L$2,0)))</f>
        <v/>
      </c>
      <c r="AA104" s="2" t="str">
        <f t="shared" si="206"/>
        <v/>
      </c>
      <c r="AB104" s="2" t="str">
        <f t="shared" si="207"/>
        <v/>
      </c>
      <c r="AC104" s="2">
        <f>(SUM(G104,I104,K104,M104,O104,Q104,S104,U104,W104,Y104,AA104)+IF(AND(G104&gt;0,I104&gt;0,K104&gt;0),100,0))*VLOOKUP(B104,variables!$A$2:$B$6,2,FALSE)</f>
        <v>80</v>
      </c>
      <c r="AD104" s="16" t="str">
        <f>IF($A104="","",INDEX(v_data!$B$2:$X$1000,MATCH($A104,v_data!$A$3:$A$1000,0)+1,MATCH(LOWER("hours"),v_data!$B$2:$X$2,0)))</f>
        <v/>
      </c>
    </row>
    <row r="105" spans="1:30" hidden="1" x14ac:dyDescent="0.25">
      <c r="A105" s="2" t="str">
        <f>IF(ISBLANK(v_data!A104),"",v_data!A104)</f>
        <v/>
      </c>
      <c r="B105" s="2" t="s">
        <v>22</v>
      </c>
      <c r="C105" s="2">
        <f>VLOOKUP(B105,variables!$A$2:$B$6,2,FALSE)</f>
        <v>0.8</v>
      </c>
      <c r="D105" s="4">
        <v>43826</v>
      </c>
      <c r="E105" s="4">
        <v>43431</v>
      </c>
      <c r="F105" s="2" t="str">
        <f>IF($A105="","",INDEX(v_data!$B$2:$L$1000,MATCH($A105,v_data!$A$3:$A$1000,0)+1,MATCH(LOWER(F$1),v_data!$B$2:$L$2,0)))</f>
        <v/>
      </c>
      <c r="G105" s="2" t="str">
        <f t="shared" si="196"/>
        <v/>
      </c>
      <c r="H105" s="2" t="str">
        <f>IF($A105="","",INDEX(v_data!$B$2:$L$1000,MATCH($A105,v_data!$A$3:$A$1000,0)+1,MATCH(LOWER(H$1),v_data!$B$2:$L$2,0)))</f>
        <v/>
      </c>
      <c r="I105" s="2" t="str">
        <f t="shared" si="197"/>
        <v/>
      </c>
      <c r="J105" s="2" t="str">
        <f>IF($A105="","",INDEX(v_data!$B$2:$L$1000,MATCH($A105,v_data!$A$3:$A$1000,0)+1,MATCH(LOWER(J$1),v_data!$B$2:$L$2,0)))</f>
        <v/>
      </c>
      <c r="K105" s="2" t="str">
        <f t="shared" si="198"/>
        <v/>
      </c>
      <c r="L105" s="2" t="str">
        <f>IF($A105="","",INDEX(v_data!$B$2:$L$1000,MATCH($A105,v_data!$A$3:$A$1000,0)+1,MATCH(LOWER(L$1),v_data!$B$2:$L$2,0)))</f>
        <v/>
      </c>
      <c r="M105" s="2" t="str">
        <f t="shared" si="199"/>
        <v/>
      </c>
      <c r="N105" s="2" t="str">
        <f>IF($A105="","",INDEX(v_data!$B$2:$L$1000,MATCH($A105,v_data!$A$3:$A$1000,0)+1,MATCH(LOWER(N$1),v_data!$B$2:$L$2,0)))</f>
        <v/>
      </c>
      <c r="O105" s="2" t="str">
        <f t="shared" si="200"/>
        <v/>
      </c>
      <c r="P105" s="2" t="str">
        <f>IF($A105="","",INDEX(v_data!$B$2:$L$1000,MATCH($A105,v_data!$A$3:$A$1000,0)+1,MATCH(LOWER(P$1),v_data!$B$2:$L$2,0)))</f>
        <v/>
      </c>
      <c r="Q105" s="2" t="str">
        <f t="shared" si="201"/>
        <v/>
      </c>
      <c r="R105" s="2" t="str">
        <f>IF($A105="","",INDEX(v_data!$B$2:$L$1000,MATCH($A105,v_data!$A$3:$A$1000,0)+1,MATCH(LOWER(R$1),v_data!$B$2:$L$2,0)))</f>
        <v/>
      </c>
      <c r="S105" s="2" t="str">
        <f t="shared" si="202"/>
        <v/>
      </c>
      <c r="T105" s="2" t="str">
        <f>IF($A105="","",INDEX(v_data!$B$2:$L$1000,MATCH($A105,v_data!$A$3:$A$1000,0)+1,MATCH(LOWER(T$1),v_data!$B$2:$L$2,0)))</f>
        <v/>
      </c>
      <c r="U105" s="2" t="str">
        <f t="shared" si="203"/>
        <v/>
      </c>
      <c r="V105" s="2" t="str">
        <f>IF($A105="","",INDEX(v_data!$B$2:$L$1000,MATCH($A105,v_data!$A$3:$A$1000,0)+1,MATCH(LOWER(V$1),v_data!$B$2:$L$2,0)))</f>
        <v/>
      </c>
      <c r="W105" s="2" t="str">
        <f t="shared" si="204"/>
        <v/>
      </c>
      <c r="X105" s="2" t="str">
        <f>IF($A105="","",INDEX(v_data!$B$2:$L$1000,MATCH($A105,v_data!$A$3:$A$1000,0)+1,MATCH(LOWER(X$1),v_data!$B$2:$L$2,0)))</f>
        <v/>
      </c>
      <c r="Y105" s="2" t="str">
        <f t="shared" si="205"/>
        <v/>
      </c>
      <c r="Z105" s="2" t="str">
        <f>IF($A105="","",INDEX(v_data!$B$2:$L$1000,MATCH($A105,v_data!$A$3:$A$1000,0)+1,MATCH(LOWER(Z$1),v_data!$B$2:$L$2,0)))</f>
        <v/>
      </c>
      <c r="AA105" s="2" t="str">
        <f t="shared" si="206"/>
        <v/>
      </c>
      <c r="AB105" s="2" t="str">
        <f t="shared" si="207"/>
        <v/>
      </c>
      <c r="AC105" s="2">
        <f>(SUM(G105,I105,K105,M105,O105,Q105,S105,U105,W105,Y105,AA105)+IF(AND(G105&gt;0,I105&gt;0,K105&gt;0),100,0))*VLOOKUP(B105,variables!$A$2:$B$6,2,FALSE)</f>
        <v>80</v>
      </c>
      <c r="AD105" s="16" t="str">
        <f>IF($A105="","",INDEX(v_data!$B$2:$X$1000,MATCH($A105,v_data!$A$3:$A$1000,0)+1,MATCH(LOWER("hours"),v_data!$B$2:$X$2,0)))</f>
        <v/>
      </c>
    </row>
    <row r="106" spans="1:30" hidden="1" x14ac:dyDescent="0.25">
      <c r="A106" s="2" t="str">
        <f>IF(ISBLANK(v_data!A105),"",v_data!A105)</f>
        <v/>
      </c>
      <c r="B106" s="2" t="s">
        <v>22</v>
      </c>
      <c r="C106" s="2">
        <f>VLOOKUP(B106,variables!$A$2:$B$6,2,FALSE)</f>
        <v>0.8</v>
      </c>
      <c r="D106" s="4">
        <v>43826</v>
      </c>
      <c r="E106" s="4">
        <v>43431</v>
      </c>
      <c r="F106" s="2" t="str">
        <f>IF($A106="","",INDEX(v_data!$B$2:$L$1000,MATCH($A106,v_data!$A$3:$A$1000,0)+1,MATCH(LOWER(F$1),v_data!$B$2:$L$2,0)))</f>
        <v/>
      </c>
      <c r="G106" s="2" t="str">
        <f t="shared" si="196"/>
        <v/>
      </c>
      <c r="H106" s="2" t="str">
        <f>IF($A106="","",INDEX(v_data!$B$2:$L$1000,MATCH($A106,v_data!$A$3:$A$1000,0)+1,MATCH(LOWER(H$1),v_data!$B$2:$L$2,0)))</f>
        <v/>
      </c>
      <c r="I106" s="2" t="str">
        <f t="shared" si="197"/>
        <v/>
      </c>
      <c r="J106" s="2" t="str">
        <f>IF($A106="","",INDEX(v_data!$B$2:$L$1000,MATCH($A106,v_data!$A$3:$A$1000,0)+1,MATCH(LOWER(J$1),v_data!$B$2:$L$2,0)))</f>
        <v/>
      </c>
      <c r="K106" s="2" t="str">
        <f t="shared" si="198"/>
        <v/>
      </c>
      <c r="L106" s="2" t="str">
        <f>IF($A106="","",INDEX(v_data!$B$2:$L$1000,MATCH($A106,v_data!$A$3:$A$1000,0)+1,MATCH(LOWER(L$1),v_data!$B$2:$L$2,0)))</f>
        <v/>
      </c>
      <c r="M106" s="2" t="str">
        <f t="shared" si="199"/>
        <v/>
      </c>
      <c r="N106" s="2" t="str">
        <f>IF($A106="","",INDEX(v_data!$B$2:$L$1000,MATCH($A106,v_data!$A$3:$A$1000,0)+1,MATCH(LOWER(N$1),v_data!$B$2:$L$2,0)))</f>
        <v/>
      </c>
      <c r="O106" s="2" t="str">
        <f t="shared" si="200"/>
        <v/>
      </c>
      <c r="P106" s="2" t="str">
        <f>IF($A106="","",INDEX(v_data!$B$2:$L$1000,MATCH($A106,v_data!$A$3:$A$1000,0)+1,MATCH(LOWER(P$1),v_data!$B$2:$L$2,0)))</f>
        <v/>
      </c>
      <c r="Q106" s="2" t="str">
        <f t="shared" si="201"/>
        <v/>
      </c>
      <c r="R106" s="2" t="str">
        <f>IF($A106="","",INDEX(v_data!$B$2:$L$1000,MATCH($A106,v_data!$A$3:$A$1000,0)+1,MATCH(LOWER(R$1),v_data!$B$2:$L$2,0)))</f>
        <v/>
      </c>
      <c r="S106" s="2" t="str">
        <f t="shared" si="202"/>
        <v/>
      </c>
      <c r="T106" s="2" t="str">
        <f>IF($A106="","",INDEX(v_data!$B$2:$L$1000,MATCH($A106,v_data!$A$3:$A$1000,0)+1,MATCH(LOWER(T$1),v_data!$B$2:$L$2,0)))</f>
        <v/>
      </c>
      <c r="U106" s="2" t="str">
        <f t="shared" si="203"/>
        <v/>
      </c>
      <c r="V106" s="2" t="str">
        <f>IF($A106="","",INDEX(v_data!$B$2:$L$1000,MATCH($A106,v_data!$A$3:$A$1000,0)+1,MATCH(LOWER(V$1),v_data!$B$2:$L$2,0)))</f>
        <v/>
      </c>
      <c r="W106" s="2" t="str">
        <f t="shared" si="204"/>
        <v/>
      </c>
      <c r="X106" s="2" t="str">
        <f>IF($A106="","",INDEX(v_data!$B$2:$L$1000,MATCH($A106,v_data!$A$3:$A$1000,0)+1,MATCH(LOWER(X$1),v_data!$B$2:$L$2,0)))</f>
        <v/>
      </c>
      <c r="Y106" s="2" t="str">
        <f t="shared" si="205"/>
        <v/>
      </c>
      <c r="Z106" s="2" t="str">
        <f>IF($A106="","",INDEX(v_data!$B$2:$L$1000,MATCH($A106,v_data!$A$3:$A$1000,0)+1,MATCH(LOWER(Z$1),v_data!$B$2:$L$2,0)))</f>
        <v/>
      </c>
      <c r="AA106" s="2" t="str">
        <f t="shared" si="206"/>
        <v/>
      </c>
      <c r="AB106" s="2" t="str">
        <f t="shared" si="207"/>
        <v/>
      </c>
      <c r="AC106" s="2">
        <f>(SUM(G106,I106,K106,M106,O106,Q106,S106,U106,W106,Y106,AA106)+IF(AND(G106&gt;0,I106&gt;0,K106&gt;0),100,0))*VLOOKUP(B106,variables!$A$2:$B$6,2,FALSE)</f>
        <v>80</v>
      </c>
      <c r="AD106" s="16" t="str">
        <f>IF($A106="","",INDEX(v_data!$B$2:$X$1000,MATCH($A106,v_data!$A$3:$A$1000,0)+1,MATCH(LOWER("hours"),v_data!$B$2:$X$2,0)))</f>
        <v/>
      </c>
    </row>
    <row r="107" spans="1:30" hidden="1" x14ac:dyDescent="0.25">
      <c r="A107" s="2" t="str">
        <f>IF(ISBLANK(v_data!A106),"",v_data!A106)</f>
        <v/>
      </c>
      <c r="B107" s="2" t="s">
        <v>22</v>
      </c>
      <c r="C107" s="2">
        <f>VLOOKUP(B107,variables!$A$2:$B$6,2,FALSE)</f>
        <v>0.8</v>
      </c>
      <c r="D107" s="4">
        <v>43826</v>
      </c>
      <c r="E107" s="4">
        <v>43431</v>
      </c>
      <c r="F107" s="2" t="str">
        <f>IF($A107="","",INDEX(v_data!$B$2:$L$1000,MATCH($A107,v_data!$A$3:$A$1000,0)+1,MATCH(LOWER(F$1),v_data!$B$2:$L$2,0)))</f>
        <v/>
      </c>
      <c r="G107" s="2" t="str">
        <f t="shared" si="196"/>
        <v/>
      </c>
      <c r="H107" s="2" t="str">
        <f>IF($A107="","",INDEX(v_data!$B$2:$L$1000,MATCH($A107,v_data!$A$3:$A$1000,0)+1,MATCH(LOWER(H$1),v_data!$B$2:$L$2,0)))</f>
        <v/>
      </c>
      <c r="I107" s="2" t="str">
        <f t="shared" si="197"/>
        <v/>
      </c>
      <c r="J107" s="2" t="str">
        <f>IF($A107="","",INDEX(v_data!$B$2:$L$1000,MATCH($A107,v_data!$A$3:$A$1000,0)+1,MATCH(LOWER(J$1),v_data!$B$2:$L$2,0)))</f>
        <v/>
      </c>
      <c r="K107" s="2" t="str">
        <f t="shared" si="198"/>
        <v/>
      </c>
      <c r="L107" s="2" t="str">
        <f>IF($A107="","",INDEX(v_data!$B$2:$L$1000,MATCH($A107,v_data!$A$3:$A$1000,0)+1,MATCH(LOWER(L$1),v_data!$B$2:$L$2,0)))</f>
        <v/>
      </c>
      <c r="M107" s="2" t="str">
        <f t="shared" si="199"/>
        <v/>
      </c>
      <c r="N107" s="2" t="str">
        <f>IF($A107="","",INDEX(v_data!$B$2:$L$1000,MATCH($A107,v_data!$A$3:$A$1000,0)+1,MATCH(LOWER(N$1),v_data!$B$2:$L$2,0)))</f>
        <v/>
      </c>
      <c r="O107" s="2" t="str">
        <f t="shared" si="200"/>
        <v/>
      </c>
      <c r="P107" s="2" t="str">
        <f>IF($A107="","",INDEX(v_data!$B$2:$L$1000,MATCH($A107,v_data!$A$3:$A$1000,0)+1,MATCH(LOWER(P$1),v_data!$B$2:$L$2,0)))</f>
        <v/>
      </c>
      <c r="Q107" s="2" t="str">
        <f t="shared" si="201"/>
        <v/>
      </c>
      <c r="R107" s="2" t="str">
        <f>IF($A107="","",INDEX(v_data!$B$2:$L$1000,MATCH($A107,v_data!$A$3:$A$1000,0)+1,MATCH(LOWER(R$1),v_data!$B$2:$L$2,0)))</f>
        <v/>
      </c>
      <c r="S107" s="2" t="str">
        <f t="shared" si="202"/>
        <v/>
      </c>
      <c r="T107" s="2" t="str">
        <f>IF($A107="","",INDEX(v_data!$B$2:$L$1000,MATCH($A107,v_data!$A$3:$A$1000,0)+1,MATCH(LOWER(T$1),v_data!$B$2:$L$2,0)))</f>
        <v/>
      </c>
      <c r="U107" s="2" t="str">
        <f t="shared" si="203"/>
        <v/>
      </c>
      <c r="V107" s="2" t="str">
        <f>IF($A107="","",INDEX(v_data!$B$2:$L$1000,MATCH($A107,v_data!$A$3:$A$1000,0)+1,MATCH(LOWER(V$1),v_data!$B$2:$L$2,0)))</f>
        <v/>
      </c>
      <c r="W107" s="2" t="str">
        <f t="shared" si="204"/>
        <v/>
      </c>
      <c r="X107" s="2" t="str">
        <f>IF($A107="","",INDEX(v_data!$B$2:$L$1000,MATCH($A107,v_data!$A$3:$A$1000,0)+1,MATCH(LOWER(X$1),v_data!$B$2:$L$2,0)))</f>
        <v/>
      </c>
      <c r="Y107" s="2" t="str">
        <f t="shared" si="205"/>
        <v/>
      </c>
      <c r="Z107" s="2" t="str">
        <f>IF($A107="","",INDEX(v_data!$B$2:$L$1000,MATCH($A107,v_data!$A$3:$A$1000,0)+1,MATCH(LOWER(Z$1),v_data!$B$2:$L$2,0)))</f>
        <v/>
      </c>
      <c r="AA107" s="2" t="str">
        <f t="shared" si="206"/>
        <v/>
      </c>
      <c r="AB107" s="2" t="str">
        <f t="shared" si="207"/>
        <v/>
      </c>
      <c r="AC107" s="2">
        <f>(SUM(G107,I107,K107,M107,O107,Q107,S107,U107,W107,Y107,AA107)+IF(AND(G107&gt;0,I107&gt;0,K107&gt;0),100,0))*VLOOKUP(B107,variables!$A$2:$B$6,2,FALSE)</f>
        <v>80</v>
      </c>
      <c r="AD107" s="16" t="str">
        <f>IF($A107="","",INDEX(v_data!$B$2:$X$1000,MATCH($A107,v_data!$A$3:$A$1000,0)+1,MATCH(LOWER("hours"),v_data!$B$2:$X$2,0)))</f>
        <v/>
      </c>
    </row>
    <row r="108" spans="1:30" hidden="1" x14ac:dyDescent="0.25">
      <c r="A108" s="2" t="str">
        <f>IF(ISBLANK(v_data!A107),"",v_data!A107)</f>
        <v/>
      </c>
      <c r="B108" s="2" t="s">
        <v>22</v>
      </c>
      <c r="C108" s="2">
        <f>VLOOKUP(B108,variables!$A$2:$B$6,2,FALSE)</f>
        <v>0.8</v>
      </c>
      <c r="D108" s="4">
        <v>43826</v>
      </c>
      <c r="E108" s="4">
        <v>43431</v>
      </c>
      <c r="F108" s="2" t="str">
        <f>IF($A108="","",INDEX(v_data!$B$2:$L$1000,MATCH($A108,v_data!$A$3:$A$1000,0)+1,MATCH(LOWER(F$1),v_data!$B$2:$L$2,0)))</f>
        <v/>
      </c>
      <c r="G108" s="2" t="str">
        <f t="shared" si="196"/>
        <v/>
      </c>
      <c r="H108" s="2" t="str">
        <f>IF($A108="","",INDEX(v_data!$B$2:$L$1000,MATCH($A108,v_data!$A$3:$A$1000,0)+1,MATCH(LOWER(H$1),v_data!$B$2:$L$2,0)))</f>
        <v/>
      </c>
      <c r="I108" s="2" t="str">
        <f t="shared" si="197"/>
        <v/>
      </c>
      <c r="J108" s="2" t="str">
        <f>IF($A108="","",INDEX(v_data!$B$2:$L$1000,MATCH($A108,v_data!$A$3:$A$1000,0)+1,MATCH(LOWER(J$1),v_data!$B$2:$L$2,0)))</f>
        <v/>
      </c>
      <c r="K108" s="2" t="str">
        <f t="shared" si="198"/>
        <v/>
      </c>
      <c r="L108" s="2" t="str">
        <f>IF($A108="","",INDEX(v_data!$B$2:$L$1000,MATCH($A108,v_data!$A$3:$A$1000,0)+1,MATCH(LOWER(L$1),v_data!$B$2:$L$2,0)))</f>
        <v/>
      </c>
      <c r="M108" s="2" t="str">
        <f t="shared" si="199"/>
        <v/>
      </c>
      <c r="N108" s="2" t="str">
        <f>IF($A108="","",INDEX(v_data!$B$2:$L$1000,MATCH($A108,v_data!$A$3:$A$1000,0)+1,MATCH(LOWER(N$1),v_data!$B$2:$L$2,0)))</f>
        <v/>
      </c>
      <c r="O108" s="2" t="str">
        <f t="shared" si="200"/>
        <v/>
      </c>
      <c r="P108" s="2" t="str">
        <f>IF($A108="","",INDEX(v_data!$B$2:$L$1000,MATCH($A108,v_data!$A$3:$A$1000,0)+1,MATCH(LOWER(P$1),v_data!$B$2:$L$2,0)))</f>
        <v/>
      </c>
      <c r="Q108" s="2" t="str">
        <f t="shared" si="201"/>
        <v/>
      </c>
      <c r="R108" s="2" t="str">
        <f>IF($A108="","",INDEX(v_data!$B$2:$L$1000,MATCH($A108,v_data!$A$3:$A$1000,0)+1,MATCH(LOWER(R$1),v_data!$B$2:$L$2,0)))</f>
        <v/>
      </c>
      <c r="S108" s="2" t="str">
        <f t="shared" si="202"/>
        <v/>
      </c>
      <c r="T108" s="2" t="str">
        <f>IF($A108="","",INDEX(v_data!$B$2:$L$1000,MATCH($A108,v_data!$A$3:$A$1000,0)+1,MATCH(LOWER(T$1),v_data!$B$2:$L$2,0)))</f>
        <v/>
      </c>
      <c r="U108" s="2" t="str">
        <f t="shared" si="203"/>
        <v/>
      </c>
      <c r="V108" s="2" t="str">
        <f>IF($A108="","",INDEX(v_data!$B$2:$L$1000,MATCH($A108,v_data!$A$3:$A$1000,0)+1,MATCH(LOWER(V$1),v_data!$B$2:$L$2,0)))</f>
        <v/>
      </c>
      <c r="W108" s="2" t="str">
        <f t="shared" si="204"/>
        <v/>
      </c>
      <c r="X108" s="2" t="str">
        <f>IF($A108="","",INDEX(v_data!$B$2:$L$1000,MATCH($A108,v_data!$A$3:$A$1000,0)+1,MATCH(LOWER(X$1),v_data!$B$2:$L$2,0)))</f>
        <v/>
      </c>
      <c r="Y108" s="2" t="str">
        <f t="shared" si="205"/>
        <v/>
      </c>
      <c r="Z108" s="2" t="str">
        <f>IF($A108="","",INDEX(v_data!$B$2:$L$1000,MATCH($A108,v_data!$A$3:$A$1000,0)+1,MATCH(LOWER(Z$1),v_data!$B$2:$L$2,0)))</f>
        <v/>
      </c>
      <c r="AA108" s="2" t="str">
        <f t="shared" si="206"/>
        <v/>
      </c>
      <c r="AB108" s="2" t="str">
        <f t="shared" si="207"/>
        <v/>
      </c>
      <c r="AC108" s="2">
        <f>(SUM(G108,I108,K108,M108,O108,Q108,S108,U108,W108,Y108,AA108)+IF(AND(G108&gt;0,I108&gt;0,K108&gt;0),100,0))*VLOOKUP(B108,variables!$A$2:$B$6,2,FALSE)</f>
        <v>80</v>
      </c>
      <c r="AD108" s="16" t="str">
        <f>IF($A108="","",INDEX(v_data!$B$2:$X$1000,MATCH($A108,v_data!$A$3:$A$1000,0)+1,MATCH(LOWER("hours"),v_data!$B$2:$X$2,0)))</f>
        <v/>
      </c>
    </row>
    <row r="109" spans="1:30" hidden="1" x14ac:dyDescent="0.25">
      <c r="A109" s="2" t="str">
        <f>IF(ISBLANK(v_data!A108),"",v_data!A108)</f>
        <v/>
      </c>
      <c r="B109" s="2" t="s">
        <v>22</v>
      </c>
      <c r="C109" s="2">
        <f>VLOOKUP(B109,variables!$A$2:$B$6,2,FALSE)</f>
        <v>0.8</v>
      </c>
      <c r="D109" s="4">
        <v>43826</v>
      </c>
      <c r="E109" s="4">
        <v>43431</v>
      </c>
      <c r="F109" s="2" t="str">
        <f>IF($A109="","",INDEX(v_data!$B$2:$L$1000,MATCH($A109,v_data!$A$3:$A$1000,0)+1,MATCH(LOWER(F$1),v_data!$B$2:$L$2,0)))</f>
        <v/>
      </c>
      <c r="G109" s="2" t="str">
        <f t="shared" si="196"/>
        <v/>
      </c>
      <c r="H109" s="2" t="str">
        <f>IF($A109="","",INDEX(v_data!$B$2:$L$1000,MATCH($A109,v_data!$A$3:$A$1000,0)+1,MATCH(LOWER(H$1),v_data!$B$2:$L$2,0)))</f>
        <v/>
      </c>
      <c r="I109" s="2" t="str">
        <f t="shared" si="197"/>
        <v/>
      </c>
      <c r="J109" s="2" t="str">
        <f>IF($A109="","",INDEX(v_data!$B$2:$L$1000,MATCH($A109,v_data!$A$3:$A$1000,0)+1,MATCH(LOWER(J$1),v_data!$B$2:$L$2,0)))</f>
        <v/>
      </c>
      <c r="K109" s="2" t="str">
        <f t="shared" si="198"/>
        <v/>
      </c>
      <c r="L109" s="2" t="str">
        <f>IF($A109="","",INDEX(v_data!$B$2:$L$1000,MATCH($A109,v_data!$A$3:$A$1000,0)+1,MATCH(LOWER(L$1),v_data!$B$2:$L$2,0)))</f>
        <v/>
      </c>
      <c r="M109" s="2" t="str">
        <f t="shared" si="199"/>
        <v/>
      </c>
      <c r="N109" s="2" t="str">
        <f>IF($A109="","",INDEX(v_data!$B$2:$L$1000,MATCH($A109,v_data!$A$3:$A$1000,0)+1,MATCH(LOWER(N$1),v_data!$B$2:$L$2,0)))</f>
        <v/>
      </c>
      <c r="O109" s="2" t="str">
        <f t="shared" si="200"/>
        <v/>
      </c>
      <c r="P109" s="2" t="str">
        <f>IF($A109="","",INDEX(v_data!$B$2:$L$1000,MATCH($A109,v_data!$A$3:$A$1000,0)+1,MATCH(LOWER(P$1),v_data!$B$2:$L$2,0)))</f>
        <v/>
      </c>
      <c r="Q109" s="2" t="str">
        <f t="shared" si="201"/>
        <v/>
      </c>
      <c r="R109" s="2" t="str">
        <f>IF($A109="","",INDEX(v_data!$B$2:$L$1000,MATCH($A109,v_data!$A$3:$A$1000,0)+1,MATCH(LOWER(R$1),v_data!$B$2:$L$2,0)))</f>
        <v/>
      </c>
      <c r="S109" s="2" t="str">
        <f t="shared" si="202"/>
        <v/>
      </c>
      <c r="T109" s="2" t="str">
        <f>IF($A109="","",INDEX(v_data!$B$2:$L$1000,MATCH($A109,v_data!$A$3:$A$1000,0)+1,MATCH(LOWER(T$1),v_data!$B$2:$L$2,0)))</f>
        <v/>
      </c>
      <c r="U109" s="2" t="str">
        <f t="shared" si="203"/>
        <v/>
      </c>
      <c r="V109" s="2" t="str">
        <f>IF($A109="","",INDEX(v_data!$B$2:$L$1000,MATCH($A109,v_data!$A$3:$A$1000,0)+1,MATCH(LOWER(V$1),v_data!$B$2:$L$2,0)))</f>
        <v/>
      </c>
      <c r="W109" s="2" t="str">
        <f t="shared" si="204"/>
        <v/>
      </c>
      <c r="X109" s="2" t="str">
        <f>IF($A109="","",INDEX(v_data!$B$2:$L$1000,MATCH($A109,v_data!$A$3:$A$1000,0)+1,MATCH(LOWER(X$1),v_data!$B$2:$L$2,0)))</f>
        <v/>
      </c>
      <c r="Y109" s="2" t="str">
        <f t="shared" si="205"/>
        <v/>
      </c>
      <c r="Z109" s="2" t="str">
        <f>IF($A109="","",INDEX(v_data!$B$2:$L$1000,MATCH($A109,v_data!$A$3:$A$1000,0)+1,MATCH(LOWER(Z$1),v_data!$B$2:$L$2,0)))</f>
        <v/>
      </c>
      <c r="AA109" s="2" t="str">
        <f t="shared" si="206"/>
        <v/>
      </c>
      <c r="AB109" s="2" t="str">
        <f t="shared" si="207"/>
        <v/>
      </c>
      <c r="AC109" s="2">
        <f>(SUM(G109,I109,K109,M109,O109,Q109,S109,U109,W109,Y109,AA109)+IF(AND(G109&gt;0,I109&gt;0,K109&gt;0),100,0))*VLOOKUP(B109,variables!$A$2:$B$6,2,FALSE)</f>
        <v>80</v>
      </c>
      <c r="AD109" s="16" t="str">
        <f>IF($A109="","",INDEX(v_data!$B$2:$X$1000,MATCH($A109,v_data!$A$3:$A$1000,0)+1,MATCH(LOWER("hours"),v_data!$B$2:$X$2,0)))</f>
        <v/>
      </c>
    </row>
    <row r="110" spans="1:30" hidden="1" x14ac:dyDescent="0.25">
      <c r="A110" s="2" t="str">
        <f>IF(ISBLANK(v_data!A109),"",v_data!A109)</f>
        <v/>
      </c>
      <c r="B110" s="2" t="s">
        <v>22</v>
      </c>
      <c r="C110" s="2">
        <f>VLOOKUP(B110,variables!$A$2:$B$6,2,FALSE)</f>
        <v>0.8</v>
      </c>
      <c r="D110" s="4">
        <v>43826</v>
      </c>
      <c r="E110" s="4">
        <v>43431</v>
      </c>
      <c r="F110" s="2" t="str">
        <f>IF($A110="","",INDEX(v_data!$B$2:$L$1000,MATCH($A110,v_data!$A$3:$A$1000,0)+1,MATCH(LOWER(F$1),v_data!$B$2:$L$2,0)))</f>
        <v/>
      </c>
      <c r="G110" s="2" t="str">
        <f t="shared" si="196"/>
        <v/>
      </c>
      <c r="H110" s="2" t="str">
        <f>IF($A110="","",INDEX(v_data!$B$2:$L$1000,MATCH($A110,v_data!$A$3:$A$1000,0)+1,MATCH(LOWER(H$1),v_data!$B$2:$L$2,0)))</f>
        <v/>
      </c>
      <c r="I110" s="2" t="str">
        <f t="shared" si="197"/>
        <v/>
      </c>
      <c r="J110" s="2" t="str">
        <f>IF($A110="","",INDEX(v_data!$B$2:$L$1000,MATCH($A110,v_data!$A$3:$A$1000,0)+1,MATCH(LOWER(J$1),v_data!$B$2:$L$2,0)))</f>
        <v/>
      </c>
      <c r="K110" s="2" t="str">
        <f t="shared" si="198"/>
        <v/>
      </c>
      <c r="L110" s="2" t="str">
        <f>IF($A110="","",INDEX(v_data!$B$2:$L$1000,MATCH($A110,v_data!$A$3:$A$1000,0)+1,MATCH(LOWER(L$1),v_data!$B$2:$L$2,0)))</f>
        <v/>
      </c>
      <c r="M110" s="2" t="str">
        <f t="shared" si="199"/>
        <v/>
      </c>
      <c r="N110" s="2" t="str">
        <f>IF($A110="","",INDEX(v_data!$B$2:$L$1000,MATCH($A110,v_data!$A$3:$A$1000,0)+1,MATCH(LOWER(N$1),v_data!$B$2:$L$2,0)))</f>
        <v/>
      </c>
      <c r="O110" s="2" t="str">
        <f t="shared" si="200"/>
        <v/>
      </c>
      <c r="P110" s="2" t="str">
        <f>IF($A110="","",INDEX(v_data!$B$2:$L$1000,MATCH($A110,v_data!$A$3:$A$1000,0)+1,MATCH(LOWER(P$1),v_data!$B$2:$L$2,0)))</f>
        <v/>
      </c>
      <c r="Q110" s="2" t="str">
        <f t="shared" si="201"/>
        <v/>
      </c>
      <c r="R110" s="2" t="str">
        <f>IF($A110="","",INDEX(v_data!$B$2:$L$1000,MATCH($A110,v_data!$A$3:$A$1000,0)+1,MATCH(LOWER(R$1),v_data!$B$2:$L$2,0)))</f>
        <v/>
      </c>
      <c r="S110" s="2" t="str">
        <f t="shared" si="202"/>
        <v/>
      </c>
      <c r="T110" s="2" t="str">
        <f>IF($A110="","",INDEX(v_data!$B$2:$L$1000,MATCH($A110,v_data!$A$3:$A$1000,0)+1,MATCH(LOWER(T$1),v_data!$B$2:$L$2,0)))</f>
        <v/>
      </c>
      <c r="U110" s="2" t="str">
        <f t="shared" si="203"/>
        <v/>
      </c>
      <c r="V110" s="2" t="str">
        <f>IF($A110="","",INDEX(v_data!$B$2:$L$1000,MATCH($A110,v_data!$A$3:$A$1000,0)+1,MATCH(LOWER(V$1),v_data!$B$2:$L$2,0)))</f>
        <v/>
      </c>
      <c r="W110" s="2" t="str">
        <f t="shared" si="204"/>
        <v/>
      </c>
      <c r="X110" s="2" t="str">
        <f>IF($A110="","",INDEX(v_data!$B$2:$L$1000,MATCH($A110,v_data!$A$3:$A$1000,0)+1,MATCH(LOWER(X$1),v_data!$B$2:$L$2,0)))</f>
        <v/>
      </c>
      <c r="Y110" s="2" t="str">
        <f t="shared" si="205"/>
        <v/>
      </c>
      <c r="Z110" s="2" t="str">
        <f>IF($A110="","",INDEX(v_data!$B$2:$L$1000,MATCH($A110,v_data!$A$3:$A$1000,0)+1,MATCH(LOWER(Z$1),v_data!$B$2:$L$2,0)))</f>
        <v/>
      </c>
      <c r="AA110" s="2" t="str">
        <f t="shared" si="206"/>
        <v/>
      </c>
      <c r="AB110" s="2" t="str">
        <f t="shared" si="207"/>
        <v/>
      </c>
      <c r="AC110" s="2">
        <f>(SUM(G110,I110,K110,M110,O110,Q110,S110,U110,W110,Y110,AA110)+IF(AND(G110&gt;0,I110&gt;0,K110&gt;0),100,0))*VLOOKUP(B110,variables!$A$2:$B$6,2,FALSE)</f>
        <v>80</v>
      </c>
      <c r="AD110" s="16" t="str">
        <f>IF($A110="","",INDEX(v_data!$B$2:$X$1000,MATCH($A110,v_data!$A$3:$A$1000,0)+1,MATCH(LOWER("hours"),v_data!$B$2:$X$2,0)))</f>
        <v/>
      </c>
    </row>
    <row r="111" spans="1:30" hidden="1" x14ac:dyDescent="0.25">
      <c r="A111" s="2" t="str">
        <f>IF(ISBLANK(v_data!A110),"",v_data!A110)</f>
        <v/>
      </c>
      <c r="B111" s="2" t="s">
        <v>22</v>
      </c>
      <c r="C111" s="2">
        <f>VLOOKUP(B111,variables!$A$2:$B$6,2,FALSE)</f>
        <v>0.8</v>
      </c>
      <c r="D111" s="4">
        <v>43826</v>
      </c>
      <c r="E111" s="4">
        <v>43431</v>
      </c>
      <c r="F111" s="2" t="str">
        <f>IF($A111="","",INDEX(v_data!$B$2:$L$1000,MATCH($A111,v_data!$A$3:$A$1000,0)+1,MATCH(LOWER(F$1),v_data!$B$2:$L$2,0)))</f>
        <v/>
      </c>
      <c r="G111" s="2" t="str">
        <f t="shared" si="196"/>
        <v/>
      </c>
      <c r="H111" s="2" t="str">
        <f>IF($A111="","",INDEX(v_data!$B$2:$L$1000,MATCH($A111,v_data!$A$3:$A$1000,0)+1,MATCH(LOWER(H$1),v_data!$B$2:$L$2,0)))</f>
        <v/>
      </c>
      <c r="I111" s="2" t="str">
        <f t="shared" si="197"/>
        <v/>
      </c>
      <c r="J111" s="2" t="str">
        <f>IF($A111="","",INDEX(v_data!$B$2:$L$1000,MATCH($A111,v_data!$A$3:$A$1000,0)+1,MATCH(LOWER(J$1),v_data!$B$2:$L$2,0)))</f>
        <v/>
      </c>
      <c r="K111" s="2" t="str">
        <f t="shared" si="198"/>
        <v/>
      </c>
      <c r="L111" s="2" t="str">
        <f>IF($A111="","",INDEX(v_data!$B$2:$L$1000,MATCH($A111,v_data!$A$3:$A$1000,0)+1,MATCH(LOWER(L$1),v_data!$B$2:$L$2,0)))</f>
        <v/>
      </c>
      <c r="M111" s="2" t="str">
        <f t="shared" si="199"/>
        <v/>
      </c>
      <c r="N111" s="2" t="str">
        <f>IF($A111="","",INDEX(v_data!$B$2:$L$1000,MATCH($A111,v_data!$A$3:$A$1000,0)+1,MATCH(LOWER(N$1),v_data!$B$2:$L$2,0)))</f>
        <v/>
      </c>
      <c r="O111" s="2" t="str">
        <f t="shared" si="200"/>
        <v/>
      </c>
      <c r="P111" s="2" t="str">
        <f>IF($A111="","",INDEX(v_data!$B$2:$L$1000,MATCH($A111,v_data!$A$3:$A$1000,0)+1,MATCH(LOWER(P$1),v_data!$B$2:$L$2,0)))</f>
        <v/>
      </c>
      <c r="Q111" s="2" t="str">
        <f t="shared" si="201"/>
        <v/>
      </c>
      <c r="R111" s="2" t="str">
        <f>IF($A111="","",INDEX(v_data!$B$2:$L$1000,MATCH($A111,v_data!$A$3:$A$1000,0)+1,MATCH(LOWER(R$1),v_data!$B$2:$L$2,0)))</f>
        <v/>
      </c>
      <c r="S111" s="2" t="str">
        <f t="shared" si="202"/>
        <v/>
      </c>
      <c r="T111" s="2" t="str">
        <f>IF($A111="","",INDEX(v_data!$B$2:$L$1000,MATCH($A111,v_data!$A$3:$A$1000,0)+1,MATCH(LOWER(T$1),v_data!$B$2:$L$2,0)))</f>
        <v/>
      </c>
      <c r="U111" s="2" t="str">
        <f t="shared" si="203"/>
        <v/>
      </c>
      <c r="V111" s="2" t="str">
        <f>IF($A111="","",INDEX(v_data!$B$2:$L$1000,MATCH($A111,v_data!$A$3:$A$1000,0)+1,MATCH(LOWER(V$1),v_data!$B$2:$L$2,0)))</f>
        <v/>
      </c>
      <c r="W111" s="2" t="str">
        <f t="shared" si="204"/>
        <v/>
      </c>
      <c r="X111" s="2" t="str">
        <f>IF($A111="","",INDEX(v_data!$B$2:$L$1000,MATCH($A111,v_data!$A$3:$A$1000,0)+1,MATCH(LOWER(X$1),v_data!$B$2:$L$2,0)))</f>
        <v/>
      </c>
      <c r="Y111" s="2" t="str">
        <f t="shared" si="205"/>
        <v/>
      </c>
      <c r="Z111" s="2" t="str">
        <f>IF($A111="","",INDEX(v_data!$B$2:$L$1000,MATCH($A111,v_data!$A$3:$A$1000,0)+1,MATCH(LOWER(Z$1),v_data!$B$2:$L$2,0)))</f>
        <v/>
      </c>
      <c r="AA111" s="2" t="str">
        <f t="shared" si="206"/>
        <v/>
      </c>
      <c r="AB111" s="2" t="str">
        <f t="shared" si="207"/>
        <v/>
      </c>
      <c r="AC111" s="2">
        <f>(SUM(G111,I111,K111,M111,O111,Q111,S111,U111,W111,Y111,AA111)+IF(AND(G111&gt;0,I111&gt;0,K111&gt;0),100,0))*VLOOKUP(B111,variables!$A$2:$B$6,2,FALSE)</f>
        <v>80</v>
      </c>
      <c r="AD111" s="16" t="str">
        <f>IF($A111="","",INDEX(v_data!$B$2:$X$1000,MATCH($A111,v_data!$A$3:$A$1000,0)+1,MATCH(LOWER("hours"),v_data!$B$2:$X$2,0)))</f>
        <v/>
      </c>
    </row>
    <row r="112" spans="1:30" hidden="1" x14ac:dyDescent="0.25">
      <c r="A112" s="2" t="str">
        <f>IF(ISBLANK(v_data!A111),"",v_data!A111)</f>
        <v/>
      </c>
      <c r="B112" s="2" t="s">
        <v>22</v>
      </c>
      <c r="C112" s="2">
        <f>VLOOKUP(B112,variables!$A$2:$B$6,2,FALSE)</f>
        <v>0.8</v>
      </c>
      <c r="D112" s="4">
        <v>43826</v>
      </c>
      <c r="E112" s="4">
        <v>43431</v>
      </c>
      <c r="F112" s="2" t="str">
        <f>IF($A112="","",INDEX(v_data!$B$2:$L$1000,MATCH($A112,v_data!$A$3:$A$1000,0)+1,MATCH(LOWER(F$1),v_data!$B$2:$L$2,0)))</f>
        <v/>
      </c>
      <c r="G112" s="2" t="str">
        <f t="shared" si="196"/>
        <v/>
      </c>
      <c r="H112" s="2" t="str">
        <f>IF($A112="","",INDEX(v_data!$B$2:$L$1000,MATCH($A112,v_data!$A$3:$A$1000,0)+1,MATCH(LOWER(H$1),v_data!$B$2:$L$2,0)))</f>
        <v/>
      </c>
      <c r="I112" s="2" t="str">
        <f t="shared" si="197"/>
        <v/>
      </c>
      <c r="J112" s="2" t="str">
        <f>IF($A112="","",INDEX(v_data!$B$2:$L$1000,MATCH($A112,v_data!$A$3:$A$1000,0)+1,MATCH(LOWER(J$1),v_data!$B$2:$L$2,0)))</f>
        <v/>
      </c>
      <c r="K112" s="2" t="str">
        <f t="shared" si="198"/>
        <v/>
      </c>
      <c r="L112" s="2" t="str">
        <f>IF($A112="","",INDEX(v_data!$B$2:$L$1000,MATCH($A112,v_data!$A$3:$A$1000,0)+1,MATCH(LOWER(L$1),v_data!$B$2:$L$2,0)))</f>
        <v/>
      </c>
      <c r="M112" s="2" t="str">
        <f t="shared" si="199"/>
        <v/>
      </c>
      <c r="N112" s="2" t="str">
        <f>IF($A112="","",INDEX(v_data!$B$2:$L$1000,MATCH($A112,v_data!$A$3:$A$1000,0)+1,MATCH(LOWER(N$1),v_data!$B$2:$L$2,0)))</f>
        <v/>
      </c>
      <c r="O112" s="2" t="str">
        <f t="shared" si="200"/>
        <v/>
      </c>
      <c r="P112" s="2" t="str">
        <f>IF($A112="","",INDEX(v_data!$B$2:$L$1000,MATCH($A112,v_data!$A$3:$A$1000,0)+1,MATCH(LOWER(P$1),v_data!$B$2:$L$2,0)))</f>
        <v/>
      </c>
      <c r="Q112" s="2" t="str">
        <f t="shared" si="201"/>
        <v/>
      </c>
      <c r="R112" s="2" t="str">
        <f>IF($A112="","",INDEX(v_data!$B$2:$L$1000,MATCH($A112,v_data!$A$3:$A$1000,0)+1,MATCH(LOWER(R$1),v_data!$B$2:$L$2,0)))</f>
        <v/>
      </c>
      <c r="S112" s="2" t="str">
        <f t="shared" si="202"/>
        <v/>
      </c>
      <c r="T112" s="2" t="str">
        <f>IF($A112="","",INDEX(v_data!$B$2:$L$1000,MATCH($A112,v_data!$A$3:$A$1000,0)+1,MATCH(LOWER(T$1),v_data!$B$2:$L$2,0)))</f>
        <v/>
      </c>
      <c r="U112" s="2" t="str">
        <f t="shared" si="203"/>
        <v/>
      </c>
      <c r="V112" s="2" t="str">
        <f>IF($A112="","",INDEX(v_data!$B$2:$L$1000,MATCH($A112,v_data!$A$3:$A$1000,0)+1,MATCH(LOWER(V$1),v_data!$B$2:$L$2,0)))</f>
        <v/>
      </c>
      <c r="W112" s="2" t="str">
        <f t="shared" si="204"/>
        <v/>
      </c>
      <c r="X112" s="2" t="str">
        <f>IF($A112="","",INDEX(v_data!$B$2:$L$1000,MATCH($A112,v_data!$A$3:$A$1000,0)+1,MATCH(LOWER(X$1),v_data!$B$2:$L$2,0)))</f>
        <v/>
      </c>
      <c r="Y112" s="2" t="str">
        <f t="shared" si="205"/>
        <v/>
      </c>
      <c r="Z112" s="2" t="str">
        <f>IF($A112="","",INDEX(v_data!$B$2:$L$1000,MATCH($A112,v_data!$A$3:$A$1000,0)+1,MATCH(LOWER(Z$1),v_data!$B$2:$L$2,0)))</f>
        <v/>
      </c>
      <c r="AA112" s="2" t="str">
        <f t="shared" si="206"/>
        <v/>
      </c>
      <c r="AB112" s="2" t="str">
        <f t="shared" si="207"/>
        <v/>
      </c>
      <c r="AC112" s="2">
        <f>(SUM(G112,I112,K112,M112,O112,Q112,S112,U112,W112,Y112,AA112)+IF(AND(G112&gt;0,I112&gt;0,K112&gt;0),100,0))*VLOOKUP(B112,variables!$A$2:$B$6,2,FALSE)</f>
        <v>80</v>
      </c>
      <c r="AD112" s="16" t="str">
        <f>IF($A112="","",INDEX(v_data!$B$2:$X$1000,MATCH($A112,v_data!$A$3:$A$1000,0)+1,MATCH(LOWER("hours"),v_data!$B$2:$X$2,0)))</f>
        <v/>
      </c>
    </row>
    <row r="113" spans="1:30" hidden="1" x14ac:dyDescent="0.25">
      <c r="A113" s="2" t="str">
        <f>IF(ISBLANK(v_data!A112),"",v_data!A112)</f>
        <v/>
      </c>
      <c r="B113" s="2" t="s">
        <v>22</v>
      </c>
      <c r="C113" s="2">
        <f>VLOOKUP(B113,variables!$A$2:$B$6,2,FALSE)</f>
        <v>0.8</v>
      </c>
      <c r="D113" s="4">
        <v>43826</v>
      </c>
      <c r="E113" s="4">
        <v>43431</v>
      </c>
      <c r="F113" s="2" t="str">
        <f>IF($A113="","",INDEX(v_data!$B$2:$L$1000,MATCH($A113,v_data!$A$3:$A$1000,0)+1,MATCH(LOWER(F$1),v_data!$B$2:$L$2,0)))</f>
        <v/>
      </c>
      <c r="G113" s="2" t="str">
        <f t="shared" si="196"/>
        <v/>
      </c>
      <c r="H113" s="2" t="str">
        <f>IF($A113="","",INDEX(v_data!$B$2:$L$1000,MATCH($A113,v_data!$A$3:$A$1000,0)+1,MATCH(LOWER(H$1),v_data!$B$2:$L$2,0)))</f>
        <v/>
      </c>
      <c r="I113" s="2" t="str">
        <f t="shared" si="197"/>
        <v/>
      </c>
      <c r="J113" s="2" t="str">
        <f>IF($A113="","",INDEX(v_data!$B$2:$L$1000,MATCH($A113,v_data!$A$3:$A$1000,0)+1,MATCH(LOWER(J$1),v_data!$B$2:$L$2,0)))</f>
        <v/>
      </c>
      <c r="K113" s="2" t="str">
        <f t="shared" si="198"/>
        <v/>
      </c>
      <c r="L113" s="2" t="str">
        <f>IF($A113="","",INDEX(v_data!$B$2:$L$1000,MATCH($A113,v_data!$A$3:$A$1000,0)+1,MATCH(LOWER(L$1),v_data!$B$2:$L$2,0)))</f>
        <v/>
      </c>
      <c r="M113" s="2" t="str">
        <f t="shared" si="199"/>
        <v/>
      </c>
      <c r="N113" s="2" t="str">
        <f>IF($A113="","",INDEX(v_data!$B$2:$L$1000,MATCH($A113,v_data!$A$3:$A$1000,0)+1,MATCH(LOWER(N$1),v_data!$B$2:$L$2,0)))</f>
        <v/>
      </c>
      <c r="O113" s="2" t="str">
        <f t="shared" si="200"/>
        <v/>
      </c>
      <c r="P113" s="2" t="str">
        <f>IF($A113="","",INDEX(v_data!$B$2:$L$1000,MATCH($A113,v_data!$A$3:$A$1000,0)+1,MATCH(LOWER(P$1),v_data!$B$2:$L$2,0)))</f>
        <v/>
      </c>
      <c r="Q113" s="2" t="str">
        <f t="shared" si="201"/>
        <v/>
      </c>
      <c r="R113" s="2" t="str">
        <f>IF($A113="","",INDEX(v_data!$B$2:$L$1000,MATCH($A113,v_data!$A$3:$A$1000,0)+1,MATCH(LOWER(R$1),v_data!$B$2:$L$2,0)))</f>
        <v/>
      </c>
      <c r="S113" s="2" t="str">
        <f t="shared" si="202"/>
        <v/>
      </c>
      <c r="T113" s="2" t="str">
        <f>IF($A113="","",INDEX(v_data!$B$2:$L$1000,MATCH($A113,v_data!$A$3:$A$1000,0)+1,MATCH(LOWER(T$1),v_data!$B$2:$L$2,0)))</f>
        <v/>
      </c>
      <c r="U113" s="2" t="str">
        <f t="shared" si="203"/>
        <v/>
      </c>
      <c r="V113" s="2" t="str">
        <f>IF($A113="","",INDEX(v_data!$B$2:$L$1000,MATCH($A113,v_data!$A$3:$A$1000,0)+1,MATCH(LOWER(V$1),v_data!$B$2:$L$2,0)))</f>
        <v/>
      </c>
      <c r="W113" s="2" t="str">
        <f t="shared" si="204"/>
        <v/>
      </c>
      <c r="X113" s="2" t="str">
        <f>IF($A113="","",INDEX(v_data!$B$2:$L$1000,MATCH($A113,v_data!$A$3:$A$1000,0)+1,MATCH(LOWER(X$1),v_data!$B$2:$L$2,0)))</f>
        <v/>
      </c>
      <c r="Y113" s="2" t="str">
        <f t="shared" si="205"/>
        <v/>
      </c>
      <c r="Z113" s="2" t="str">
        <f>IF($A113="","",INDEX(v_data!$B$2:$L$1000,MATCH($A113,v_data!$A$3:$A$1000,0)+1,MATCH(LOWER(Z$1),v_data!$B$2:$L$2,0)))</f>
        <v/>
      </c>
      <c r="AA113" s="2" t="str">
        <f t="shared" si="206"/>
        <v/>
      </c>
      <c r="AB113" s="2" t="str">
        <f t="shared" si="207"/>
        <v/>
      </c>
      <c r="AC113" s="2">
        <f>(SUM(G113,I113,K113,M113,O113,Q113,S113,U113,W113,Y113,AA113)+IF(AND(G113&gt;0,I113&gt;0,K113&gt;0),100,0))*VLOOKUP(B113,variables!$A$2:$B$6,2,FALSE)</f>
        <v>80</v>
      </c>
      <c r="AD113" s="16" t="str">
        <f>IF($A113="","",INDEX(v_data!$B$2:$X$1000,MATCH($A113,v_data!$A$3:$A$1000,0)+1,MATCH(LOWER("hours"),v_data!$B$2:$X$2,0)))</f>
        <v/>
      </c>
    </row>
    <row r="114" spans="1:30" hidden="1" x14ac:dyDescent="0.25">
      <c r="A114" s="2" t="str">
        <f>IF(ISBLANK(v_data!A113),"",v_data!A113)</f>
        <v/>
      </c>
      <c r="B114" s="2" t="s">
        <v>22</v>
      </c>
      <c r="C114" s="2">
        <f>VLOOKUP(B114,variables!$A$2:$B$6,2,FALSE)</f>
        <v>0.8</v>
      </c>
      <c r="D114" s="4">
        <v>43826</v>
      </c>
      <c r="E114" s="4">
        <v>43431</v>
      </c>
      <c r="F114" s="2" t="str">
        <f>IF($A114="","",INDEX(v_data!$B$2:$L$1000,MATCH($A114,v_data!$A$3:$A$1000,0)+1,MATCH(LOWER(F$1),v_data!$B$2:$L$2,0)))</f>
        <v/>
      </c>
      <c r="G114" s="2" t="str">
        <f t="shared" si="196"/>
        <v/>
      </c>
      <c r="H114" s="2" t="str">
        <f>IF($A114="","",INDEX(v_data!$B$2:$L$1000,MATCH($A114,v_data!$A$3:$A$1000,0)+1,MATCH(LOWER(H$1),v_data!$B$2:$L$2,0)))</f>
        <v/>
      </c>
      <c r="I114" s="2" t="str">
        <f t="shared" si="197"/>
        <v/>
      </c>
      <c r="J114" s="2" t="str">
        <f>IF($A114="","",INDEX(v_data!$B$2:$L$1000,MATCH($A114,v_data!$A$3:$A$1000,0)+1,MATCH(LOWER(J$1),v_data!$B$2:$L$2,0)))</f>
        <v/>
      </c>
      <c r="K114" s="2" t="str">
        <f t="shared" si="198"/>
        <v/>
      </c>
      <c r="L114" s="2" t="str">
        <f>IF($A114="","",INDEX(v_data!$B$2:$L$1000,MATCH($A114,v_data!$A$3:$A$1000,0)+1,MATCH(LOWER(L$1),v_data!$B$2:$L$2,0)))</f>
        <v/>
      </c>
      <c r="M114" s="2" t="str">
        <f t="shared" si="199"/>
        <v/>
      </c>
      <c r="N114" s="2" t="str">
        <f>IF($A114="","",INDEX(v_data!$B$2:$L$1000,MATCH($A114,v_data!$A$3:$A$1000,0)+1,MATCH(LOWER(N$1),v_data!$B$2:$L$2,0)))</f>
        <v/>
      </c>
      <c r="O114" s="2" t="str">
        <f t="shared" si="200"/>
        <v/>
      </c>
      <c r="P114" s="2" t="str">
        <f>IF($A114="","",INDEX(v_data!$B$2:$L$1000,MATCH($A114,v_data!$A$3:$A$1000,0)+1,MATCH(LOWER(P$1),v_data!$B$2:$L$2,0)))</f>
        <v/>
      </c>
      <c r="Q114" s="2" t="str">
        <f t="shared" si="201"/>
        <v/>
      </c>
      <c r="R114" s="2" t="str">
        <f>IF($A114="","",INDEX(v_data!$B$2:$L$1000,MATCH($A114,v_data!$A$3:$A$1000,0)+1,MATCH(LOWER(R$1),v_data!$B$2:$L$2,0)))</f>
        <v/>
      </c>
      <c r="S114" s="2" t="str">
        <f t="shared" si="202"/>
        <v/>
      </c>
      <c r="T114" s="2" t="str">
        <f>IF($A114="","",INDEX(v_data!$B$2:$L$1000,MATCH($A114,v_data!$A$3:$A$1000,0)+1,MATCH(LOWER(T$1),v_data!$B$2:$L$2,0)))</f>
        <v/>
      </c>
      <c r="U114" s="2" t="str">
        <f t="shared" si="203"/>
        <v/>
      </c>
      <c r="V114" s="2" t="str">
        <f>IF($A114="","",INDEX(v_data!$B$2:$L$1000,MATCH($A114,v_data!$A$3:$A$1000,0)+1,MATCH(LOWER(V$1),v_data!$B$2:$L$2,0)))</f>
        <v/>
      </c>
      <c r="W114" s="2" t="str">
        <f t="shared" si="204"/>
        <v/>
      </c>
      <c r="X114" s="2" t="str">
        <f>IF($A114="","",INDEX(v_data!$B$2:$L$1000,MATCH($A114,v_data!$A$3:$A$1000,0)+1,MATCH(LOWER(X$1),v_data!$B$2:$L$2,0)))</f>
        <v/>
      </c>
      <c r="Y114" s="2" t="str">
        <f t="shared" si="205"/>
        <v/>
      </c>
      <c r="Z114" s="2" t="str">
        <f>IF($A114="","",INDEX(v_data!$B$2:$L$1000,MATCH($A114,v_data!$A$3:$A$1000,0)+1,MATCH(LOWER(Z$1),v_data!$B$2:$L$2,0)))</f>
        <v/>
      </c>
      <c r="AA114" s="2" t="str">
        <f t="shared" si="206"/>
        <v/>
      </c>
      <c r="AB114" s="2" t="str">
        <f t="shared" si="207"/>
        <v/>
      </c>
      <c r="AC114" s="2">
        <f>(SUM(G114,I114,K114,M114,O114,Q114,S114,U114,W114,Y114,AA114)+IF(AND(G114&gt;0,I114&gt;0,K114&gt;0),100,0))*VLOOKUP(B114,variables!$A$2:$B$6,2,FALSE)</f>
        <v>80</v>
      </c>
      <c r="AD114" s="16" t="str">
        <f>IF($A114="","",INDEX(v_data!$B$2:$X$1000,MATCH($A114,v_data!$A$3:$A$1000,0)+1,MATCH(LOWER("hours"),v_data!$B$2:$X$2,0)))</f>
        <v/>
      </c>
    </row>
    <row r="115" spans="1:30" hidden="1" x14ac:dyDescent="0.25">
      <c r="A115" s="2" t="str">
        <f>IF(ISBLANK(v_data!A114),"",v_data!A114)</f>
        <v/>
      </c>
      <c r="B115" s="2" t="s">
        <v>22</v>
      </c>
      <c r="C115" s="2">
        <f>VLOOKUP(B115,variables!$A$2:$B$6,2,FALSE)</f>
        <v>0.8</v>
      </c>
      <c r="D115" s="4">
        <v>43826</v>
      </c>
      <c r="E115" s="4">
        <v>43431</v>
      </c>
      <c r="F115" s="2" t="str">
        <f>IF($A115="","",INDEX(v_data!$B$2:$L$1000,MATCH($A115,v_data!$A$3:$A$1000,0)+1,MATCH(LOWER(F$1),v_data!$B$2:$L$2,0)))</f>
        <v/>
      </c>
      <c r="G115" s="2" t="str">
        <f t="shared" si="196"/>
        <v/>
      </c>
      <c r="H115" s="2" t="str">
        <f>IF($A115="","",INDEX(v_data!$B$2:$L$1000,MATCH($A115,v_data!$A$3:$A$1000,0)+1,MATCH(LOWER(H$1),v_data!$B$2:$L$2,0)))</f>
        <v/>
      </c>
      <c r="I115" s="2" t="str">
        <f t="shared" si="197"/>
        <v/>
      </c>
      <c r="J115" s="2" t="str">
        <f>IF($A115="","",INDEX(v_data!$B$2:$L$1000,MATCH($A115,v_data!$A$3:$A$1000,0)+1,MATCH(LOWER(J$1),v_data!$B$2:$L$2,0)))</f>
        <v/>
      </c>
      <c r="K115" s="2" t="str">
        <f t="shared" si="198"/>
        <v/>
      </c>
      <c r="L115" s="2" t="str">
        <f>IF($A115="","",INDEX(v_data!$B$2:$L$1000,MATCH($A115,v_data!$A$3:$A$1000,0)+1,MATCH(LOWER(L$1),v_data!$B$2:$L$2,0)))</f>
        <v/>
      </c>
      <c r="M115" s="2" t="str">
        <f t="shared" si="199"/>
        <v/>
      </c>
      <c r="N115" s="2" t="str">
        <f>IF($A115="","",INDEX(v_data!$B$2:$L$1000,MATCH($A115,v_data!$A$3:$A$1000,0)+1,MATCH(LOWER(N$1),v_data!$B$2:$L$2,0)))</f>
        <v/>
      </c>
      <c r="O115" s="2" t="str">
        <f t="shared" si="200"/>
        <v/>
      </c>
      <c r="P115" s="2" t="str">
        <f>IF($A115="","",INDEX(v_data!$B$2:$L$1000,MATCH($A115,v_data!$A$3:$A$1000,0)+1,MATCH(LOWER(P$1),v_data!$B$2:$L$2,0)))</f>
        <v/>
      </c>
      <c r="Q115" s="2" t="str">
        <f t="shared" si="201"/>
        <v/>
      </c>
      <c r="R115" s="2" t="str">
        <f>IF($A115="","",INDEX(v_data!$B$2:$L$1000,MATCH($A115,v_data!$A$3:$A$1000,0)+1,MATCH(LOWER(R$1),v_data!$B$2:$L$2,0)))</f>
        <v/>
      </c>
      <c r="S115" s="2" t="str">
        <f t="shared" si="202"/>
        <v/>
      </c>
      <c r="T115" s="2" t="str">
        <f>IF($A115="","",INDEX(v_data!$B$2:$L$1000,MATCH($A115,v_data!$A$3:$A$1000,0)+1,MATCH(LOWER(T$1),v_data!$B$2:$L$2,0)))</f>
        <v/>
      </c>
      <c r="U115" s="2" t="str">
        <f t="shared" si="203"/>
        <v/>
      </c>
      <c r="V115" s="2" t="str">
        <f>IF($A115="","",INDEX(v_data!$B$2:$L$1000,MATCH($A115,v_data!$A$3:$A$1000,0)+1,MATCH(LOWER(V$1),v_data!$B$2:$L$2,0)))</f>
        <v/>
      </c>
      <c r="W115" s="2" t="str">
        <f t="shared" si="204"/>
        <v/>
      </c>
      <c r="X115" s="2" t="str">
        <f>IF($A115="","",INDEX(v_data!$B$2:$L$1000,MATCH($A115,v_data!$A$3:$A$1000,0)+1,MATCH(LOWER(X$1),v_data!$B$2:$L$2,0)))</f>
        <v/>
      </c>
      <c r="Y115" s="2" t="str">
        <f t="shared" si="205"/>
        <v/>
      </c>
      <c r="Z115" s="2" t="str">
        <f>IF($A115="","",INDEX(v_data!$B$2:$L$1000,MATCH($A115,v_data!$A$3:$A$1000,0)+1,MATCH(LOWER(Z$1),v_data!$B$2:$L$2,0)))</f>
        <v/>
      </c>
      <c r="AA115" s="2" t="str">
        <f t="shared" si="206"/>
        <v/>
      </c>
      <c r="AB115" s="2" t="str">
        <f t="shared" si="207"/>
        <v/>
      </c>
      <c r="AC115" s="2">
        <f>(SUM(G115,I115,K115,M115,O115,Q115,S115,U115,W115,Y115,AA115)+IF(AND(G115&gt;0,I115&gt;0,K115&gt;0),100,0))*VLOOKUP(B115,variables!$A$2:$B$6,2,FALSE)</f>
        <v>80</v>
      </c>
      <c r="AD115" s="16" t="str">
        <f>IF($A115="","",INDEX(v_data!$B$2:$X$1000,MATCH($A115,v_data!$A$3:$A$1000,0)+1,MATCH(LOWER("hours"),v_data!$B$2:$X$2,0)))</f>
        <v/>
      </c>
    </row>
    <row r="116" spans="1:30" hidden="1" x14ac:dyDescent="0.25">
      <c r="A116" s="2" t="str">
        <f>IF(ISBLANK(v_data!A115),"",v_data!A115)</f>
        <v/>
      </c>
      <c r="B116" s="2" t="s">
        <v>22</v>
      </c>
      <c r="C116" s="2">
        <f>VLOOKUP(B116,variables!$A$2:$B$6,2,FALSE)</f>
        <v>0.8</v>
      </c>
      <c r="D116" s="4">
        <v>43826</v>
      </c>
      <c r="E116" s="4">
        <v>43431</v>
      </c>
      <c r="F116" s="2" t="str">
        <f>IF($A116="","",INDEX(v_data!$B$2:$L$1000,MATCH($A116,v_data!$A$3:$A$1000,0)+1,MATCH(LOWER(F$1),v_data!$B$2:$L$2,0)))</f>
        <v/>
      </c>
      <c r="G116" s="2" t="str">
        <f t="shared" si="196"/>
        <v/>
      </c>
      <c r="H116" s="2" t="str">
        <f>IF($A116="","",INDEX(v_data!$B$2:$L$1000,MATCH($A116,v_data!$A$3:$A$1000,0)+1,MATCH(LOWER(H$1),v_data!$B$2:$L$2,0)))</f>
        <v/>
      </c>
      <c r="I116" s="2" t="str">
        <f t="shared" si="197"/>
        <v/>
      </c>
      <c r="J116" s="2" t="str">
        <f>IF($A116="","",INDEX(v_data!$B$2:$L$1000,MATCH($A116,v_data!$A$3:$A$1000,0)+1,MATCH(LOWER(J$1),v_data!$B$2:$L$2,0)))</f>
        <v/>
      </c>
      <c r="K116" s="2" t="str">
        <f t="shared" si="198"/>
        <v/>
      </c>
      <c r="L116" s="2" t="str">
        <f>IF($A116="","",INDEX(v_data!$B$2:$L$1000,MATCH($A116,v_data!$A$3:$A$1000,0)+1,MATCH(LOWER(L$1),v_data!$B$2:$L$2,0)))</f>
        <v/>
      </c>
      <c r="M116" s="2" t="str">
        <f t="shared" si="199"/>
        <v/>
      </c>
      <c r="N116" s="2" t="str">
        <f>IF($A116="","",INDEX(v_data!$B$2:$L$1000,MATCH($A116,v_data!$A$3:$A$1000,0)+1,MATCH(LOWER(N$1),v_data!$B$2:$L$2,0)))</f>
        <v/>
      </c>
      <c r="O116" s="2" t="str">
        <f t="shared" si="200"/>
        <v/>
      </c>
      <c r="P116" s="2" t="str">
        <f>IF($A116="","",INDEX(v_data!$B$2:$L$1000,MATCH($A116,v_data!$A$3:$A$1000,0)+1,MATCH(LOWER(P$1),v_data!$B$2:$L$2,0)))</f>
        <v/>
      </c>
      <c r="Q116" s="2" t="str">
        <f t="shared" si="201"/>
        <v/>
      </c>
      <c r="R116" s="2" t="str">
        <f>IF($A116="","",INDEX(v_data!$B$2:$L$1000,MATCH($A116,v_data!$A$3:$A$1000,0)+1,MATCH(LOWER(R$1),v_data!$B$2:$L$2,0)))</f>
        <v/>
      </c>
      <c r="S116" s="2" t="str">
        <f t="shared" si="202"/>
        <v/>
      </c>
      <c r="T116" s="2" t="str">
        <f>IF($A116="","",INDEX(v_data!$B$2:$L$1000,MATCH($A116,v_data!$A$3:$A$1000,0)+1,MATCH(LOWER(T$1),v_data!$B$2:$L$2,0)))</f>
        <v/>
      </c>
      <c r="U116" s="2" t="str">
        <f t="shared" si="203"/>
        <v/>
      </c>
      <c r="V116" s="2" t="str">
        <f>IF($A116="","",INDEX(v_data!$B$2:$L$1000,MATCH($A116,v_data!$A$3:$A$1000,0)+1,MATCH(LOWER(V$1),v_data!$B$2:$L$2,0)))</f>
        <v/>
      </c>
      <c r="W116" s="2" t="str">
        <f t="shared" si="204"/>
        <v/>
      </c>
      <c r="X116" s="2" t="str">
        <f>IF($A116="","",INDEX(v_data!$B$2:$L$1000,MATCH($A116,v_data!$A$3:$A$1000,0)+1,MATCH(LOWER(X$1),v_data!$B$2:$L$2,0)))</f>
        <v/>
      </c>
      <c r="Y116" s="2" t="str">
        <f t="shared" si="205"/>
        <v/>
      </c>
      <c r="Z116" s="2" t="str">
        <f>IF($A116="","",INDEX(v_data!$B$2:$L$1000,MATCH($A116,v_data!$A$3:$A$1000,0)+1,MATCH(LOWER(Z$1),v_data!$B$2:$L$2,0)))</f>
        <v/>
      </c>
      <c r="AA116" s="2" t="str">
        <f t="shared" si="206"/>
        <v/>
      </c>
      <c r="AB116" s="2" t="str">
        <f t="shared" si="207"/>
        <v/>
      </c>
      <c r="AC116" s="2">
        <f>(SUM(G116,I116,K116,M116,O116,Q116,S116,U116,W116,Y116,AA116)+IF(AND(G116&gt;0,I116&gt;0,K116&gt;0),100,0))*VLOOKUP(B116,variables!$A$2:$B$6,2,FALSE)</f>
        <v>80</v>
      </c>
      <c r="AD116" s="16" t="str">
        <f>IF($A116="","",INDEX(v_data!$B$2:$X$1000,MATCH($A116,v_data!$A$3:$A$1000,0)+1,MATCH(LOWER("hours"),v_data!$B$2:$X$2,0)))</f>
        <v/>
      </c>
    </row>
    <row r="117" spans="1:30" hidden="1" x14ac:dyDescent="0.25">
      <c r="A117" s="2" t="str">
        <f>IF(ISBLANK(v_data!A116),"",v_data!A116)</f>
        <v/>
      </c>
      <c r="B117" s="2" t="s">
        <v>22</v>
      </c>
      <c r="C117" s="2">
        <f>VLOOKUP(B117,variables!$A$2:$B$6,2,FALSE)</f>
        <v>0.8</v>
      </c>
      <c r="D117" s="4">
        <v>43826</v>
      </c>
      <c r="E117" s="4">
        <v>43431</v>
      </c>
      <c r="F117" s="2" t="str">
        <f>IF($A117="","",INDEX(v_data!$B$2:$L$1000,MATCH($A117,v_data!$A$3:$A$1000,0)+1,MATCH(LOWER(F$1),v_data!$B$2:$L$2,0)))</f>
        <v/>
      </c>
      <c r="G117" s="2" t="str">
        <f t="shared" si="196"/>
        <v/>
      </c>
      <c r="H117" s="2" t="str">
        <f>IF($A117="","",INDEX(v_data!$B$2:$L$1000,MATCH($A117,v_data!$A$3:$A$1000,0)+1,MATCH(LOWER(H$1),v_data!$B$2:$L$2,0)))</f>
        <v/>
      </c>
      <c r="I117" s="2" t="str">
        <f t="shared" si="197"/>
        <v/>
      </c>
      <c r="J117" s="2" t="str">
        <f>IF($A117="","",INDEX(v_data!$B$2:$L$1000,MATCH($A117,v_data!$A$3:$A$1000,0)+1,MATCH(LOWER(J$1),v_data!$B$2:$L$2,0)))</f>
        <v/>
      </c>
      <c r="K117" s="2" t="str">
        <f t="shared" si="198"/>
        <v/>
      </c>
      <c r="L117" s="2" t="str">
        <f>IF($A117="","",INDEX(v_data!$B$2:$L$1000,MATCH($A117,v_data!$A$3:$A$1000,0)+1,MATCH(LOWER(L$1),v_data!$B$2:$L$2,0)))</f>
        <v/>
      </c>
      <c r="M117" s="2" t="str">
        <f t="shared" si="199"/>
        <v/>
      </c>
      <c r="N117" s="2" t="str">
        <f>IF($A117="","",INDEX(v_data!$B$2:$L$1000,MATCH($A117,v_data!$A$3:$A$1000,0)+1,MATCH(LOWER(N$1),v_data!$B$2:$L$2,0)))</f>
        <v/>
      </c>
      <c r="O117" s="2" t="str">
        <f t="shared" si="200"/>
        <v/>
      </c>
      <c r="P117" s="2" t="str">
        <f>IF($A117="","",INDEX(v_data!$B$2:$L$1000,MATCH($A117,v_data!$A$3:$A$1000,0)+1,MATCH(LOWER(P$1),v_data!$B$2:$L$2,0)))</f>
        <v/>
      </c>
      <c r="Q117" s="2" t="str">
        <f t="shared" si="201"/>
        <v/>
      </c>
      <c r="R117" s="2" t="str">
        <f>IF($A117="","",INDEX(v_data!$B$2:$L$1000,MATCH($A117,v_data!$A$3:$A$1000,0)+1,MATCH(LOWER(R$1),v_data!$B$2:$L$2,0)))</f>
        <v/>
      </c>
      <c r="S117" s="2" t="str">
        <f t="shared" si="202"/>
        <v/>
      </c>
      <c r="T117" s="2" t="str">
        <f>IF($A117="","",INDEX(v_data!$B$2:$L$1000,MATCH($A117,v_data!$A$3:$A$1000,0)+1,MATCH(LOWER(T$1),v_data!$B$2:$L$2,0)))</f>
        <v/>
      </c>
      <c r="U117" s="2" t="str">
        <f t="shared" si="203"/>
        <v/>
      </c>
      <c r="V117" s="2" t="str">
        <f>IF($A117="","",INDEX(v_data!$B$2:$L$1000,MATCH($A117,v_data!$A$3:$A$1000,0)+1,MATCH(LOWER(V$1),v_data!$B$2:$L$2,0)))</f>
        <v/>
      </c>
      <c r="W117" s="2" t="str">
        <f t="shared" si="204"/>
        <v/>
      </c>
      <c r="X117" s="2" t="str">
        <f>IF($A117="","",INDEX(v_data!$B$2:$L$1000,MATCH($A117,v_data!$A$3:$A$1000,0)+1,MATCH(LOWER(X$1),v_data!$B$2:$L$2,0)))</f>
        <v/>
      </c>
      <c r="Y117" s="2" t="str">
        <f t="shared" si="205"/>
        <v/>
      </c>
      <c r="Z117" s="2" t="str">
        <f>IF($A117="","",INDEX(v_data!$B$2:$L$1000,MATCH($A117,v_data!$A$3:$A$1000,0)+1,MATCH(LOWER(Z$1),v_data!$B$2:$L$2,0)))</f>
        <v/>
      </c>
      <c r="AA117" s="2" t="str">
        <f t="shared" si="206"/>
        <v/>
      </c>
      <c r="AB117" s="2" t="str">
        <f t="shared" si="207"/>
        <v/>
      </c>
      <c r="AC117" s="2">
        <f>(SUM(G117,I117,K117,M117,O117,Q117,S117,U117,W117,Y117,AA117)+IF(AND(G117&gt;0,I117&gt;0,K117&gt;0),100,0))*VLOOKUP(B117,variables!$A$2:$B$6,2,FALSE)</f>
        <v>80</v>
      </c>
      <c r="AD117" s="16" t="str">
        <f>IF($A117="","",INDEX(v_data!$B$2:$X$1000,MATCH($A117,v_data!$A$3:$A$1000,0)+1,MATCH(LOWER("hours"),v_data!$B$2:$X$2,0)))</f>
        <v/>
      </c>
    </row>
    <row r="118" spans="1:30" hidden="1" x14ac:dyDescent="0.25">
      <c r="A118" s="2" t="str">
        <f>IF(ISBLANK(v_data!A117),"",v_data!A117)</f>
        <v/>
      </c>
      <c r="B118" s="2" t="s">
        <v>22</v>
      </c>
      <c r="C118" s="2">
        <f>VLOOKUP(B118,variables!$A$2:$B$6,2,FALSE)</f>
        <v>0.8</v>
      </c>
      <c r="D118" s="4">
        <v>43826</v>
      </c>
      <c r="E118" s="4">
        <v>43431</v>
      </c>
      <c r="F118" s="2" t="str">
        <f>IF($A118="","",INDEX(v_data!$B$2:$L$1000,MATCH($A118,v_data!$A$3:$A$1000,0)+1,MATCH(LOWER(F$1),v_data!$B$2:$L$2,0)))</f>
        <v/>
      </c>
      <c r="G118" s="2" t="str">
        <f t="shared" si="196"/>
        <v/>
      </c>
      <c r="H118" s="2" t="str">
        <f>IF($A118="","",INDEX(v_data!$B$2:$L$1000,MATCH($A118,v_data!$A$3:$A$1000,0)+1,MATCH(LOWER(H$1),v_data!$B$2:$L$2,0)))</f>
        <v/>
      </c>
      <c r="I118" s="2" t="str">
        <f t="shared" si="197"/>
        <v/>
      </c>
      <c r="J118" s="2" t="str">
        <f>IF($A118="","",INDEX(v_data!$B$2:$L$1000,MATCH($A118,v_data!$A$3:$A$1000,0)+1,MATCH(LOWER(J$1),v_data!$B$2:$L$2,0)))</f>
        <v/>
      </c>
      <c r="K118" s="2" t="str">
        <f t="shared" si="198"/>
        <v/>
      </c>
      <c r="L118" s="2" t="str">
        <f>IF($A118="","",INDEX(v_data!$B$2:$L$1000,MATCH($A118,v_data!$A$3:$A$1000,0)+1,MATCH(LOWER(L$1),v_data!$B$2:$L$2,0)))</f>
        <v/>
      </c>
      <c r="M118" s="2" t="str">
        <f t="shared" si="199"/>
        <v/>
      </c>
      <c r="N118" s="2" t="str">
        <f>IF($A118="","",INDEX(v_data!$B$2:$L$1000,MATCH($A118,v_data!$A$3:$A$1000,0)+1,MATCH(LOWER(N$1),v_data!$B$2:$L$2,0)))</f>
        <v/>
      </c>
      <c r="O118" s="2" t="str">
        <f t="shared" si="200"/>
        <v/>
      </c>
      <c r="P118" s="2" t="str">
        <f>IF($A118="","",INDEX(v_data!$B$2:$L$1000,MATCH($A118,v_data!$A$3:$A$1000,0)+1,MATCH(LOWER(P$1),v_data!$B$2:$L$2,0)))</f>
        <v/>
      </c>
      <c r="Q118" s="2" t="str">
        <f t="shared" si="201"/>
        <v/>
      </c>
      <c r="R118" s="2" t="str">
        <f>IF($A118="","",INDEX(v_data!$B$2:$L$1000,MATCH($A118,v_data!$A$3:$A$1000,0)+1,MATCH(LOWER(R$1),v_data!$B$2:$L$2,0)))</f>
        <v/>
      </c>
      <c r="S118" s="2" t="str">
        <f t="shared" si="202"/>
        <v/>
      </c>
      <c r="T118" s="2" t="str">
        <f>IF($A118="","",INDEX(v_data!$B$2:$L$1000,MATCH($A118,v_data!$A$3:$A$1000,0)+1,MATCH(LOWER(T$1),v_data!$B$2:$L$2,0)))</f>
        <v/>
      </c>
      <c r="U118" s="2" t="str">
        <f t="shared" si="203"/>
        <v/>
      </c>
      <c r="V118" s="2" t="str">
        <f>IF($A118="","",INDEX(v_data!$B$2:$L$1000,MATCH($A118,v_data!$A$3:$A$1000,0)+1,MATCH(LOWER(V$1),v_data!$B$2:$L$2,0)))</f>
        <v/>
      </c>
      <c r="W118" s="2" t="str">
        <f t="shared" si="204"/>
        <v/>
      </c>
      <c r="X118" s="2" t="str">
        <f>IF($A118="","",INDEX(v_data!$B$2:$L$1000,MATCH($A118,v_data!$A$3:$A$1000,0)+1,MATCH(LOWER(X$1),v_data!$B$2:$L$2,0)))</f>
        <v/>
      </c>
      <c r="Y118" s="2" t="str">
        <f t="shared" si="205"/>
        <v/>
      </c>
      <c r="Z118" s="2" t="str">
        <f>IF($A118="","",INDEX(v_data!$B$2:$L$1000,MATCH($A118,v_data!$A$3:$A$1000,0)+1,MATCH(LOWER(Z$1),v_data!$B$2:$L$2,0)))</f>
        <v/>
      </c>
      <c r="AA118" s="2" t="str">
        <f t="shared" si="206"/>
        <v/>
      </c>
      <c r="AB118" s="2" t="str">
        <f t="shared" si="207"/>
        <v/>
      </c>
      <c r="AC118" s="2">
        <f>(SUM(G118,I118,K118,M118,O118,Q118,S118,U118,W118,Y118,AA118)+IF(AND(G118&gt;0,I118&gt;0,K118&gt;0),100,0))*VLOOKUP(B118,variables!$A$2:$B$6,2,FALSE)</f>
        <v>80</v>
      </c>
      <c r="AD118" s="16" t="str">
        <f>IF($A118="","",INDEX(v_data!$B$2:$X$1000,MATCH($A118,v_data!$A$3:$A$1000,0)+1,MATCH(LOWER("hours"),v_data!$B$2:$X$2,0)))</f>
        <v/>
      </c>
    </row>
    <row r="119" spans="1:30" hidden="1" x14ac:dyDescent="0.25">
      <c r="A119" s="2" t="str">
        <f>IF(ISBLANK(v_data!A118),"",v_data!A118)</f>
        <v/>
      </c>
      <c r="B119" s="2" t="s">
        <v>22</v>
      </c>
      <c r="C119" s="2">
        <f>VLOOKUP(B119,variables!$A$2:$B$6,2,FALSE)</f>
        <v>0.8</v>
      </c>
      <c r="D119" s="4">
        <v>43826</v>
      </c>
      <c r="E119" s="4">
        <v>43431</v>
      </c>
      <c r="F119" s="2" t="str">
        <f>IF($A119="","",INDEX(v_data!$B$2:$L$1000,MATCH($A119,v_data!$A$3:$A$1000,0)+1,MATCH(LOWER(F$1),v_data!$B$2:$L$2,0)))</f>
        <v/>
      </c>
      <c r="G119" s="2" t="str">
        <f t="shared" si="196"/>
        <v/>
      </c>
      <c r="H119" s="2" t="str">
        <f>IF($A119="","",INDEX(v_data!$B$2:$L$1000,MATCH($A119,v_data!$A$3:$A$1000,0)+1,MATCH(LOWER(H$1),v_data!$B$2:$L$2,0)))</f>
        <v/>
      </c>
      <c r="I119" s="2" t="str">
        <f t="shared" si="197"/>
        <v/>
      </c>
      <c r="J119" s="2" t="str">
        <f>IF($A119="","",INDEX(v_data!$B$2:$L$1000,MATCH($A119,v_data!$A$3:$A$1000,0)+1,MATCH(LOWER(J$1),v_data!$B$2:$L$2,0)))</f>
        <v/>
      </c>
      <c r="K119" s="2" t="str">
        <f t="shared" si="198"/>
        <v/>
      </c>
      <c r="L119" s="2" t="str">
        <f>IF($A119="","",INDEX(v_data!$B$2:$L$1000,MATCH($A119,v_data!$A$3:$A$1000,0)+1,MATCH(LOWER(L$1),v_data!$B$2:$L$2,0)))</f>
        <v/>
      </c>
      <c r="M119" s="2" t="str">
        <f t="shared" si="199"/>
        <v/>
      </c>
      <c r="N119" s="2" t="str">
        <f>IF($A119="","",INDEX(v_data!$B$2:$L$1000,MATCH($A119,v_data!$A$3:$A$1000,0)+1,MATCH(LOWER(N$1),v_data!$B$2:$L$2,0)))</f>
        <v/>
      </c>
      <c r="O119" s="2" t="str">
        <f t="shared" si="200"/>
        <v/>
      </c>
      <c r="P119" s="2" t="str">
        <f>IF($A119="","",INDEX(v_data!$B$2:$L$1000,MATCH($A119,v_data!$A$3:$A$1000,0)+1,MATCH(LOWER(P$1),v_data!$B$2:$L$2,0)))</f>
        <v/>
      </c>
      <c r="Q119" s="2" t="str">
        <f t="shared" si="201"/>
        <v/>
      </c>
      <c r="R119" s="2" t="str">
        <f>IF($A119="","",INDEX(v_data!$B$2:$L$1000,MATCH($A119,v_data!$A$3:$A$1000,0)+1,MATCH(LOWER(R$1),v_data!$B$2:$L$2,0)))</f>
        <v/>
      </c>
      <c r="S119" s="2" t="str">
        <f t="shared" si="202"/>
        <v/>
      </c>
      <c r="T119" s="2" t="str">
        <f>IF($A119="","",INDEX(v_data!$B$2:$L$1000,MATCH($A119,v_data!$A$3:$A$1000,0)+1,MATCH(LOWER(T$1),v_data!$B$2:$L$2,0)))</f>
        <v/>
      </c>
      <c r="U119" s="2" t="str">
        <f t="shared" si="203"/>
        <v/>
      </c>
      <c r="V119" s="2" t="str">
        <f>IF($A119="","",INDEX(v_data!$B$2:$L$1000,MATCH($A119,v_data!$A$3:$A$1000,0)+1,MATCH(LOWER(V$1),v_data!$B$2:$L$2,0)))</f>
        <v/>
      </c>
      <c r="W119" s="2" t="str">
        <f t="shared" si="204"/>
        <v/>
      </c>
      <c r="X119" s="2" t="str">
        <f>IF($A119="","",INDEX(v_data!$B$2:$L$1000,MATCH($A119,v_data!$A$3:$A$1000,0)+1,MATCH(LOWER(X$1),v_data!$B$2:$L$2,0)))</f>
        <v/>
      </c>
      <c r="Y119" s="2" t="str">
        <f t="shared" si="205"/>
        <v/>
      </c>
      <c r="Z119" s="2" t="str">
        <f>IF($A119="","",INDEX(v_data!$B$2:$L$1000,MATCH($A119,v_data!$A$3:$A$1000,0)+1,MATCH(LOWER(Z$1),v_data!$B$2:$L$2,0)))</f>
        <v/>
      </c>
      <c r="AA119" s="2" t="str">
        <f t="shared" si="206"/>
        <v/>
      </c>
      <c r="AB119" s="2" t="str">
        <f t="shared" si="207"/>
        <v/>
      </c>
      <c r="AC119" s="2">
        <f>(SUM(G119,I119,K119,M119,O119,Q119,S119,U119,W119,Y119,AA119)+IF(AND(G119&gt;0,I119&gt;0,K119&gt;0),100,0))*VLOOKUP(B119,variables!$A$2:$B$6,2,FALSE)</f>
        <v>80</v>
      </c>
      <c r="AD119" s="16" t="str">
        <f>IF($A119="","",INDEX(v_data!$B$2:$X$1000,MATCH($A119,v_data!$A$3:$A$1000,0)+1,MATCH(LOWER("hours"),v_data!$B$2:$X$2,0)))</f>
        <v/>
      </c>
    </row>
    <row r="120" spans="1:30" hidden="1" x14ac:dyDescent="0.25">
      <c r="A120" s="2" t="str">
        <f>IF(ISBLANK(v_data!A119),"",v_data!A119)</f>
        <v/>
      </c>
      <c r="B120" s="2" t="s">
        <v>22</v>
      </c>
      <c r="C120" s="2">
        <f>VLOOKUP(B120,variables!$A$2:$B$6,2,FALSE)</f>
        <v>0.8</v>
      </c>
      <c r="D120" s="4">
        <v>43826</v>
      </c>
      <c r="E120" s="4">
        <v>43431</v>
      </c>
      <c r="F120" s="2" t="str">
        <f>IF($A120="","",INDEX(v_data!$B$2:$L$1000,MATCH($A120,v_data!$A$3:$A$1000,0)+1,MATCH(LOWER(F$1),v_data!$B$2:$L$2,0)))</f>
        <v/>
      </c>
      <c r="G120" s="2" t="str">
        <f t="shared" si="196"/>
        <v/>
      </c>
      <c r="H120" s="2" t="str">
        <f>IF($A120="","",INDEX(v_data!$B$2:$L$1000,MATCH($A120,v_data!$A$3:$A$1000,0)+1,MATCH(LOWER(H$1),v_data!$B$2:$L$2,0)))</f>
        <v/>
      </c>
      <c r="I120" s="2" t="str">
        <f t="shared" si="197"/>
        <v/>
      </c>
      <c r="J120" s="2" t="str">
        <f>IF($A120="","",INDEX(v_data!$B$2:$L$1000,MATCH($A120,v_data!$A$3:$A$1000,0)+1,MATCH(LOWER(J$1),v_data!$B$2:$L$2,0)))</f>
        <v/>
      </c>
      <c r="K120" s="2" t="str">
        <f t="shared" si="198"/>
        <v/>
      </c>
      <c r="L120" s="2" t="str">
        <f>IF($A120="","",INDEX(v_data!$B$2:$L$1000,MATCH($A120,v_data!$A$3:$A$1000,0)+1,MATCH(LOWER(L$1),v_data!$B$2:$L$2,0)))</f>
        <v/>
      </c>
      <c r="M120" s="2" t="str">
        <f t="shared" si="199"/>
        <v/>
      </c>
      <c r="N120" s="2" t="str">
        <f>IF($A120="","",INDEX(v_data!$B$2:$L$1000,MATCH($A120,v_data!$A$3:$A$1000,0)+1,MATCH(LOWER(N$1),v_data!$B$2:$L$2,0)))</f>
        <v/>
      </c>
      <c r="O120" s="2" t="str">
        <f t="shared" si="200"/>
        <v/>
      </c>
      <c r="P120" s="2" t="str">
        <f>IF($A120="","",INDEX(v_data!$B$2:$L$1000,MATCH($A120,v_data!$A$3:$A$1000,0)+1,MATCH(LOWER(P$1),v_data!$B$2:$L$2,0)))</f>
        <v/>
      </c>
      <c r="Q120" s="2" t="str">
        <f t="shared" si="201"/>
        <v/>
      </c>
      <c r="R120" s="2" t="str">
        <f>IF($A120="","",INDEX(v_data!$B$2:$L$1000,MATCH($A120,v_data!$A$3:$A$1000,0)+1,MATCH(LOWER(R$1),v_data!$B$2:$L$2,0)))</f>
        <v/>
      </c>
      <c r="S120" s="2" t="str">
        <f t="shared" si="202"/>
        <v/>
      </c>
      <c r="T120" s="2" t="str">
        <f>IF($A120="","",INDEX(v_data!$B$2:$L$1000,MATCH($A120,v_data!$A$3:$A$1000,0)+1,MATCH(LOWER(T$1),v_data!$B$2:$L$2,0)))</f>
        <v/>
      </c>
      <c r="U120" s="2" t="str">
        <f t="shared" si="203"/>
        <v/>
      </c>
      <c r="V120" s="2" t="str">
        <f>IF($A120="","",INDEX(v_data!$B$2:$L$1000,MATCH($A120,v_data!$A$3:$A$1000,0)+1,MATCH(LOWER(V$1),v_data!$B$2:$L$2,0)))</f>
        <v/>
      </c>
      <c r="W120" s="2" t="str">
        <f t="shared" si="204"/>
        <v/>
      </c>
      <c r="X120" s="2" t="str">
        <f>IF($A120="","",INDEX(v_data!$B$2:$L$1000,MATCH($A120,v_data!$A$3:$A$1000,0)+1,MATCH(LOWER(X$1),v_data!$B$2:$L$2,0)))</f>
        <v/>
      </c>
      <c r="Y120" s="2" t="str">
        <f t="shared" si="205"/>
        <v/>
      </c>
      <c r="Z120" s="2" t="str">
        <f>IF($A120="","",INDEX(v_data!$B$2:$L$1000,MATCH($A120,v_data!$A$3:$A$1000,0)+1,MATCH(LOWER(Z$1),v_data!$B$2:$L$2,0)))</f>
        <v/>
      </c>
      <c r="AA120" s="2" t="str">
        <f t="shared" si="206"/>
        <v/>
      </c>
      <c r="AB120" s="2" t="str">
        <f t="shared" si="207"/>
        <v/>
      </c>
      <c r="AC120" s="2">
        <f>(SUM(G120,I120,K120,M120,O120,Q120,S120,U120,W120,Y120,AA120)+IF(AND(G120&gt;0,I120&gt;0,K120&gt;0),100,0))*VLOOKUP(B120,variables!$A$2:$B$6,2,FALSE)</f>
        <v>80</v>
      </c>
      <c r="AD120" s="16" t="str">
        <f>IF($A120="","",INDEX(v_data!$B$2:$X$1000,MATCH($A120,v_data!$A$3:$A$1000,0)+1,MATCH(LOWER("hours"),v_data!$B$2:$X$2,0)))</f>
        <v/>
      </c>
    </row>
    <row r="121" spans="1:30" hidden="1" x14ac:dyDescent="0.25">
      <c r="A121" s="2" t="str">
        <f>IF(ISBLANK(v_data!A120),"",v_data!A120)</f>
        <v/>
      </c>
      <c r="B121" s="2" t="s">
        <v>22</v>
      </c>
      <c r="C121" s="2">
        <f>VLOOKUP(B121,variables!$A$2:$B$6,2,FALSE)</f>
        <v>0.8</v>
      </c>
      <c r="D121" s="4">
        <v>43826</v>
      </c>
      <c r="E121" s="4">
        <v>43431</v>
      </c>
      <c r="F121" s="2" t="str">
        <f>IF($A121="","",INDEX(v_data!$B$2:$L$1000,MATCH($A121,v_data!$A$3:$A$1000,0)+1,MATCH(LOWER(F$1),v_data!$B$2:$L$2,0)))</f>
        <v/>
      </c>
      <c r="G121" s="2" t="str">
        <f t="shared" si="196"/>
        <v/>
      </c>
      <c r="H121" s="2" t="str">
        <f>IF($A121="","",INDEX(v_data!$B$2:$L$1000,MATCH($A121,v_data!$A$3:$A$1000,0)+1,MATCH(LOWER(H$1),v_data!$B$2:$L$2,0)))</f>
        <v/>
      </c>
      <c r="I121" s="2" t="str">
        <f t="shared" si="197"/>
        <v/>
      </c>
      <c r="J121" s="2" t="str">
        <f>IF($A121="","",INDEX(v_data!$B$2:$L$1000,MATCH($A121,v_data!$A$3:$A$1000,0)+1,MATCH(LOWER(J$1),v_data!$B$2:$L$2,0)))</f>
        <v/>
      </c>
      <c r="K121" s="2" t="str">
        <f t="shared" si="198"/>
        <v/>
      </c>
      <c r="L121" s="2" t="str">
        <f>IF($A121="","",INDEX(v_data!$B$2:$L$1000,MATCH($A121,v_data!$A$3:$A$1000,0)+1,MATCH(LOWER(L$1),v_data!$B$2:$L$2,0)))</f>
        <v/>
      </c>
      <c r="M121" s="2" t="str">
        <f t="shared" si="199"/>
        <v/>
      </c>
      <c r="N121" s="2" t="str">
        <f>IF($A121="","",INDEX(v_data!$B$2:$L$1000,MATCH($A121,v_data!$A$3:$A$1000,0)+1,MATCH(LOWER(N$1),v_data!$B$2:$L$2,0)))</f>
        <v/>
      </c>
      <c r="O121" s="2" t="str">
        <f t="shared" si="200"/>
        <v/>
      </c>
      <c r="P121" s="2" t="str">
        <f>IF($A121="","",INDEX(v_data!$B$2:$L$1000,MATCH($A121,v_data!$A$3:$A$1000,0)+1,MATCH(LOWER(P$1),v_data!$B$2:$L$2,0)))</f>
        <v/>
      </c>
      <c r="Q121" s="2" t="str">
        <f t="shared" si="201"/>
        <v/>
      </c>
      <c r="R121" s="2" t="str">
        <f>IF($A121="","",INDEX(v_data!$B$2:$L$1000,MATCH($A121,v_data!$A$3:$A$1000,0)+1,MATCH(LOWER(R$1),v_data!$B$2:$L$2,0)))</f>
        <v/>
      </c>
      <c r="S121" s="2" t="str">
        <f t="shared" si="202"/>
        <v/>
      </c>
      <c r="T121" s="2" t="str">
        <f>IF($A121="","",INDEX(v_data!$B$2:$L$1000,MATCH($A121,v_data!$A$3:$A$1000,0)+1,MATCH(LOWER(T$1),v_data!$B$2:$L$2,0)))</f>
        <v/>
      </c>
      <c r="U121" s="2" t="str">
        <f t="shared" si="203"/>
        <v/>
      </c>
      <c r="V121" s="2" t="str">
        <f>IF($A121="","",INDEX(v_data!$B$2:$L$1000,MATCH($A121,v_data!$A$3:$A$1000,0)+1,MATCH(LOWER(V$1),v_data!$B$2:$L$2,0)))</f>
        <v/>
      </c>
      <c r="W121" s="2" t="str">
        <f t="shared" si="204"/>
        <v/>
      </c>
      <c r="X121" s="2" t="str">
        <f>IF($A121="","",INDEX(v_data!$B$2:$L$1000,MATCH($A121,v_data!$A$3:$A$1000,0)+1,MATCH(LOWER(X$1),v_data!$B$2:$L$2,0)))</f>
        <v/>
      </c>
      <c r="Y121" s="2" t="str">
        <f t="shared" si="205"/>
        <v/>
      </c>
      <c r="Z121" s="2" t="str">
        <f>IF($A121="","",INDEX(v_data!$B$2:$L$1000,MATCH($A121,v_data!$A$3:$A$1000,0)+1,MATCH(LOWER(Z$1),v_data!$B$2:$L$2,0)))</f>
        <v/>
      </c>
      <c r="AA121" s="2" t="str">
        <f t="shared" si="206"/>
        <v/>
      </c>
      <c r="AB121" s="2" t="str">
        <f t="shared" si="207"/>
        <v/>
      </c>
      <c r="AC121" s="2">
        <f>(SUM(G121,I121,K121,M121,O121,Q121,S121,U121,W121,Y121,AA121)+IF(AND(G121&gt;0,I121&gt;0,K121&gt;0),100,0))*VLOOKUP(B121,variables!$A$2:$B$6,2,FALSE)</f>
        <v>80</v>
      </c>
      <c r="AD121" s="16" t="str">
        <f>IF($A121="","",INDEX(v_data!$B$2:$X$1000,MATCH($A121,v_data!$A$3:$A$1000,0)+1,MATCH(LOWER("hours"),v_data!$B$2:$X$2,0)))</f>
        <v/>
      </c>
    </row>
    <row r="122" spans="1:30" hidden="1" x14ac:dyDescent="0.25">
      <c r="A122" s="2" t="str">
        <f>IF(ISBLANK(v_data!A121),"",v_data!A121)</f>
        <v/>
      </c>
      <c r="B122" s="2" t="s">
        <v>22</v>
      </c>
      <c r="C122" s="2">
        <f>VLOOKUP(B122,variables!$A$2:$B$6,2,FALSE)</f>
        <v>0.8</v>
      </c>
      <c r="D122" s="4">
        <v>43826</v>
      </c>
      <c r="E122" s="4">
        <v>43431</v>
      </c>
      <c r="F122" s="2" t="str">
        <f>IF($A122="","",INDEX(v_data!$B$2:$L$1000,MATCH($A122,v_data!$A$3:$A$1000,0)+1,MATCH(LOWER(F$1),v_data!$B$2:$L$2,0)))</f>
        <v/>
      </c>
      <c r="G122" s="2" t="str">
        <f t="shared" si="196"/>
        <v/>
      </c>
      <c r="H122" s="2" t="str">
        <f>IF($A122="","",INDEX(v_data!$B$2:$L$1000,MATCH($A122,v_data!$A$3:$A$1000,0)+1,MATCH(LOWER(H$1),v_data!$B$2:$L$2,0)))</f>
        <v/>
      </c>
      <c r="I122" s="2" t="str">
        <f t="shared" si="197"/>
        <v/>
      </c>
      <c r="J122" s="2" t="str">
        <f>IF($A122="","",INDEX(v_data!$B$2:$L$1000,MATCH($A122,v_data!$A$3:$A$1000,0)+1,MATCH(LOWER(J$1),v_data!$B$2:$L$2,0)))</f>
        <v/>
      </c>
      <c r="K122" s="2" t="str">
        <f t="shared" si="198"/>
        <v/>
      </c>
      <c r="L122" s="2" t="str">
        <f>IF($A122="","",INDEX(v_data!$B$2:$L$1000,MATCH($A122,v_data!$A$3:$A$1000,0)+1,MATCH(LOWER(L$1),v_data!$B$2:$L$2,0)))</f>
        <v/>
      </c>
      <c r="M122" s="2" t="str">
        <f t="shared" si="199"/>
        <v/>
      </c>
      <c r="N122" s="2" t="str">
        <f>IF($A122="","",INDEX(v_data!$B$2:$L$1000,MATCH($A122,v_data!$A$3:$A$1000,0)+1,MATCH(LOWER(N$1),v_data!$B$2:$L$2,0)))</f>
        <v/>
      </c>
      <c r="O122" s="2" t="str">
        <f t="shared" si="200"/>
        <v/>
      </c>
      <c r="P122" s="2" t="str">
        <f>IF($A122="","",INDEX(v_data!$B$2:$L$1000,MATCH($A122,v_data!$A$3:$A$1000,0)+1,MATCH(LOWER(P$1),v_data!$B$2:$L$2,0)))</f>
        <v/>
      </c>
      <c r="Q122" s="2" t="str">
        <f t="shared" si="201"/>
        <v/>
      </c>
      <c r="R122" s="2" t="str">
        <f>IF($A122="","",INDEX(v_data!$B$2:$L$1000,MATCH($A122,v_data!$A$3:$A$1000,0)+1,MATCH(LOWER(R$1),v_data!$B$2:$L$2,0)))</f>
        <v/>
      </c>
      <c r="S122" s="2" t="str">
        <f t="shared" si="202"/>
        <v/>
      </c>
      <c r="T122" s="2" t="str">
        <f>IF($A122="","",INDEX(v_data!$B$2:$L$1000,MATCH($A122,v_data!$A$3:$A$1000,0)+1,MATCH(LOWER(T$1),v_data!$B$2:$L$2,0)))</f>
        <v/>
      </c>
      <c r="U122" s="2" t="str">
        <f t="shared" si="203"/>
        <v/>
      </c>
      <c r="V122" s="2" t="str">
        <f>IF($A122="","",INDEX(v_data!$B$2:$L$1000,MATCH($A122,v_data!$A$3:$A$1000,0)+1,MATCH(LOWER(V$1),v_data!$B$2:$L$2,0)))</f>
        <v/>
      </c>
      <c r="W122" s="2" t="str">
        <f t="shared" si="204"/>
        <v/>
      </c>
      <c r="X122" s="2" t="str">
        <f>IF($A122="","",INDEX(v_data!$B$2:$L$1000,MATCH($A122,v_data!$A$3:$A$1000,0)+1,MATCH(LOWER(X$1),v_data!$B$2:$L$2,0)))</f>
        <v/>
      </c>
      <c r="Y122" s="2" t="str">
        <f t="shared" si="205"/>
        <v/>
      </c>
      <c r="Z122" s="2" t="str">
        <f>IF($A122="","",INDEX(v_data!$B$2:$L$1000,MATCH($A122,v_data!$A$3:$A$1000,0)+1,MATCH(LOWER(Z$1),v_data!$B$2:$L$2,0)))</f>
        <v/>
      </c>
      <c r="AA122" s="2" t="str">
        <f t="shared" si="206"/>
        <v/>
      </c>
      <c r="AB122" s="2" t="str">
        <f t="shared" si="207"/>
        <v/>
      </c>
      <c r="AC122" s="2">
        <f>(SUM(G122,I122,K122,M122,O122,Q122,S122,U122,W122,Y122,AA122)+IF(AND(G122&gt;0,I122&gt;0,K122&gt;0),100,0))*VLOOKUP(B122,variables!$A$2:$B$6,2,FALSE)</f>
        <v>80</v>
      </c>
      <c r="AD122" s="16" t="str">
        <f>IF($A122="","",INDEX(v_data!$B$2:$X$1000,MATCH($A122,v_data!$A$3:$A$1000,0)+1,MATCH(LOWER("hours"),v_data!$B$2:$X$2,0)))</f>
        <v/>
      </c>
    </row>
    <row r="123" spans="1:30" hidden="1" x14ac:dyDescent="0.25">
      <c r="A123" s="2" t="str">
        <f>IF(ISBLANK(v_data!A122),"",v_data!A122)</f>
        <v/>
      </c>
      <c r="B123" s="2" t="s">
        <v>22</v>
      </c>
      <c r="C123" s="2">
        <f>VLOOKUP(B123,variables!$A$2:$B$6,2,FALSE)</f>
        <v>0.8</v>
      </c>
      <c r="D123" s="4">
        <v>43826</v>
      </c>
      <c r="E123" s="4">
        <v>43431</v>
      </c>
      <c r="F123" s="2" t="str">
        <f>IF($A123="","",INDEX(v_data!$B$2:$L$1000,MATCH($A123,v_data!$A$3:$A$1000,0)+1,MATCH(LOWER(F$1),v_data!$B$2:$L$2,0)))</f>
        <v/>
      </c>
      <c r="G123" s="2" t="str">
        <f t="shared" si="196"/>
        <v/>
      </c>
      <c r="H123" s="2" t="str">
        <f>IF($A123="","",INDEX(v_data!$B$2:$L$1000,MATCH($A123,v_data!$A$3:$A$1000,0)+1,MATCH(LOWER(H$1),v_data!$B$2:$L$2,0)))</f>
        <v/>
      </c>
      <c r="I123" s="2" t="str">
        <f t="shared" si="197"/>
        <v/>
      </c>
      <c r="J123" s="2" t="str">
        <f>IF($A123="","",INDEX(v_data!$B$2:$L$1000,MATCH($A123,v_data!$A$3:$A$1000,0)+1,MATCH(LOWER(J$1),v_data!$B$2:$L$2,0)))</f>
        <v/>
      </c>
      <c r="K123" s="2" t="str">
        <f t="shared" si="198"/>
        <v/>
      </c>
      <c r="L123" s="2" t="str">
        <f>IF($A123="","",INDEX(v_data!$B$2:$L$1000,MATCH($A123,v_data!$A$3:$A$1000,0)+1,MATCH(LOWER(L$1),v_data!$B$2:$L$2,0)))</f>
        <v/>
      </c>
      <c r="M123" s="2" t="str">
        <f t="shared" si="199"/>
        <v/>
      </c>
      <c r="N123" s="2" t="str">
        <f>IF($A123="","",INDEX(v_data!$B$2:$L$1000,MATCH($A123,v_data!$A$3:$A$1000,0)+1,MATCH(LOWER(N$1),v_data!$B$2:$L$2,0)))</f>
        <v/>
      </c>
      <c r="O123" s="2" t="str">
        <f t="shared" si="200"/>
        <v/>
      </c>
      <c r="P123" s="2" t="str">
        <f>IF($A123="","",INDEX(v_data!$B$2:$L$1000,MATCH($A123,v_data!$A$3:$A$1000,0)+1,MATCH(LOWER(P$1),v_data!$B$2:$L$2,0)))</f>
        <v/>
      </c>
      <c r="Q123" s="2" t="str">
        <f t="shared" si="201"/>
        <v/>
      </c>
      <c r="R123" s="2" t="str">
        <f>IF($A123="","",INDEX(v_data!$B$2:$L$1000,MATCH($A123,v_data!$A$3:$A$1000,0)+1,MATCH(LOWER(R$1),v_data!$B$2:$L$2,0)))</f>
        <v/>
      </c>
      <c r="S123" s="2" t="str">
        <f t="shared" si="202"/>
        <v/>
      </c>
      <c r="T123" s="2" t="str">
        <f>IF($A123="","",INDEX(v_data!$B$2:$L$1000,MATCH($A123,v_data!$A$3:$A$1000,0)+1,MATCH(LOWER(T$1),v_data!$B$2:$L$2,0)))</f>
        <v/>
      </c>
      <c r="U123" s="2" t="str">
        <f t="shared" si="203"/>
        <v/>
      </c>
      <c r="V123" s="2" t="str">
        <f>IF($A123="","",INDEX(v_data!$B$2:$L$1000,MATCH($A123,v_data!$A$3:$A$1000,0)+1,MATCH(LOWER(V$1),v_data!$B$2:$L$2,0)))</f>
        <v/>
      </c>
      <c r="W123" s="2" t="str">
        <f t="shared" si="204"/>
        <v/>
      </c>
      <c r="X123" s="2" t="str">
        <f>IF($A123="","",INDEX(v_data!$B$2:$L$1000,MATCH($A123,v_data!$A$3:$A$1000,0)+1,MATCH(LOWER(X$1),v_data!$B$2:$L$2,0)))</f>
        <v/>
      </c>
      <c r="Y123" s="2" t="str">
        <f t="shared" si="205"/>
        <v/>
      </c>
      <c r="Z123" s="2" t="str">
        <f>IF($A123="","",INDEX(v_data!$B$2:$L$1000,MATCH($A123,v_data!$A$3:$A$1000,0)+1,MATCH(LOWER(Z$1),v_data!$B$2:$L$2,0)))</f>
        <v/>
      </c>
      <c r="AA123" s="2" t="str">
        <f t="shared" si="206"/>
        <v/>
      </c>
      <c r="AB123" s="2" t="str">
        <f t="shared" si="207"/>
        <v/>
      </c>
      <c r="AC123" s="2">
        <f>(SUM(G123,I123,K123,M123,O123,Q123,S123,U123,W123,Y123,AA123)+IF(AND(G123&gt;0,I123&gt;0,K123&gt;0),100,0))*VLOOKUP(B123,variables!$A$2:$B$6,2,FALSE)</f>
        <v>80</v>
      </c>
      <c r="AD123" s="16" t="str">
        <f>IF($A123="","",INDEX(v_data!$B$2:$X$1000,MATCH($A123,v_data!$A$3:$A$1000,0)+1,MATCH(LOWER("hours"),v_data!$B$2:$X$2,0)))</f>
        <v/>
      </c>
    </row>
    <row r="124" spans="1:30" hidden="1" x14ac:dyDescent="0.25">
      <c r="A124" s="2" t="str">
        <f>IF(ISBLANK(v_data!A123),"",v_data!A123)</f>
        <v/>
      </c>
      <c r="B124" s="2" t="s">
        <v>22</v>
      </c>
      <c r="C124" s="2">
        <f>VLOOKUP(B124,variables!$A$2:$B$6,2,FALSE)</f>
        <v>0.8</v>
      </c>
      <c r="D124" s="4">
        <v>43826</v>
      </c>
      <c r="E124" s="4">
        <v>43431</v>
      </c>
      <c r="F124" s="2" t="str">
        <f>IF($A124="","",INDEX(v_data!$B$2:$L$1000,MATCH($A124,v_data!$A$3:$A$1000,0)+1,MATCH(LOWER(F$1),v_data!$B$2:$L$2,0)))</f>
        <v/>
      </c>
      <c r="G124" s="2" t="str">
        <f t="shared" si="196"/>
        <v/>
      </c>
      <c r="H124" s="2" t="str">
        <f>IF($A124="","",INDEX(v_data!$B$2:$L$1000,MATCH($A124,v_data!$A$3:$A$1000,0)+1,MATCH(LOWER(H$1),v_data!$B$2:$L$2,0)))</f>
        <v/>
      </c>
      <c r="I124" s="2" t="str">
        <f t="shared" si="197"/>
        <v/>
      </c>
      <c r="J124" s="2" t="str">
        <f>IF($A124="","",INDEX(v_data!$B$2:$L$1000,MATCH($A124,v_data!$A$3:$A$1000,0)+1,MATCH(LOWER(J$1),v_data!$B$2:$L$2,0)))</f>
        <v/>
      </c>
      <c r="K124" s="2" t="str">
        <f t="shared" si="198"/>
        <v/>
      </c>
      <c r="L124" s="2" t="str">
        <f>IF($A124="","",INDEX(v_data!$B$2:$L$1000,MATCH($A124,v_data!$A$3:$A$1000,0)+1,MATCH(LOWER(L$1),v_data!$B$2:$L$2,0)))</f>
        <v/>
      </c>
      <c r="M124" s="2" t="str">
        <f t="shared" si="199"/>
        <v/>
      </c>
      <c r="N124" s="2" t="str">
        <f>IF($A124="","",INDEX(v_data!$B$2:$L$1000,MATCH($A124,v_data!$A$3:$A$1000,0)+1,MATCH(LOWER(N$1),v_data!$B$2:$L$2,0)))</f>
        <v/>
      </c>
      <c r="O124" s="2" t="str">
        <f t="shared" si="200"/>
        <v/>
      </c>
      <c r="P124" s="2" t="str">
        <f>IF($A124="","",INDEX(v_data!$B$2:$L$1000,MATCH($A124,v_data!$A$3:$A$1000,0)+1,MATCH(LOWER(P$1),v_data!$B$2:$L$2,0)))</f>
        <v/>
      </c>
      <c r="Q124" s="2" t="str">
        <f t="shared" si="201"/>
        <v/>
      </c>
      <c r="R124" s="2" t="str">
        <f>IF($A124="","",INDEX(v_data!$B$2:$L$1000,MATCH($A124,v_data!$A$3:$A$1000,0)+1,MATCH(LOWER(R$1),v_data!$B$2:$L$2,0)))</f>
        <v/>
      </c>
      <c r="S124" s="2" t="str">
        <f t="shared" si="202"/>
        <v/>
      </c>
      <c r="T124" s="2" t="str">
        <f>IF($A124="","",INDEX(v_data!$B$2:$L$1000,MATCH($A124,v_data!$A$3:$A$1000,0)+1,MATCH(LOWER(T$1),v_data!$B$2:$L$2,0)))</f>
        <v/>
      </c>
      <c r="U124" s="2" t="str">
        <f t="shared" si="203"/>
        <v/>
      </c>
      <c r="V124" s="2" t="str">
        <f>IF($A124="","",INDEX(v_data!$B$2:$L$1000,MATCH($A124,v_data!$A$3:$A$1000,0)+1,MATCH(LOWER(V$1),v_data!$B$2:$L$2,0)))</f>
        <v/>
      </c>
      <c r="W124" s="2" t="str">
        <f t="shared" si="204"/>
        <v/>
      </c>
      <c r="X124" s="2" t="str">
        <f>IF($A124="","",INDEX(v_data!$B$2:$L$1000,MATCH($A124,v_data!$A$3:$A$1000,0)+1,MATCH(LOWER(X$1),v_data!$B$2:$L$2,0)))</f>
        <v/>
      </c>
      <c r="Y124" s="2" t="str">
        <f t="shared" si="205"/>
        <v/>
      </c>
      <c r="Z124" s="2" t="str">
        <f>IF($A124="","",INDEX(v_data!$B$2:$L$1000,MATCH($A124,v_data!$A$3:$A$1000,0)+1,MATCH(LOWER(Z$1),v_data!$B$2:$L$2,0)))</f>
        <v/>
      </c>
      <c r="AA124" s="2" t="str">
        <f t="shared" si="206"/>
        <v/>
      </c>
      <c r="AB124" s="2" t="str">
        <f t="shared" si="207"/>
        <v/>
      </c>
      <c r="AC124" s="2">
        <f>(SUM(G124,I124,K124,M124,O124,Q124,S124,U124,W124,Y124,AA124)+IF(AND(G124&gt;0,I124&gt;0,K124&gt;0),100,0))*VLOOKUP(B124,variables!$A$2:$B$6,2,FALSE)</f>
        <v>80</v>
      </c>
      <c r="AD124" s="16" t="str">
        <f>IF($A124="","",INDEX(v_data!$B$2:$X$1000,MATCH($A124,v_data!$A$3:$A$1000,0)+1,MATCH(LOWER("hours"),v_data!$B$2:$X$2,0)))</f>
        <v/>
      </c>
    </row>
    <row r="125" spans="1:30" hidden="1" x14ac:dyDescent="0.25">
      <c r="A125" s="2" t="str">
        <f>IF(ISBLANK(v_data!A124),"",v_data!A124)</f>
        <v/>
      </c>
      <c r="B125" s="2" t="s">
        <v>22</v>
      </c>
      <c r="C125" s="2">
        <f>VLOOKUP(B125,variables!$A$2:$B$6,2,FALSE)</f>
        <v>0.8</v>
      </c>
      <c r="D125" s="4">
        <v>43826</v>
      </c>
      <c r="E125" s="4">
        <v>43431</v>
      </c>
      <c r="F125" s="2" t="str">
        <f>IF($A125="","",INDEX(v_data!$B$2:$L$1000,MATCH($A125,v_data!$A$3:$A$1000,0)+1,MATCH(LOWER(F$1),v_data!$B$2:$L$2,0)))</f>
        <v/>
      </c>
      <c r="G125" s="2" t="str">
        <f t="shared" si="196"/>
        <v/>
      </c>
      <c r="H125" s="2" t="str">
        <f>IF($A125="","",INDEX(v_data!$B$2:$L$1000,MATCH($A125,v_data!$A$3:$A$1000,0)+1,MATCH(LOWER(H$1),v_data!$B$2:$L$2,0)))</f>
        <v/>
      </c>
      <c r="I125" s="2" t="str">
        <f t="shared" si="197"/>
        <v/>
      </c>
      <c r="J125" s="2" t="str">
        <f>IF($A125="","",INDEX(v_data!$B$2:$L$1000,MATCH($A125,v_data!$A$3:$A$1000,0)+1,MATCH(LOWER(J$1),v_data!$B$2:$L$2,0)))</f>
        <v/>
      </c>
      <c r="K125" s="2" t="str">
        <f t="shared" si="198"/>
        <v/>
      </c>
      <c r="L125" s="2" t="str">
        <f>IF($A125="","",INDEX(v_data!$B$2:$L$1000,MATCH($A125,v_data!$A$3:$A$1000,0)+1,MATCH(LOWER(L$1),v_data!$B$2:$L$2,0)))</f>
        <v/>
      </c>
      <c r="M125" s="2" t="str">
        <f t="shared" si="199"/>
        <v/>
      </c>
      <c r="N125" s="2" t="str">
        <f>IF($A125="","",INDEX(v_data!$B$2:$L$1000,MATCH($A125,v_data!$A$3:$A$1000,0)+1,MATCH(LOWER(N$1),v_data!$B$2:$L$2,0)))</f>
        <v/>
      </c>
      <c r="O125" s="2" t="str">
        <f t="shared" si="200"/>
        <v/>
      </c>
      <c r="P125" s="2" t="str">
        <f>IF($A125="","",INDEX(v_data!$B$2:$L$1000,MATCH($A125,v_data!$A$3:$A$1000,0)+1,MATCH(LOWER(P$1),v_data!$B$2:$L$2,0)))</f>
        <v/>
      </c>
      <c r="Q125" s="2" t="str">
        <f t="shared" si="201"/>
        <v/>
      </c>
      <c r="R125" s="2" t="str">
        <f>IF($A125="","",INDEX(v_data!$B$2:$L$1000,MATCH($A125,v_data!$A$3:$A$1000,0)+1,MATCH(LOWER(R$1),v_data!$B$2:$L$2,0)))</f>
        <v/>
      </c>
      <c r="S125" s="2" t="str">
        <f t="shared" si="202"/>
        <v/>
      </c>
      <c r="T125" s="2" t="str">
        <f>IF($A125="","",INDEX(v_data!$B$2:$L$1000,MATCH($A125,v_data!$A$3:$A$1000,0)+1,MATCH(LOWER(T$1),v_data!$B$2:$L$2,0)))</f>
        <v/>
      </c>
      <c r="U125" s="2" t="str">
        <f t="shared" si="203"/>
        <v/>
      </c>
      <c r="V125" s="2" t="str">
        <f>IF($A125="","",INDEX(v_data!$B$2:$L$1000,MATCH($A125,v_data!$A$3:$A$1000,0)+1,MATCH(LOWER(V$1),v_data!$B$2:$L$2,0)))</f>
        <v/>
      </c>
      <c r="W125" s="2" t="str">
        <f t="shared" si="204"/>
        <v/>
      </c>
      <c r="X125" s="2" t="str">
        <f>IF($A125="","",INDEX(v_data!$B$2:$L$1000,MATCH($A125,v_data!$A$3:$A$1000,0)+1,MATCH(LOWER(X$1),v_data!$B$2:$L$2,0)))</f>
        <v/>
      </c>
      <c r="Y125" s="2" t="str">
        <f t="shared" si="205"/>
        <v/>
      </c>
      <c r="Z125" s="2" t="str">
        <f>IF($A125="","",INDEX(v_data!$B$2:$L$1000,MATCH($A125,v_data!$A$3:$A$1000,0)+1,MATCH(LOWER(Z$1),v_data!$B$2:$L$2,0)))</f>
        <v/>
      </c>
      <c r="AA125" s="2" t="str">
        <f t="shared" si="206"/>
        <v/>
      </c>
      <c r="AB125" s="2" t="str">
        <f t="shared" si="207"/>
        <v/>
      </c>
      <c r="AC125" s="2">
        <f>(SUM(G125,I125,K125,M125,O125,Q125,S125,U125,W125,Y125,AA125)+IF(AND(G125&gt;0,I125&gt;0,K125&gt;0),100,0))*VLOOKUP(B125,variables!$A$2:$B$6,2,FALSE)</f>
        <v>80</v>
      </c>
      <c r="AD125" s="16" t="str">
        <f>IF($A125="","",INDEX(v_data!$B$2:$X$1000,MATCH($A125,v_data!$A$3:$A$1000,0)+1,MATCH(LOWER("hours"),v_data!$B$2:$X$2,0)))</f>
        <v/>
      </c>
    </row>
    <row r="126" spans="1:30" hidden="1" x14ac:dyDescent="0.25">
      <c r="A126" s="2" t="str">
        <f>IF(ISBLANK(v_data!A125),"",v_data!A125)</f>
        <v/>
      </c>
      <c r="B126" s="2" t="s">
        <v>22</v>
      </c>
      <c r="C126" s="2">
        <f>VLOOKUP(B126,variables!$A$2:$B$6,2,FALSE)</f>
        <v>0.8</v>
      </c>
      <c r="D126" s="4">
        <v>43826</v>
      </c>
      <c r="E126" s="4">
        <v>43431</v>
      </c>
      <c r="F126" s="2" t="str">
        <f>IF($A126="","",INDEX(v_data!$B$2:$L$1000,MATCH($A126,v_data!$A$3:$A$1000,0)+1,MATCH(LOWER(F$1),v_data!$B$2:$L$2,0)))</f>
        <v/>
      </c>
      <c r="G126" s="2" t="str">
        <f t="shared" si="196"/>
        <v/>
      </c>
      <c r="H126" s="2" t="str">
        <f>IF($A126="","",INDEX(v_data!$B$2:$L$1000,MATCH($A126,v_data!$A$3:$A$1000,0)+1,MATCH(LOWER(H$1),v_data!$B$2:$L$2,0)))</f>
        <v/>
      </c>
      <c r="I126" s="2" t="str">
        <f t="shared" si="197"/>
        <v/>
      </c>
      <c r="J126" s="2" t="str">
        <f>IF($A126="","",INDEX(v_data!$B$2:$L$1000,MATCH($A126,v_data!$A$3:$A$1000,0)+1,MATCH(LOWER(J$1),v_data!$B$2:$L$2,0)))</f>
        <v/>
      </c>
      <c r="K126" s="2" t="str">
        <f t="shared" si="198"/>
        <v/>
      </c>
      <c r="L126" s="2" t="str">
        <f>IF($A126="","",INDEX(v_data!$B$2:$L$1000,MATCH($A126,v_data!$A$3:$A$1000,0)+1,MATCH(LOWER(L$1),v_data!$B$2:$L$2,0)))</f>
        <v/>
      </c>
      <c r="M126" s="2" t="str">
        <f t="shared" si="199"/>
        <v/>
      </c>
      <c r="N126" s="2" t="str">
        <f>IF($A126="","",INDEX(v_data!$B$2:$L$1000,MATCH($A126,v_data!$A$3:$A$1000,0)+1,MATCH(LOWER(N$1),v_data!$B$2:$L$2,0)))</f>
        <v/>
      </c>
      <c r="O126" s="2" t="str">
        <f t="shared" si="200"/>
        <v/>
      </c>
      <c r="P126" s="2" t="str">
        <f>IF($A126="","",INDEX(v_data!$B$2:$L$1000,MATCH($A126,v_data!$A$3:$A$1000,0)+1,MATCH(LOWER(P$1),v_data!$B$2:$L$2,0)))</f>
        <v/>
      </c>
      <c r="Q126" s="2" t="str">
        <f t="shared" si="201"/>
        <v/>
      </c>
      <c r="R126" s="2" t="str">
        <f>IF($A126="","",INDEX(v_data!$B$2:$L$1000,MATCH($A126,v_data!$A$3:$A$1000,0)+1,MATCH(LOWER(R$1),v_data!$B$2:$L$2,0)))</f>
        <v/>
      </c>
      <c r="S126" s="2" t="str">
        <f t="shared" si="202"/>
        <v/>
      </c>
      <c r="T126" s="2" t="str">
        <f>IF($A126="","",INDEX(v_data!$B$2:$L$1000,MATCH($A126,v_data!$A$3:$A$1000,0)+1,MATCH(LOWER(T$1),v_data!$B$2:$L$2,0)))</f>
        <v/>
      </c>
      <c r="U126" s="2" t="str">
        <f t="shared" si="203"/>
        <v/>
      </c>
      <c r="V126" s="2" t="str">
        <f>IF($A126="","",INDEX(v_data!$B$2:$L$1000,MATCH($A126,v_data!$A$3:$A$1000,0)+1,MATCH(LOWER(V$1),v_data!$B$2:$L$2,0)))</f>
        <v/>
      </c>
      <c r="W126" s="2" t="str">
        <f t="shared" si="204"/>
        <v/>
      </c>
      <c r="X126" s="2" t="str">
        <f>IF($A126="","",INDEX(v_data!$B$2:$L$1000,MATCH($A126,v_data!$A$3:$A$1000,0)+1,MATCH(LOWER(X$1),v_data!$B$2:$L$2,0)))</f>
        <v/>
      </c>
      <c r="Y126" s="2" t="str">
        <f t="shared" si="205"/>
        <v/>
      </c>
      <c r="Z126" s="2" t="str">
        <f>IF($A126="","",INDEX(v_data!$B$2:$L$1000,MATCH($A126,v_data!$A$3:$A$1000,0)+1,MATCH(LOWER(Z$1),v_data!$B$2:$L$2,0)))</f>
        <v/>
      </c>
      <c r="AA126" s="2" t="str">
        <f t="shared" si="206"/>
        <v/>
      </c>
      <c r="AB126" s="2" t="str">
        <f t="shared" si="207"/>
        <v/>
      </c>
      <c r="AC126" s="2">
        <f>(SUM(G126,I126,K126,M126,O126,Q126,S126,U126,W126,Y126,AA126)+IF(AND(G126&gt;0,I126&gt;0,K126&gt;0),100,0))*VLOOKUP(B126,variables!$A$2:$B$6,2,FALSE)</f>
        <v>80</v>
      </c>
      <c r="AD126" s="16" t="str">
        <f>IF($A126="","",INDEX(v_data!$B$2:$X$1000,MATCH($A126,v_data!$A$3:$A$1000,0)+1,MATCH(LOWER("hours"),v_data!$B$2:$X$2,0)))</f>
        <v/>
      </c>
    </row>
    <row r="127" spans="1:30" hidden="1" x14ac:dyDescent="0.25">
      <c r="A127" s="2" t="str">
        <f>IF(ISBLANK(v_data!A126),"",v_data!A126)</f>
        <v/>
      </c>
      <c r="B127" s="2" t="s">
        <v>22</v>
      </c>
      <c r="C127" s="2">
        <f>VLOOKUP(B127,variables!$A$2:$B$6,2,FALSE)</f>
        <v>0.8</v>
      </c>
      <c r="D127" s="4">
        <v>43826</v>
      </c>
      <c r="E127" s="4">
        <v>43431</v>
      </c>
      <c r="F127" s="2" t="str">
        <f>IF($A127="","",INDEX(v_data!$B$2:$L$1000,MATCH($A127,v_data!$A$3:$A$1000,0)+1,MATCH(LOWER(F$1),v_data!$B$2:$L$2,0)))</f>
        <v/>
      </c>
      <c r="G127" s="2" t="str">
        <f t="shared" si="196"/>
        <v/>
      </c>
      <c r="H127" s="2" t="str">
        <f>IF($A127="","",INDEX(v_data!$B$2:$L$1000,MATCH($A127,v_data!$A$3:$A$1000,0)+1,MATCH(LOWER(H$1),v_data!$B$2:$L$2,0)))</f>
        <v/>
      </c>
      <c r="I127" s="2" t="str">
        <f t="shared" si="197"/>
        <v/>
      </c>
      <c r="J127" s="2" t="str">
        <f>IF($A127="","",INDEX(v_data!$B$2:$L$1000,MATCH($A127,v_data!$A$3:$A$1000,0)+1,MATCH(LOWER(J$1),v_data!$B$2:$L$2,0)))</f>
        <v/>
      </c>
      <c r="K127" s="2" t="str">
        <f t="shared" si="198"/>
        <v/>
      </c>
      <c r="L127" s="2" t="str">
        <f>IF($A127="","",INDEX(v_data!$B$2:$L$1000,MATCH($A127,v_data!$A$3:$A$1000,0)+1,MATCH(LOWER(L$1),v_data!$B$2:$L$2,0)))</f>
        <v/>
      </c>
      <c r="M127" s="2" t="str">
        <f t="shared" si="199"/>
        <v/>
      </c>
      <c r="N127" s="2" t="str">
        <f>IF($A127="","",INDEX(v_data!$B$2:$L$1000,MATCH($A127,v_data!$A$3:$A$1000,0)+1,MATCH(LOWER(N$1),v_data!$B$2:$L$2,0)))</f>
        <v/>
      </c>
      <c r="O127" s="2" t="str">
        <f t="shared" si="200"/>
        <v/>
      </c>
      <c r="P127" s="2" t="str">
        <f>IF($A127="","",INDEX(v_data!$B$2:$L$1000,MATCH($A127,v_data!$A$3:$A$1000,0)+1,MATCH(LOWER(P$1),v_data!$B$2:$L$2,0)))</f>
        <v/>
      </c>
      <c r="Q127" s="2" t="str">
        <f t="shared" si="201"/>
        <v/>
      </c>
      <c r="R127" s="2" t="str">
        <f>IF($A127="","",INDEX(v_data!$B$2:$L$1000,MATCH($A127,v_data!$A$3:$A$1000,0)+1,MATCH(LOWER(R$1),v_data!$B$2:$L$2,0)))</f>
        <v/>
      </c>
      <c r="S127" s="2" t="str">
        <f t="shared" si="202"/>
        <v/>
      </c>
      <c r="T127" s="2" t="str">
        <f>IF($A127="","",INDEX(v_data!$B$2:$L$1000,MATCH($A127,v_data!$A$3:$A$1000,0)+1,MATCH(LOWER(T$1),v_data!$B$2:$L$2,0)))</f>
        <v/>
      </c>
      <c r="U127" s="2" t="str">
        <f t="shared" si="203"/>
        <v/>
      </c>
      <c r="V127" s="2" t="str">
        <f>IF($A127="","",INDEX(v_data!$B$2:$L$1000,MATCH($A127,v_data!$A$3:$A$1000,0)+1,MATCH(LOWER(V$1),v_data!$B$2:$L$2,0)))</f>
        <v/>
      </c>
      <c r="W127" s="2" t="str">
        <f t="shared" si="204"/>
        <v/>
      </c>
      <c r="X127" s="2" t="str">
        <f>IF($A127="","",INDEX(v_data!$B$2:$L$1000,MATCH($A127,v_data!$A$3:$A$1000,0)+1,MATCH(LOWER(X$1),v_data!$B$2:$L$2,0)))</f>
        <v/>
      </c>
      <c r="Y127" s="2" t="str">
        <f t="shared" si="205"/>
        <v/>
      </c>
      <c r="Z127" s="2" t="str">
        <f>IF($A127="","",INDEX(v_data!$B$2:$L$1000,MATCH($A127,v_data!$A$3:$A$1000,0)+1,MATCH(LOWER(Z$1),v_data!$B$2:$L$2,0)))</f>
        <v/>
      </c>
      <c r="AA127" s="2" t="str">
        <f t="shared" si="206"/>
        <v/>
      </c>
      <c r="AB127" s="2" t="str">
        <f t="shared" si="207"/>
        <v/>
      </c>
      <c r="AC127" s="2">
        <f>(SUM(G127,I127,K127,M127,O127,Q127,S127,U127,W127,Y127,AA127)+IF(AND(G127&gt;0,I127&gt;0,K127&gt;0),100,0))*VLOOKUP(B127,variables!$A$2:$B$6,2,FALSE)</f>
        <v>80</v>
      </c>
      <c r="AD127" s="16" t="str">
        <f>IF($A127="","",INDEX(v_data!$B$2:$X$1000,MATCH($A127,v_data!$A$3:$A$1000,0)+1,MATCH(LOWER("hours"),v_data!$B$2:$X$2,0)))</f>
        <v/>
      </c>
    </row>
    <row r="128" spans="1:30" hidden="1" x14ac:dyDescent="0.25">
      <c r="A128" s="2" t="str">
        <f>IF(ISBLANK(v_data!A127),"",v_data!A127)</f>
        <v/>
      </c>
      <c r="B128" s="2" t="s">
        <v>22</v>
      </c>
      <c r="C128" s="2">
        <f>VLOOKUP(B128,variables!$A$2:$B$6,2,FALSE)</f>
        <v>0.8</v>
      </c>
      <c r="D128" s="4">
        <v>43826</v>
      </c>
      <c r="E128" s="4">
        <v>43431</v>
      </c>
      <c r="F128" s="2" t="str">
        <f>IF($A128="","",INDEX(v_data!$B$2:$L$1000,MATCH($A128,v_data!$A$3:$A$1000,0)+1,MATCH(LOWER(F$1),v_data!$B$2:$L$2,0)))</f>
        <v/>
      </c>
      <c r="G128" s="2" t="str">
        <f t="shared" si="196"/>
        <v/>
      </c>
      <c r="H128" s="2" t="str">
        <f>IF($A128="","",INDEX(v_data!$B$2:$L$1000,MATCH($A128,v_data!$A$3:$A$1000,0)+1,MATCH(LOWER(H$1),v_data!$B$2:$L$2,0)))</f>
        <v/>
      </c>
      <c r="I128" s="2" t="str">
        <f t="shared" si="197"/>
        <v/>
      </c>
      <c r="J128" s="2" t="str">
        <f>IF($A128="","",INDEX(v_data!$B$2:$L$1000,MATCH($A128,v_data!$A$3:$A$1000,0)+1,MATCH(LOWER(J$1),v_data!$B$2:$L$2,0)))</f>
        <v/>
      </c>
      <c r="K128" s="2" t="str">
        <f t="shared" si="198"/>
        <v/>
      </c>
      <c r="L128" s="2" t="str">
        <f>IF($A128="","",INDEX(v_data!$B$2:$L$1000,MATCH($A128,v_data!$A$3:$A$1000,0)+1,MATCH(LOWER(L$1),v_data!$B$2:$L$2,0)))</f>
        <v/>
      </c>
      <c r="M128" s="2" t="str">
        <f t="shared" si="199"/>
        <v/>
      </c>
      <c r="N128" s="2" t="str">
        <f>IF($A128="","",INDEX(v_data!$B$2:$L$1000,MATCH($A128,v_data!$A$3:$A$1000,0)+1,MATCH(LOWER(N$1),v_data!$B$2:$L$2,0)))</f>
        <v/>
      </c>
      <c r="O128" s="2" t="str">
        <f t="shared" si="200"/>
        <v/>
      </c>
      <c r="P128" s="2" t="str">
        <f>IF($A128="","",INDEX(v_data!$B$2:$L$1000,MATCH($A128,v_data!$A$3:$A$1000,0)+1,MATCH(LOWER(P$1),v_data!$B$2:$L$2,0)))</f>
        <v/>
      </c>
      <c r="Q128" s="2" t="str">
        <f t="shared" si="201"/>
        <v/>
      </c>
      <c r="R128" s="2" t="str">
        <f>IF($A128="","",INDEX(v_data!$B$2:$L$1000,MATCH($A128,v_data!$A$3:$A$1000,0)+1,MATCH(LOWER(R$1),v_data!$B$2:$L$2,0)))</f>
        <v/>
      </c>
      <c r="S128" s="2" t="str">
        <f t="shared" si="202"/>
        <v/>
      </c>
      <c r="T128" s="2" t="str">
        <f>IF($A128="","",INDEX(v_data!$B$2:$L$1000,MATCH($A128,v_data!$A$3:$A$1000,0)+1,MATCH(LOWER(T$1),v_data!$B$2:$L$2,0)))</f>
        <v/>
      </c>
      <c r="U128" s="2" t="str">
        <f t="shared" si="203"/>
        <v/>
      </c>
      <c r="V128" s="2" t="str">
        <f>IF($A128="","",INDEX(v_data!$B$2:$L$1000,MATCH($A128,v_data!$A$3:$A$1000,0)+1,MATCH(LOWER(V$1),v_data!$B$2:$L$2,0)))</f>
        <v/>
      </c>
      <c r="W128" s="2" t="str">
        <f t="shared" si="204"/>
        <v/>
      </c>
      <c r="X128" s="2" t="str">
        <f>IF($A128="","",INDEX(v_data!$B$2:$L$1000,MATCH($A128,v_data!$A$3:$A$1000,0)+1,MATCH(LOWER(X$1),v_data!$B$2:$L$2,0)))</f>
        <v/>
      </c>
      <c r="Y128" s="2" t="str">
        <f t="shared" si="205"/>
        <v/>
      </c>
      <c r="Z128" s="2" t="str">
        <f>IF($A128="","",INDEX(v_data!$B$2:$L$1000,MATCH($A128,v_data!$A$3:$A$1000,0)+1,MATCH(LOWER(Z$1),v_data!$B$2:$L$2,0)))</f>
        <v/>
      </c>
      <c r="AA128" s="2" t="str">
        <f t="shared" si="206"/>
        <v/>
      </c>
      <c r="AB128" s="2" t="str">
        <f t="shared" si="207"/>
        <v/>
      </c>
      <c r="AC128" s="2">
        <f>(SUM(G128,I128,K128,M128,O128,Q128,S128,U128,W128,Y128,AA128)+IF(AND(G128&gt;0,I128&gt;0,K128&gt;0),100,0))*VLOOKUP(B128,variables!$A$2:$B$6,2,FALSE)</f>
        <v>80</v>
      </c>
      <c r="AD128" s="16" t="str">
        <f>IF($A128="","",INDEX(v_data!$B$2:$X$1000,MATCH($A128,v_data!$A$3:$A$1000,0)+1,MATCH(LOWER("hours"),v_data!$B$2:$X$2,0)))</f>
        <v/>
      </c>
    </row>
    <row r="129" spans="1:30" hidden="1" x14ac:dyDescent="0.25">
      <c r="A129" s="2" t="str">
        <f>IF(ISBLANK(v_data!A128),"",v_data!A128)</f>
        <v/>
      </c>
      <c r="B129" s="2" t="s">
        <v>22</v>
      </c>
      <c r="C129" s="2">
        <f>VLOOKUP(B129,variables!$A$2:$B$6,2,FALSE)</f>
        <v>0.8</v>
      </c>
      <c r="D129" s="4">
        <v>43826</v>
      </c>
      <c r="E129" s="4">
        <v>43431</v>
      </c>
      <c r="F129" s="2" t="str">
        <f>IF($A129="","",INDEX(v_data!$B$2:$L$1000,MATCH($A129,v_data!$A$3:$A$1000,0)+1,MATCH(LOWER(F$1),v_data!$B$2:$L$2,0)))</f>
        <v/>
      </c>
      <c r="G129" s="2" t="str">
        <f t="shared" si="196"/>
        <v/>
      </c>
      <c r="H129" s="2" t="str">
        <f>IF($A129="","",INDEX(v_data!$B$2:$L$1000,MATCH($A129,v_data!$A$3:$A$1000,0)+1,MATCH(LOWER(H$1),v_data!$B$2:$L$2,0)))</f>
        <v/>
      </c>
      <c r="I129" s="2" t="str">
        <f t="shared" si="197"/>
        <v/>
      </c>
      <c r="J129" s="2" t="str">
        <f>IF($A129="","",INDEX(v_data!$B$2:$L$1000,MATCH($A129,v_data!$A$3:$A$1000,0)+1,MATCH(LOWER(J$1),v_data!$B$2:$L$2,0)))</f>
        <v/>
      </c>
      <c r="K129" s="2" t="str">
        <f t="shared" si="198"/>
        <v/>
      </c>
      <c r="L129" s="2" t="str">
        <f>IF($A129="","",INDEX(v_data!$B$2:$L$1000,MATCH($A129,v_data!$A$3:$A$1000,0)+1,MATCH(LOWER(L$1),v_data!$B$2:$L$2,0)))</f>
        <v/>
      </c>
      <c r="M129" s="2" t="str">
        <f t="shared" si="199"/>
        <v/>
      </c>
      <c r="N129" s="2" t="str">
        <f>IF($A129="","",INDEX(v_data!$B$2:$L$1000,MATCH($A129,v_data!$A$3:$A$1000,0)+1,MATCH(LOWER(N$1),v_data!$B$2:$L$2,0)))</f>
        <v/>
      </c>
      <c r="O129" s="2" t="str">
        <f t="shared" si="200"/>
        <v/>
      </c>
      <c r="P129" s="2" t="str">
        <f>IF($A129="","",INDEX(v_data!$B$2:$L$1000,MATCH($A129,v_data!$A$3:$A$1000,0)+1,MATCH(LOWER(P$1),v_data!$B$2:$L$2,0)))</f>
        <v/>
      </c>
      <c r="Q129" s="2" t="str">
        <f t="shared" si="201"/>
        <v/>
      </c>
      <c r="R129" s="2" t="str">
        <f>IF($A129="","",INDEX(v_data!$B$2:$L$1000,MATCH($A129,v_data!$A$3:$A$1000,0)+1,MATCH(LOWER(R$1),v_data!$B$2:$L$2,0)))</f>
        <v/>
      </c>
      <c r="S129" s="2" t="str">
        <f t="shared" si="202"/>
        <v/>
      </c>
      <c r="T129" s="2" t="str">
        <f>IF($A129="","",INDEX(v_data!$B$2:$L$1000,MATCH($A129,v_data!$A$3:$A$1000,0)+1,MATCH(LOWER(T$1),v_data!$B$2:$L$2,0)))</f>
        <v/>
      </c>
      <c r="U129" s="2" t="str">
        <f t="shared" si="203"/>
        <v/>
      </c>
      <c r="V129" s="2" t="str">
        <f>IF($A129="","",INDEX(v_data!$B$2:$L$1000,MATCH($A129,v_data!$A$3:$A$1000,0)+1,MATCH(LOWER(V$1),v_data!$B$2:$L$2,0)))</f>
        <v/>
      </c>
      <c r="W129" s="2" t="str">
        <f t="shared" si="204"/>
        <v/>
      </c>
      <c r="X129" s="2" t="str">
        <f>IF($A129="","",INDEX(v_data!$B$2:$L$1000,MATCH($A129,v_data!$A$3:$A$1000,0)+1,MATCH(LOWER(X$1),v_data!$B$2:$L$2,0)))</f>
        <v/>
      </c>
      <c r="Y129" s="2" t="str">
        <f t="shared" si="205"/>
        <v/>
      </c>
      <c r="Z129" s="2" t="str">
        <f>IF($A129="","",INDEX(v_data!$B$2:$L$1000,MATCH($A129,v_data!$A$3:$A$1000,0)+1,MATCH(LOWER(Z$1),v_data!$B$2:$L$2,0)))</f>
        <v/>
      </c>
      <c r="AA129" s="2" t="str">
        <f t="shared" si="206"/>
        <v/>
      </c>
      <c r="AB129" s="2" t="str">
        <f t="shared" si="207"/>
        <v/>
      </c>
      <c r="AC129" s="2">
        <f>(SUM(G129,I129,K129,M129,O129,Q129,S129,U129,W129,Y129,AA129)+IF(AND(G129&gt;0,I129&gt;0,K129&gt;0),100,0))*VLOOKUP(B129,variables!$A$2:$B$6,2,FALSE)</f>
        <v>80</v>
      </c>
      <c r="AD129" s="16" t="str">
        <f>IF($A129="","",INDEX(v_data!$B$2:$X$1000,MATCH($A129,v_data!$A$3:$A$1000,0)+1,MATCH(LOWER("hours"),v_data!$B$2:$X$2,0)))</f>
        <v/>
      </c>
    </row>
    <row r="130" spans="1:30" hidden="1" x14ac:dyDescent="0.25">
      <c r="A130" s="2" t="str">
        <f>IF(ISBLANK(v_data!A129),"",v_data!A129)</f>
        <v/>
      </c>
      <c r="B130" s="2" t="s">
        <v>22</v>
      </c>
      <c r="C130" s="2">
        <f>VLOOKUP(B130,variables!$A$2:$B$6,2,FALSE)</f>
        <v>0.8</v>
      </c>
      <c r="D130" s="4">
        <v>43826</v>
      </c>
      <c r="E130" s="4">
        <v>43431</v>
      </c>
      <c r="F130" s="2" t="str">
        <f>IF($A130="","",INDEX(v_data!$B$2:$L$1000,MATCH($A130,v_data!$A$3:$A$1000,0)+1,MATCH(LOWER(F$1),v_data!$B$2:$L$2,0)))</f>
        <v/>
      </c>
      <c r="G130" s="2" t="str">
        <f t="shared" si="196"/>
        <v/>
      </c>
      <c r="H130" s="2" t="str">
        <f>IF($A130="","",INDEX(v_data!$B$2:$L$1000,MATCH($A130,v_data!$A$3:$A$1000,0)+1,MATCH(LOWER(H$1),v_data!$B$2:$L$2,0)))</f>
        <v/>
      </c>
      <c r="I130" s="2" t="str">
        <f t="shared" si="197"/>
        <v/>
      </c>
      <c r="J130" s="2" t="str">
        <f>IF($A130="","",INDEX(v_data!$B$2:$L$1000,MATCH($A130,v_data!$A$3:$A$1000,0)+1,MATCH(LOWER(J$1),v_data!$B$2:$L$2,0)))</f>
        <v/>
      </c>
      <c r="K130" s="2" t="str">
        <f t="shared" si="198"/>
        <v/>
      </c>
      <c r="L130" s="2" t="str">
        <f>IF($A130="","",INDEX(v_data!$B$2:$L$1000,MATCH($A130,v_data!$A$3:$A$1000,0)+1,MATCH(LOWER(L$1),v_data!$B$2:$L$2,0)))</f>
        <v/>
      </c>
      <c r="M130" s="2" t="str">
        <f t="shared" si="199"/>
        <v/>
      </c>
      <c r="N130" s="2" t="str">
        <f>IF($A130="","",INDEX(v_data!$B$2:$L$1000,MATCH($A130,v_data!$A$3:$A$1000,0)+1,MATCH(LOWER(N$1),v_data!$B$2:$L$2,0)))</f>
        <v/>
      </c>
      <c r="O130" s="2" t="str">
        <f t="shared" si="200"/>
        <v/>
      </c>
      <c r="P130" s="2" t="str">
        <f>IF($A130="","",INDEX(v_data!$B$2:$L$1000,MATCH($A130,v_data!$A$3:$A$1000,0)+1,MATCH(LOWER(P$1),v_data!$B$2:$L$2,0)))</f>
        <v/>
      </c>
      <c r="Q130" s="2" t="str">
        <f t="shared" si="201"/>
        <v/>
      </c>
      <c r="R130" s="2" t="str">
        <f>IF($A130="","",INDEX(v_data!$B$2:$L$1000,MATCH($A130,v_data!$A$3:$A$1000,0)+1,MATCH(LOWER(R$1),v_data!$B$2:$L$2,0)))</f>
        <v/>
      </c>
      <c r="S130" s="2" t="str">
        <f t="shared" si="202"/>
        <v/>
      </c>
      <c r="T130" s="2" t="str">
        <f>IF($A130="","",INDEX(v_data!$B$2:$L$1000,MATCH($A130,v_data!$A$3:$A$1000,0)+1,MATCH(LOWER(T$1),v_data!$B$2:$L$2,0)))</f>
        <v/>
      </c>
      <c r="U130" s="2" t="str">
        <f t="shared" si="203"/>
        <v/>
      </c>
      <c r="V130" s="2" t="str">
        <f>IF($A130="","",INDEX(v_data!$B$2:$L$1000,MATCH($A130,v_data!$A$3:$A$1000,0)+1,MATCH(LOWER(V$1),v_data!$B$2:$L$2,0)))</f>
        <v/>
      </c>
      <c r="W130" s="2" t="str">
        <f t="shared" si="204"/>
        <v/>
      </c>
      <c r="X130" s="2" t="str">
        <f>IF($A130="","",INDEX(v_data!$B$2:$L$1000,MATCH($A130,v_data!$A$3:$A$1000,0)+1,MATCH(LOWER(X$1),v_data!$B$2:$L$2,0)))</f>
        <v/>
      </c>
      <c r="Y130" s="2" t="str">
        <f t="shared" si="205"/>
        <v/>
      </c>
      <c r="Z130" s="2" t="str">
        <f>IF($A130="","",INDEX(v_data!$B$2:$L$1000,MATCH($A130,v_data!$A$3:$A$1000,0)+1,MATCH(LOWER(Z$1),v_data!$B$2:$L$2,0)))</f>
        <v/>
      </c>
      <c r="AA130" s="2" t="str">
        <f t="shared" si="206"/>
        <v/>
      </c>
      <c r="AB130" s="2" t="str">
        <f t="shared" si="207"/>
        <v/>
      </c>
      <c r="AC130" s="2">
        <f>(SUM(G130,I130,K130,M130,O130,Q130,S130,U130,W130,Y130,AA130)+IF(AND(G130&gt;0,I130&gt;0,K130&gt;0),100,0))*VLOOKUP(B130,variables!$A$2:$B$6,2,FALSE)</f>
        <v>80</v>
      </c>
      <c r="AD130" s="16" t="str">
        <f>IF($A130="","",INDEX(v_data!$B$2:$X$1000,MATCH($A130,v_data!$A$3:$A$1000,0)+1,MATCH(LOWER("hours"),v_data!$B$2:$X$2,0)))</f>
        <v/>
      </c>
    </row>
    <row r="131" spans="1:30" hidden="1" x14ac:dyDescent="0.25">
      <c r="A131" s="2" t="str">
        <f>IF(ISBLANK(v_data!A130),"",v_data!A130)</f>
        <v/>
      </c>
      <c r="B131" s="2" t="s">
        <v>22</v>
      </c>
      <c r="C131" s="2">
        <f>VLOOKUP(B131,variables!$A$2:$B$6,2,FALSE)</f>
        <v>0.8</v>
      </c>
      <c r="D131" s="4">
        <v>43826</v>
      </c>
      <c r="E131" s="4">
        <v>43431</v>
      </c>
      <c r="F131" s="2" t="str">
        <f>IF($A131="","",INDEX(v_data!$B$2:$L$1000,MATCH($A131,v_data!$A$3:$A$1000,0)+1,MATCH(LOWER(F$1),v_data!$B$2:$L$2,0)))</f>
        <v/>
      </c>
      <c r="G131" s="2" t="str">
        <f t="shared" si="196"/>
        <v/>
      </c>
      <c r="H131" s="2" t="str">
        <f>IF($A131="","",INDEX(v_data!$B$2:$L$1000,MATCH($A131,v_data!$A$3:$A$1000,0)+1,MATCH(LOWER(H$1),v_data!$B$2:$L$2,0)))</f>
        <v/>
      </c>
      <c r="I131" s="2" t="str">
        <f t="shared" si="197"/>
        <v/>
      </c>
      <c r="J131" s="2" t="str">
        <f>IF($A131="","",INDEX(v_data!$B$2:$L$1000,MATCH($A131,v_data!$A$3:$A$1000,0)+1,MATCH(LOWER(J$1),v_data!$B$2:$L$2,0)))</f>
        <v/>
      </c>
      <c r="K131" s="2" t="str">
        <f t="shared" si="198"/>
        <v/>
      </c>
      <c r="L131" s="2" t="str">
        <f>IF($A131="","",INDEX(v_data!$B$2:$L$1000,MATCH($A131,v_data!$A$3:$A$1000,0)+1,MATCH(LOWER(L$1),v_data!$B$2:$L$2,0)))</f>
        <v/>
      </c>
      <c r="M131" s="2" t="str">
        <f t="shared" si="199"/>
        <v/>
      </c>
      <c r="N131" s="2" t="str">
        <f>IF($A131="","",INDEX(v_data!$B$2:$L$1000,MATCH($A131,v_data!$A$3:$A$1000,0)+1,MATCH(LOWER(N$1),v_data!$B$2:$L$2,0)))</f>
        <v/>
      </c>
      <c r="O131" s="2" t="str">
        <f t="shared" si="200"/>
        <v/>
      </c>
      <c r="P131" s="2" t="str">
        <f>IF($A131="","",INDEX(v_data!$B$2:$L$1000,MATCH($A131,v_data!$A$3:$A$1000,0)+1,MATCH(LOWER(P$1),v_data!$B$2:$L$2,0)))</f>
        <v/>
      </c>
      <c r="Q131" s="2" t="str">
        <f t="shared" si="201"/>
        <v/>
      </c>
      <c r="R131" s="2" t="str">
        <f>IF($A131="","",INDEX(v_data!$B$2:$L$1000,MATCH($A131,v_data!$A$3:$A$1000,0)+1,MATCH(LOWER(R$1),v_data!$B$2:$L$2,0)))</f>
        <v/>
      </c>
      <c r="S131" s="2" t="str">
        <f t="shared" si="202"/>
        <v/>
      </c>
      <c r="T131" s="2" t="str">
        <f>IF($A131="","",INDEX(v_data!$B$2:$L$1000,MATCH($A131,v_data!$A$3:$A$1000,0)+1,MATCH(LOWER(T$1),v_data!$B$2:$L$2,0)))</f>
        <v/>
      </c>
      <c r="U131" s="2" t="str">
        <f t="shared" si="203"/>
        <v/>
      </c>
      <c r="V131" s="2" t="str">
        <f>IF($A131="","",INDEX(v_data!$B$2:$L$1000,MATCH($A131,v_data!$A$3:$A$1000,0)+1,MATCH(LOWER(V$1),v_data!$B$2:$L$2,0)))</f>
        <v/>
      </c>
      <c r="W131" s="2" t="str">
        <f t="shared" si="204"/>
        <v/>
      </c>
      <c r="X131" s="2" t="str">
        <f>IF($A131="","",INDEX(v_data!$B$2:$L$1000,MATCH($A131,v_data!$A$3:$A$1000,0)+1,MATCH(LOWER(X$1),v_data!$B$2:$L$2,0)))</f>
        <v/>
      </c>
      <c r="Y131" s="2" t="str">
        <f t="shared" si="205"/>
        <v/>
      </c>
      <c r="Z131" s="2" t="str">
        <f>IF($A131="","",INDEX(v_data!$B$2:$L$1000,MATCH($A131,v_data!$A$3:$A$1000,0)+1,MATCH(LOWER(Z$1),v_data!$B$2:$L$2,0)))</f>
        <v/>
      </c>
      <c r="AA131" s="2" t="str">
        <f t="shared" si="206"/>
        <v/>
      </c>
      <c r="AB131" s="2" t="str">
        <f t="shared" si="207"/>
        <v/>
      </c>
      <c r="AC131" s="2">
        <f>(SUM(G131,I131,K131,M131,O131,Q131,S131,U131,W131,Y131,AA131)+IF(AND(G131&gt;0,I131&gt;0,K131&gt;0),100,0))*VLOOKUP(B131,variables!$A$2:$B$6,2,FALSE)</f>
        <v>80</v>
      </c>
      <c r="AD131" s="16" t="str">
        <f>IF($A131="","",INDEX(v_data!$B$2:$X$1000,MATCH($A131,v_data!$A$3:$A$1000,0)+1,MATCH(LOWER("hours"),v_data!$B$2:$X$2,0)))</f>
        <v/>
      </c>
    </row>
    <row r="132" spans="1:30" hidden="1" x14ac:dyDescent="0.25">
      <c r="A132" s="2" t="str">
        <f>IF(ISBLANK(v_data!A131),"",v_data!A131)</f>
        <v/>
      </c>
      <c r="B132" s="2" t="s">
        <v>22</v>
      </c>
      <c r="C132" s="2">
        <f>VLOOKUP(B132,variables!$A$2:$B$6,2,FALSE)</f>
        <v>0.8</v>
      </c>
      <c r="D132" s="4">
        <v>43826</v>
      </c>
      <c r="E132" s="4">
        <v>43431</v>
      </c>
      <c r="F132" s="2" t="str">
        <f>IF($A132="","",INDEX(v_data!$B$2:$L$1000,MATCH($A132,v_data!$A$3:$A$1000,0)+1,MATCH(LOWER(F$1),v_data!$B$2:$L$2,0)))</f>
        <v/>
      </c>
      <c r="G132" s="2" t="str">
        <f t="shared" si="196"/>
        <v/>
      </c>
      <c r="H132" s="2" t="str">
        <f>IF($A132="","",INDEX(v_data!$B$2:$L$1000,MATCH($A132,v_data!$A$3:$A$1000,0)+1,MATCH(LOWER(H$1),v_data!$B$2:$L$2,0)))</f>
        <v/>
      </c>
      <c r="I132" s="2" t="str">
        <f t="shared" si="197"/>
        <v/>
      </c>
      <c r="J132" s="2" t="str">
        <f>IF($A132="","",INDEX(v_data!$B$2:$L$1000,MATCH($A132,v_data!$A$3:$A$1000,0)+1,MATCH(LOWER(J$1),v_data!$B$2:$L$2,0)))</f>
        <v/>
      </c>
      <c r="K132" s="2" t="str">
        <f t="shared" si="198"/>
        <v/>
      </c>
      <c r="L132" s="2" t="str">
        <f>IF($A132="","",INDEX(v_data!$B$2:$L$1000,MATCH($A132,v_data!$A$3:$A$1000,0)+1,MATCH(LOWER(L$1),v_data!$B$2:$L$2,0)))</f>
        <v/>
      </c>
      <c r="M132" s="2" t="str">
        <f t="shared" si="199"/>
        <v/>
      </c>
      <c r="N132" s="2" t="str">
        <f>IF($A132="","",INDEX(v_data!$B$2:$L$1000,MATCH($A132,v_data!$A$3:$A$1000,0)+1,MATCH(LOWER(N$1),v_data!$B$2:$L$2,0)))</f>
        <v/>
      </c>
      <c r="O132" s="2" t="str">
        <f t="shared" si="200"/>
        <v/>
      </c>
      <c r="P132" s="2" t="str">
        <f>IF($A132="","",INDEX(v_data!$B$2:$L$1000,MATCH($A132,v_data!$A$3:$A$1000,0)+1,MATCH(LOWER(P$1),v_data!$B$2:$L$2,0)))</f>
        <v/>
      </c>
      <c r="Q132" s="2" t="str">
        <f t="shared" si="201"/>
        <v/>
      </c>
      <c r="R132" s="2" t="str">
        <f>IF($A132="","",INDEX(v_data!$B$2:$L$1000,MATCH($A132,v_data!$A$3:$A$1000,0)+1,MATCH(LOWER(R$1),v_data!$B$2:$L$2,0)))</f>
        <v/>
      </c>
      <c r="S132" s="2" t="str">
        <f t="shared" si="202"/>
        <v/>
      </c>
      <c r="T132" s="2" t="str">
        <f>IF($A132="","",INDEX(v_data!$B$2:$L$1000,MATCH($A132,v_data!$A$3:$A$1000,0)+1,MATCH(LOWER(T$1),v_data!$B$2:$L$2,0)))</f>
        <v/>
      </c>
      <c r="U132" s="2" t="str">
        <f t="shared" si="203"/>
        <v/>
      </c>
      <c r="V132" s="2" t="str">
        <f>IF($A132="","",INDEX(v_data!$B$2:$L$1000,MATCH($A132,v_data!$A$3:$A$1000,0)+1,MATCH(LOWER(V$1),v_data!$B$2:$L$2,0)))</f>
        <v/>
      </c>
      <c r="W132" s="2" t="str">
        <f t="shared" si="204"/>
        <v/>
      </c>
      <c r="X132" s="2" t="str">
        <f>IF($A132="","",INDEX(v_data!$B$2:$L$1000,MATCH($A132,v_data!$A$3:$A$1000,0)+1,MATCH(LOWER(X$1),v_data!$B$2:$L$2,0)))</f>
        <v/>
      </c>
      <c r="Y132" s="2" t="str">
        <f t="shared" si="205"/>
        <v/>
      </c>
      <c r="Z132" s="2" t="str">
        <f>IF($A132="","",INDEX(v_data!$B$2:$L$1000,MATCH($A132,v_data!$A$3:$A$1000,0)+1,MATCH(LOWER(Z$1),v_data!$B$2:$L$2,0)))</f>
        <v/>
      </c>
      <c r="AA132" s="2" t="str">
        <f t="shared" si="206"/>
        <v/>
      </c>
      <c r="AB132" s="2" t="str">
        <f t="shared" si="207"/>
        <v/>
      </c>
      <c r="AC132" s="2">
        <f>(SUM(G132,I132,K132,M132,O132,Q132,S132,U132,W132,Y132,AA132)+IF(AND(G132&gt;0,I132&gt;0,K132&gt;0),100,0))*VLOOKUP(B132,variables!$A$2:$B$6,2,FALSE)</f>
        <v>80</v>
      </c>
      <c r="AD132" s="16" t="str">
        <f>IF($A132="","",INDEX(v_data!$B$2:$X$1000,MATCH($A132,v_data!$A$3:$A$1000,0)+1,MATCH(LOWER("hours"),v_data!$B$2:$X$2,0)))</f>
        <v/>
      </c>
    </row>
    <row r="133" spans="1:30" hidden="1" x14ac:dyDescent="0.25">
      <c r="A133" s="2" t="str">
        <f>IF(ISBLANK(v_data!A132),"",v_data!A132)</f>
        <v/>
      </c>
      <c r="B133" s="2" t="s">
        <v>22</v>
      </c>
      <c r="C133" s="2">
        <f>VLOOKUP(B133,variables!$A$2:$B$6,2,FALSE)</f>
        <v>0.8</v>
      </c>
      <c r="D133" s="4">
        <v>43826</v>
      </c>
      <c r="E133" s="4">
        <v>43431</v>
      </c>
      <c r="F133" s="2" t="str">
        <f>IF($A133="","",INDEX(v_data!$B$2:$L$1000,MATCH($A133,v_data!$A$3:$A$1000,0)+1,MATCH(LOWER(F$1),v_data!$B$2:$L$2,0)))</f>
        <v/>
      </c>
      <c r="G133" s="2" t="str">
        <f t="shared" si="196"/>
        <v/>
      </c>
      <c r="H133" s="2" t="str">
        <f>IF($A133="","",INDEX(v_data!$B$2:$L$1000,MATCH($A133,v_data!$A$3:$A$1000,0)+1,MATCH(LOWER(H$1),v_data!$B$2:$L$2,0)))</f>
        <v/>
      </c>
      <c r="I133" s="2" t="str">
        <f t="shared" si="197"/>
        <v/>
      </c>
      <c r="J133" s="2" t="str">
        <f>IF($A133="","",INDEX(v_data!$B$2:$L$1000,MATCH($A133,v_data!$A$3:$A$1000,0)+1,MATCH(LOWER(J$1),v_data!$B$2:$L$2,0)))</f>
        <v/>
      </c>
      <c r="K133" s="2" t="str">
        <f t="shared" si="198"/>
        <v/>
      </c>
      <c r="L133" s="2" t="str">
        <f>IF($A133="","",INDEX(v_data!$B$2:$L$1000,MATCH($A133,v_data!$A$3:$A$1000,0)+1,MATCH(LOWER(L$1),v_data!$B$2:$L$2,0)))</f>
        <v/>
      </c>
      <c r="M133" s="2" t="str">
        <f t="shared" si="199"/>
        <v/>
      </c>
      <c r="N133" s="2" t="str">
        <f>IF($A133="","",INDEX(v_data!$B$2:$L$1000,MATCH($A133,v_data!$A$3:$A$1000,0)+1,MATCH(LOWER(N$1),v_data!$B$2:$L$2,0)))</f>
        <v/>
      </c>
      <c r="O133" s="2" t="str">
        <f t="shared" si="200"/>
        <v/>
      </c>
      <c r="P133" s="2" t="str">
        <f>IF($A133="","",INDEX(v_data!$B$2:$L$1000,MATCH($A133,v_data!$A$3:$A$1000,0)+1,MATCH(LOWER(P$1),v_data!$B$2:$L$2,0)))</f>
        <v/>
      </c>
      <c r="Q133" s="2" t="str">
        <f t="shared" si="201"/>
        <v/>
      </c>
      <c r="R133" s="2" t="str">
        <f>IF($A133="","",INDEX(v_data!$B$2:$L$1000,MATCH($A133,v_data!$A$3:$A$1000,0)+1,MATCH(LOWER(R$1),v_data!$B$2:$L$2,0)))</f>
        <v/>
      </c>
      <c r="S133" s="2" t="str">
        <f t="shared" si="202"/>
        <v/>
      </c>
      <c r="T133" s="2" t="str">
        <f>IF($A133="","",INDEX(v_data!$B$2:$L$1000,MATCH($A133,v_data!$A$3:$A$1000,0)+1,MATCH(LOWER(T$1),v_data!$B$2:$L$2,0)))</f>
        <v/>
      </c>
      <c r="U133" s="2" t="str">
        <f t="shared" si="203"/>
        <v/>
      </c>
      <c r="V133" s="2" t="str">
        <f>IF($A133="","",INDEX(v_data!$B$2:$L$1000,MATCH($A133,v_data!$A$3:$A$1000,0)+1,MATCH(LOWER(V$1),v_data!$B$2:$L$2,0)))</f>
        <v/>
      </c>
      <c r="W133" s="2" t="str">
        <f t="shared" si="204"/>
        <v/>
      </c>
      <c r="X133" s="2" t="str">
        <f>IF($A133="","",INDEX(v_data!$B$2:$L$1000,MATCH($A133,v_data!$A$3:$A$1000,0)+1,MATCH(LOWER(X$1),v_data!$B$2:$L$2,0)))</f>
        <v/>
      </c>
      <c r="Y133" s="2" t="str">
        <f t="shared" si="205"/>
        <v/>
      </c>
      <c r="Z133" s="2" t="str">
        <f>IF($A133="","",INDEX(v_data!$B$2:$L$1000,MATCH($A133,v_data!$A$3:$A$1000,0)+1,MATCH(LOWER(Z$1),v_data!$B$2:$L$2,0)))</f>
        <v/>
      </c>
      <c r="AA133" s="2" t="str">
        <f t="shared" si="206"/>
        <v/>
      </c>
      <c r="AB133" s="2" t="str">
        <f t="shared" si="207"/>
        <v/>
      </c>
      <c r="AC133" s="2">
        <f>(SUM(G133,I133,K133,M133,O133,Q133,S133,U133,W133,Y133,AA133)+IF(AND(G133&gt;0,I133&gt;0,K133&gt;0),100,0))*VLOOKUP(B133,variables!$A$2:$B$6,2,FALSE)</f>
        <v>80</v>
      </c>
      <c r="AD133" s="16" t="str">
        <f>IF($A133="","",INDEX(v_data!$B$2:$X$1000,MATCH($A133,v_data!$A$3:$A$1000,0)+1,MATCH(LOWER("hours"),v_data!$B$2:$X$2,0)))</f>
        <v/>
      </c>
    </row>
    <row r="134" spans="1:30" hidden="1" x14ac:dyDescent="0.25">
      <c r="A134" s="2" t="str">
        <f>IF(ISBLANK(v_data!A133),"",v_data!A133)</f>
        <v/>
      </c>
      <c r="B134" s="2" t="s">
        <v>22</v>
      </c>
      <c r="C134" s="2">
        <f>VLOOKUP(B134,variables!$A$2:$B$6,2,FALSE)</f>
        <v>0.8</v>
      </c>
      <c r="D134" s="4">
        <v>43826</v>
      </c>
      <c r="E134" s="4">
        <v>43431</v>
      </c>
      <c r="F134" s="2" t="str">
        <f>IF($A134="","",INDEX(v_data!$B$2:$L$1000,MATCH($A134,v_data!$A$3:$A$1000,0)+1,MATCH(LOWER(F$1),v_data!$B$2:$L$2,0)))</f>
        <v/>
      </c>
      <c r="G134" s="2" t="str">
        <f t="shared" si="196"/>
        <v/>
      </c>
      <c r="H134" s="2" t="str">
        <f>IF($A134="","",INDEX(v_data!$B$2:$L$1000,MATCH($A134,v_data!$A$3:$A$1000,0)+1,MATCH(LOWER(H$1),v_data!$B$2:$L$2,0)))</f>
        <v/>
      </c>
      <c r="I134" s="2" t="str">
        <f t="shared" si="197"/>
        <v/>
      </c>
      <c r="J134" s="2" t="str">
        <f>IF($A134="","",INDEX(v_data!$B$2:$L$1000,MATCH($A134,v_data!$A$3:$A$1000,0)+1,MATCH(LOWER(J$1),v_data!$B$2:$L$2,0)))</f>
        <v/>
      </c>
      <c r="K134" s="2" t="str">
        <f t="shared" si="198"/>
        <v/>
      </c>
      <c r="L134" s="2" t="str">
        <f>IF($A134="","",INDEX(v_data!$B$2:$L$1000,MATCH($A134,v_data!$A$3:$A$1000,0)+1,MATCH(LOWER(L$1),v_data!$B$2:$L$2,0)))</f>
        <v/>
      </c>
      <c r="M134" s="2" t="str">
        <f t="shared" si="199"/>
        <v/>
      </c>
      <c r="N134" s="2" t="str">
        <f>IF($A134="","",INDEX(v_data!$B$2:$L$1000,MATCH($A134,v_data!$A$3:$A$1000,0)+1,MATCH(LOWER(N$1),v_data!$B$2:$L$2,0)))</f>
        <v/>
      </c>
      <c r="O134" s="2" t="str">
        <f t="shared" si="200"/>
        <v/>
      </c>
      <c r="P134" s="2" t="str">
        <f>IF($A134="","",INDEX(v_data!$B$2:$L$1000,MATCH($A134,v_data!$A$3:$A$1000,0)+1,MATCH(LOWER(P$1),v_data!$B$2:$L$2,0)))</f>
        <v/>
      </c>
      <c r="Q134" s="2" t="str">
        <f t="shared" si="201"/>
        <v/>
      </c>
      <c r="R134" s="2" t="str">
        <f>IF($A134="","",INDEX(v_data!$B$2:$L$1000,MATCH($A134,v_data!$A$3:$A$1000,0)+1,MATCH(LOWER(R$1),v_data!$B$2:$L$2,0)))</f>
        <v/>
      </c>
      <c r="S134" s="2" t="str">
        <f t="shared" si="202"/>
        <v/>
      </c>
      <c r="T134" s="2" t="str">
        <f>IF($A134="","",INDEX(v_data!$B$2:$L$1000,MATCH($A134,v_data!$A$3:$A$1000,0)+1,MATCH(LOWER(T$1),v_data!$B$2:$L$2,0)))</f>
        <v/>
      </c>
      <c r="U134" s="2" t="str">
        <f t="shared" si="203"/>
        <v/>
      </c>
      <c r="V134" s="2" t="str">
        <f>IF($A134="","",INDEX(v_data!$B$2:$L$1000,MATCH($A134,v_data!$A$3:$A$1000,0)+1,MATCH(LOWER(V$1),v_data!$B$2:$L$2,0)))</f>
        <v/>
      </c>
      <c r="W134" s="2" t="str">
        <f t="shared" si="204"/>
        <v/>
      </c>
      <c r="X134" s="2" t="str">
        <f>IF($A134="","",INDEX(v_data!$B$2:$L$1000,MATCH($A134,v_data!$A$3:$A$1000,0)+1,MATCH(LOWER(X$1),v_data!$B$2:$L$2,0)))</f>
        <v/>
      </c>
      <c r="Y134" s="2" t="str">
        <f t="shared" si="205"/>
        <v/>
      </c>
      <c r="Z134" s="2" t="str">
        <f>IF($A134="","",INDEX(v_data!$B$2:$L$1000,MATCH($A134,v_data!$A$3:$A$1000,0)+1,MATCH(LOWER(Z$1),v_data!$B$2:$L$2,0)))</f>
        <v/>
      </c>
      <c r="AA134" s="2" t="str">
        <f t="shared" si="206"/>
        <v/>
      </c>
      <c r="AB134" s="2" t="str">
        <f t="shared" si="207"/>
        <v/>
      </c>
      <c r="AC134" s="2">
        <f>(SUM(G134,I134,K134,M134,O134,Q134,S134,U134,W134,Y134,AA134)+IF(AND(G134&gt;0,I134&gt;0,K134&gt;0),100,0))*VLOOKUP(B134,variables!$A$2:$B$6,2,FALSE)</f>
        <v>80</v>
      </c>
      <c r="AD134" s="16" t="str">
        <f>IF($A134="","",INDEX(v_data!$B$2:$X$1000,MATCH($A134,v_data!$A$3:$A$1000,0)+1,MATCH(LOWER("hours"),v_data!$B$2:$X$2,0)))</f>
        <v/>
      </c>
    </row>
    <row r="135" spans="1:30" hidden="1" x14ac:dyDescent="0.25">
      <c r="A135" s="2" t="str">
        <f>IF(ISBLANK(v_data!A134),"",v_data!A134)</f>
        <v/>
      </c>
      <c r="B135" s="2" t="s">
        <v>22</v>
      </c>
      <c r="C135" s="2">
        <f>VLOOKUP(B135,variables!$A$2:$B$6,2,FALSE)</f>
        <v>0.8</v>
      </c>
      <c r="D135" s="4">
        <v>43826</v>
      </c>
      <c r="E135" s="4">
        <v>43431</v>
      </c>
      <c r="F135" s="2" t="str">
        <f>IF($A135="","",INDEX(v_data!$B$2:$L$1000,MATCH($A135,v_data!$A$3:$A$1000,0)+1,MATCH(LOWER(F$1),v_data!$B$2:$L$2,0)))</f>
        <v/>
      </c>
      <c r="G135" s="2" t="str">
        <f t="shared" si="196"/>
        <v/>
      </c>
      <c r="H135" s="2" t="str">
        <f>IF($A135="","",INDEX(v_data!$B$2:$L$1000,MATCH($A135,v_data!$A$3:$A$1000,0)+1,MATCH(LOWER(H$1),v_data!$B$2:$L$2,0)))</f>
        <v/>
      </c>
      <c r="I135" s="2" t="str">
        <f t="shared" si="197"/>
        <v/>
      </c>
      <c r="J135" s="2" t="str">
        <f>IF($A135="","",INDEX(v_data!$B$2:$L$1000,MATCH($A135,v_data!$A$3:$A$1000,0)+1,MATCH(LOWER(J$1),v_data!$B$2:$L$2,0)))</f>
        <v/>
      </c>
      <c r="K135" s="2" t="str">
        <f t="shared" si="198"/>
        <v/>
      </c>
      <c r="L135" s="2" t="str">
        <f>IF($A135="","",INDEX(v_data!$B$2:$L$1000,MATCH($A135,v_data!$A$3:$A$1000,0)+1,MATCH(LOWER(L$1),v_data!$B$2:$L$2,0)))</f>
        <v/>
      </c>
      <c r="M135" s="2" t="str">
        <f t="shared" si="199"/>
        <v/>
      </c>
      <c r="N135" s="2" t="str">
        <f>IF($A135="","",INDEX(v_data!$B$2:$L$1000,MATCH($A135,v_data!$A$3:$A$1000,0)+1,MATCH(LOWER(N$1),v_data!$B$2:$L$2,0)))</f>
        <v/>
      </c>
      <c r="O135" s="2" t="str">
        <f t="shared" si="200"/>
        <v/>
      </c>
      <c r="P135" s="2" t="str">
        <f>IF($A135="","",INDEX(v_data!$B$2:$L$1000,MATCH($A135,v_data!$A$3:$A$1000,0)+1,MATCH(LOWER(P$1),v_data!$B$2:$L$2,0)))</f>
        <v/>
      </c>
      <c r="Q135" s="2" t="str">
        <f t="shared" si="201"/>
        <v/>
      </c>
      <c r="R135" s="2" t="str">
        <f>IF($A135="","",INDEX(v_data!$B$2:$L$1000,MATCH($A135,v_data!$A$3:$A$1000,0)+1,MATCH(LOWER(R$1),v_data!$B$2:$L$2,0)))</f>
        <v/>
      </c>
      <c r="S135" s="2" t="str">
        <f t="shared" si="202"/>
        <v/>
      </c>
      <c r="T135" s="2" t="str">
        <f>IF($A135="","",INDEX(v_data!$B$2:$L$1000,MATCH($A135,v_data!$A$3:$A$1000,0)+1,MATCH(LOWER(T$1),v_data!$B$2:$L$2,0)))</f>
        <v/>
      </c>
      <c r="U135" s="2" t="str">
        <f t="shared" si="203"/>
        <v/>
      </c>
      <c r="V135" s="2" t="str">
        <f>IF($A135="","",INDEX(v_data!$B$2:$L$1000,MATCH($A135,v_data!$A$3:$A$1000,0)+1,MATCH(LOWER(V$1),v_data!$B$2:$L$2,0)))</f>
        <v/>
      </c>
      <c r="W135" s="2" t="str">
        <f t="shared" si="204"/>
        <v/>
      </c>
      <c r="X135" s="2" t="str">
        <f>IF($A135="","",INDEX(v_data!$B$2:$L$1000,MATCH($A135,v_data!$A$3:$A$1000,0)+1,MATCH(LOWER(X$1),v_data!$B$2:$L$2,0)))</f>
        <v/>
      </c>
      <c r="Y135" s="2" t="str">
        <f t="shared" si="205"/>
        <v/>
      </c>
      <c r="Z135" s="2" t="str">
        <f>IF($A135="","",INDEX(v_data!$B$2:$L$1000,MATCH($A135,v_data!$A$3:$A$1000,0)+1,MATCH(LOWER(Z$1),v_data!$B$2:$L$2,0)))</f>
        <v/>
      </c>
      <c r="AA135" s="2" t="str">
        <f t="shared" si="206"/>
        <v/>
      </c>
      <c r="AB135" s="2" t="str">
        <f t="shared" si="207"/>
        <v/>
      </c>
      <c r="AC135" s="2">
        <f>(SUM(G135,I135,K135,M135,O135,Q135,S135,U135,W135,Y135,AA135)+IF(AND(G135&gt;0,I135&gt;0,K135&gt;0),100,0))*VLOOKUP(B135,variables!$A$2:$B$6,2,FALSE)</f>
        <v>80</v>
      </c>
      <c r="AD135" s="16" t="str">
        <f>IF($A135="","",INDEX(v_data!$B$2:$X$1000,MATCH($A135,v_data!$A$3:$A$1000,0)+1,MATCH(LOWER("hours"),v_data!$B$2:$X$2,0)))</f>
        <v/>
      </c>
    </row>
    <row r="136" spans="1:30" hidden="1" x14ac:dyDescent="0.25">
      <c r="A136" s="2" t="str">
        <f>IF(ISBLANK(v_data!A135),"",v_data!A135)</f>
        <v/>
      </c>
      <c r="B136" s="2" t="s">
        <v>22</v>
      </c>
      <c r="C136" s="2">
        <f>VLOOKUP(B136,variables!$A$2:$B$6,2,FALSE)</f>
        <v>0.8</v>
      </c>
      <c r="D136" s="4">
        <v>43826</v>
      </c>
      <c r="E136" s="4">
        <v>43431</v>
      </c>
      <c r="F136" s="2" t="str">
        <f>IF($A136="","",INDEX(v_data!$B$2:$L$1000,MATCH($A136,v_data!$A$3:$A$1000,0)+1,MATCH(LOWER(F$1),v_data!$B$2:$L$2,0)))</f>
        <v/>
      </c>
      <c r="G136" s="2" t="str">
        <f t="shared" si="196"/>
        <v/>
      </c>
      <c r="H136" s="2" t="str">
        <f>IF($A136="","",INDEX(v_data!$B$2:$L$1000,MATCH($A136,v_data!$A$3:$A$1000,0)+1,MATCH(LOWER(H$1),v_data!$B$2:$L$2,0)))</f>
        <v/>
      </c>
      <c r="I136" s="2" t="str">
        <f t="shared" si="197"/>
        <v/>
      </c>
      <c r="J136" s="2" t="str">
        <f>IF($A136="","",INDEX(v_data!$B$2:$L$1000,MATCH($A136,v_data!$A$3:$A$1000,0)+1,MATCH(LOWER(J$1),v_data!$B$2:$L$2,0)))</f>
        <v/>
      </c>
      <c r="K136" s="2" t="str">
        <f t="shared" si="198"/>
        <v/>
      </c>
      <c r="L136" s="2" t="str">
        <f>IF($A136="","",INDEX(v_data!$B$2:$L$1000,MATCH($A136,v_data!$A$3:$A$1000,0)+1,MATCH(LOWER(L$1),v_data!$B$2:$L$2,0)))</f>
        <v/>
      </c>
      <c r="M136" s="2" t="str">
        <f t="shared" si="199"/>
        <v/>
      </c>
      <c r="N136" s="2" t="str">
        <f>IF($A136="","",INDEX(v_data!$B$2:$L$1000,MATCH($A136,v_data!$A$3:$A$1000,0)+1,MATCH(LOWER(N$1),v_data!$B$2:$L$2,0)))</f>
        <v/>
      </c>
      <c r="O136" s="2" t="str">
        <f t="shared" si="200"/>
        <v/>
      </c>
      <c r="P136" s="2" t="str">
        <f>IF($A136="","",INDEX(v_data!$B$2:$L$1000,MATCH($A136,v_data!$A$3:$A$1000,0)+1,MATCH(LOWER(P$1),v_data!$B$2:$L$2,0)))</f>
        <v/>
      </c>
      <c r="Q136" s="2" t="str">
        <f t="shared" si="201"/>
        <v/>
      </c>
      <c r="R136" s="2" t="str">
        <f>IF($A136="","",INDEX(v_data!$B$2:$L$1000,MATCH($A136,v_data!$A$3:$A$1000,0)+1,MATCH(LOWER(R$1),v_data!$B$2:$L$2,0)))</f>
        <v/>
      </c>
      <c r="S136" s="2" t="str">
        <f t="shared" si="202"/>
        <v/>
      </c>
      <c r="T136" s="2" t="str">
        <f>IF($A136="","",INDEX(v_data!$B$2:$L$1000,MATCH($A136,v_data!$A$3:$A$1000,0)+1,MATCH(LOWER(T$1),v_data!$B$2:$L$2,0)))</f>
        <v/>
      </c>
      <c r="U136" s="2" t="str">
        <f t="shared" si="203"/>
        <v/>
      </c>
      <c r="V136" s="2" t="str">
        <f>IF($A136="","",INDEX(v_data!$B$2:$L$1000,MATCH($A136,v_data!$A$3:$A$1000,0)+1,MATCH(LOWER(V$1),v_data!$B$2:$L$2,0)))</f>
        <v/>
      </c>
      <c r="W136" s="2" t="str">
        <f t="shared" si="204"/>
        <v/>
      </c>
      <c r="X136" s="2" t="str">
        <f>IF($A136="","",INDEX(v_data!$B$2:$L$1000,MATCH($A136,v_data!$A$3:$A$1000,0)+1,MATCH(LOWER(X$1),v_data!$B$2:$L$2,0)))</f>
        <v/>
      </c>
      <c r="Y136" s="2" t="str">
        <f t="shared" si="205"/>
        <v/>
      </c>
      <c r="Z136" s="2" t="str">
        <f>IF($A136="","",INDEX(v_data!$B$2:$L$1000,MATCH($A136,v_data!$A$3:$A$1000,0)+1,MATCH(LOWER(Z$1),v_data!$B$2:$L$2,0)))</f>
        <v/>
      </c>
      <c r="AA136" s="2" t="str">
        <f t="shared" si="206"/>
        <v/>
      </c>
      <c r="AB136" s="2" t="str">
        <f t="shared" si="207"/>
        <v/>
      </c>
      <c r="AC136" s="2">
        <f>(SUM(G136,I136,K136,M136,O136,Q136,S136,U136,W136,Y136,AA136)+IF(AND(G136&gt;0,I136&gt;0,K136&gt;0),100,0))*VLOOKUP(B136,variables!$A$2:$B$6,2,FALSE)</f>
        <v>80</v>
      </c>
      <c r="AD136" s="16" t="str">
        <f>IF($A136="","",INDEX(v_data!$B$2:$X$1000,MATCH($A136,v_data!$A$3:$A$1000,0)+1,MATCH(LOWER("hours"),v_data!$B$2:$X$2,0)))</f>
        <v/>
      </c>
    </row>
    <row r="137" spans="1:30" hidden="1" x14ac:dyDescent="0.25">
      <c r="A137" s="2" t="str">
        <f>IF(ISBLANK(v_data!A136),"",v_data!A136)</f>
        <v/>
      </c>
      <c r="B137" s="2" t="s">
        <v>22</v>
      </c>
      <c r="C137" s="2">
        <f>VLOOKUP(B137,variables!$A$2:$B$6,2,FALSE)</f>
        <v>0.8</v>
      </c>
      <c r="D137" s="4">
        <v>43826</v>
      </c>
      <c r="E137" s="4">
        <v>43431</v>
      </c>
      <c r="F137" s="2" t="str">
        <f>IF($A137="","",INDEX(v_data!$B$2:$L$1000,MATCH($A137,v_data!$A$3:$A$1000,0)+1,MATCH(LOWER(F$1),v_data!$B$2:$L$2,0)))</f>
        <v/>
      </c>
      <c r="G137" s="2" t="str">
        <f t="shared" si="196"/>
        <v/>
      </c>
      <c r="H137" s="2" t="str">
        <f>IF($A137="","",INDEX(v_data!$B$2:$L$1000,MATCH($A137,v_data!$A$3:$A$1000,0)+1,MATCH(LOWER(H$1),v_data!$B$2:$L$2,0)))</f>
        <v/>
      </c>
      <c r="I137" s="2" t="str">
        <f t="shared" si="197"/>
        <v/>
      </c>
      <c r="J137" s="2" t="str">
        <f>IF($A137="","",INDEX(v_data!$B$2:$L$1000,MATCH($A137,v_data!$A$3:$A$1000,0)+1,MATCH(LOWER(J$1),v_data!$B$2:$L$2,0)))</f>
        <v/>
      </c>
      <c r="K137" s="2" t="str">
        <f t="shared" si="198"/>
        <v/>
      </c>
      <c r="L137" s="2" t="str">
        <f>IF($A137="","",INDEX(v_data!$B$2:$L$1000,MATCH($A137,v_data!$A$3:$A$1000,0)+1,MATCH(LOWER(L$1),v_data!$B$2:$L$2,0)))</f>
        <v/>
      </c>
      <c r="M137" s="2" t="str">
        <f t="shared" si="199"/>
        <v/>
      </c>
      <c r="N137" s="2" t="str">
        <f>IF($A137="","",INDEX(v_data!$B$2:$L$1000,MATCH($A137,v_data!$A$3:$A$1000,0)+1,MATCH(LOWER(N$1),v_data!$B$2:$L$2,0)))</f>
        <v/>
      </c>
      <c r="O137" s="2" t="str">
        <f t="shared" si="200"/>
        <v/>
      </c>
      <c r="P137" s="2" t="str">
        <f>IF($A137="","",INDEX(v_data!$B$2:$L$1000,MATCH($A137,v_data!$A$3:$A$1000,0)+1,MATCH(LOWER(P$1),v_data!$B$2:$L$2,0)))</f>
        <v/>
      </c>
      <c r="Q137" s="2" t="str">
        <f t="shared" si="201"/>
        <v/>
      </c>
      <c r="R137" s="2" t="str">
        <f>IF($A137="","",INDEX(v_data!$B$2:$L$1000,MATCH($A137,v_data!$A$3:$A$1000,0)+1,MATCH(LOWER(R$1),v_data!$B$2:$L$2,0)))</f>
        <v/>
      </c>
      <c r="S137" s="2" t="str">
        <f t="shared" si="202"/>
        <v/>
      </c>
      <c r="T137" s="2" t="str">
        <f>IF($A137="","",INDEX(v_data!$B$2:$L$1000,MATCH($A137,v_data!$A$3:$A$1000,0)+1,MATCH(LOWER(T$1),v_data!$B$2:$L$2,0)))</f>
        <v/>
      </c>
      <c r="U137" s="2" t="str">
        <f t="shared" si="203"/>
        <v/>
      </c>
      <c r="V137" s="2" t="str">
        <f>IF($A137="","",INDEX(v_data!$B$2:$L$1000,MATCH($A137,v_data!$A$3:$A$1000,0)+1,MATCH(LOWER(V$1),v_data!$B$2:$L$2,0)))</f>
        <v/>
      </c>
      <c r="W137" s="2" t="str">
        <f t="shared" si="204"/>
        <v/>
      </c>
      <c r="X137" s="2" t="str">
        <f>IF($A137="","",INDEX(v_data!$B$2:$L$1000,MATCH($A137,v_data!$A$3:$A$1000,0)+1,MATCH(LOWER(X$1),v_data!$B$2:$L$2,0)))</f>
        <v/>
      </c>
      <c r="Y137" s="2" t="str">
        <f t="shared" si="205"/>
        <v/>
      </c>
      <c r="Z137" s="2" t="str">
        <f>IF($A137="","",INDEX(v_data!$B$2:$L$1000,MATCH($A137,v_data!$A$3:$A$1000,0)+1,MATCH(LOWER(Z$1),v_data!$B$2:$L$2,0)))</f>
        <v/>
      </c>
      <c r="AA137" s="2" t="str">
        <f t="shared" si="206"/>
        <v/>
      </c>
      <c r="AB137" s="2" t="str">
        <f t="shared" si="207"/>
        <v/>
      </c>
      <c r="AC137" s="2">
        <f>(SUM(G137,I137,K137,M137,O137,Q137,S137,U137,W137,Y137,AA137)+IF(AND(G137&gt;0,I137&gt;0,K137&gt;0),100,0))*VLOOKUP(B137,variables!$A$2:$B$6,2,FALSE)</f>
        <v>80</v>
      </c>
      <c r="AD137" s="16" t="str">
        <f>IF($A137="","",INDEX(v_data!$B$2:$X$1000,MATCH($A137,v_data!$A$3:$A$1000,0)+1,MATCH(LOWER("hours"),v_data!$B$2:$X$2,0)))</f>
        <v/>
      </c>
    </row>
    <row r="138" spans="1:30" hidden="1" x14ac:dyDescent="0.25">
      <c r="A138" s="2" t="str">
        <f>IF(ISBLANK(v_data!A137),"",v_data!A137)</f>
        <v/>
      </c>
      <c r="B138" s="2" t="s">
        <v>22</v>
      </c>
      <c r="C138" s="2">
        <f>VLOOKUP(B138,variables!$A$2:$B$6,2,FALSE)</f>
        <v>0.8</v>
      </c>
      <c r="D138" s="4">
        <v>43826</v>
      </c>
      <c r="E138" s="4">
        <v>43431</v>
      </c>
      <c r="F138" s="2" t="str">
        <f>IF($A138="","",INDEX(v_data!$B$2:$L$1000,MATCH($A138,v_data!$A$3:$A$1000,0)+1,MATCH(LOWER(F$1),v_data!$B$2:$L$2,0)))</f>
        <v/>
      </c>
      <c r="G138" s="2" t="str">
        <f t="shared" si="196"/>
        <v/>
      </c>
      <c r="H138" s="2" t="str">
        <f>IF($A138="","",INDEX(v_data!$B$2:$L$1000,MATCH($A138,v_data!$A$3:$A$1000,0)+1,MATCH(LOWER(H$1),v_data!$B$2:$L$2,0)))</f>
        <v/>
      </c>
      <c r="I138" s="2" t="str">
        <f t="shared" si="197"/>
        <v/>
      </c>
      <c r="J138" s="2" t="str">
        <f>IF($A138="","",INDEX(v_data!$B$2:$L$1000,MATCH($A138,v_data!$A$3:$A$1000,0)+1,MATCH(LOWER(J$1),v_data!$B$2:$L$2,0)))</f>
        <v/>
      </c>
      <c r="K138" s="2" t="str">
        <f t="shared" si="198"/>
        <v/>
      </c>
      <c r="L138" s="2" t="str">
        <f>IF($A138="","",INDEX(v_data!$B$2:$L$1000,MATCH($A138,v_data!$A$3:$A$1000,0)+1,MATCH(LOWER(L$1),v_data!$B$2:$L$2,0)))</f>
        <v/>
      </c>
      <c r="M138" s="2" t="str">
        <f t="shared" si="199"/>
        <v/>
      </c>
      <c r="N138" s="2" t="str">
        <f>IF($A138="","",INDEX(v_data!$B$2:$L$1000,MATCH($A138,v_data!$A$3:$A$1000,0)+1,MATCH(LOWER(N$1),v_data!$B$2:$L$2,0)))</f>
        <v/>
      </c>
      <c r="O138" s="2" t="str">
        <f t="shared" si="200"/>
        <v/>
      </c>
      <c r="P138" s="2" t="str">
        <f>IF($A138="","",INDEX(v_data!$B$2:$L$1000,MATCH($A138,v_data!$A$3:$A$1000,0)+1,MATCH(LOWER(P$1),v_data!$B$2:$L$2,0)))</f>
        <v/>
      </c>
      <c r="Q138" s="2" t="str">
        <f t="shared" si="201"/>
        <v/>
      </c>
      <c r="R138" s="2" t="str">
        <f>IF($A138="","",INDEX(v_data!$B$2:$L$1000,MATCH($A138,v_data!$A$3:$A$1000,0)+1,MATCH(LOWER(R$1),v_data!$B$2:$L$2,0)))</f>
        <v/>
      </c>
      <c r="S138" s="2" t="str">
        <f t="shared" si="202"/>
        <v/>
      </c>
      <c r="T138" s="2" t="str">
        <f>IF($A138="","",INDEX(v_data!$B$2:$L$1000,MATCH($A138,v_data!$A$3:$A$1000,0)+1,MATCH(LOWER(T$1),v_data!$B$2:$L$2,0)))</f>
        <v/>
      </c>
      <c r="U138" s="2" t="str">
        <f t="shared" si="203"/>
        <v/>
      </c>
      <c r="V138" s="2" t="str">
        <f>IF($A138="","",INDEX(v_data!$B$2:$L$1000,MATCH($A138,v_data!$A$3:$A$1000,0)+1,MATCH(LOWER(V$1),v_data!$B$2:$L$2,0)))</f>
        <v/>
      </c>
      <c r="W138" s="2" t="str">
        <f t="shared" si="204"/>
        <v/>
      </c>
      <c r="X138" s="2" t="str">
        <f>IF($A138="","",INDEX(v_data!$B$2:$L$1000,MATCH($A138,v_data!$A$3:$A$1000,0)+1,MATCH(LOWER(X$1),v_data!$B$2:$L$2,0)))</f>
        <v/>
      </c>
      <c r="Y138" s="2" t="str">
        <f t="shared" si="205"/>
        <v/>
      </c>
      <c r="Z138" s="2" t="str">
        <f>IF($A138="","",INDEX(v_data!$B$2:$L$1000,MATCH($A138,v_data!$A$3:$A$1000,0)+1,MATCH(LOWER(Z$1),v_data!$B$2:$L$2,0)))</f>
        <v/>
      </c>
      <c r="AA138" s="2" t="str">
        <f t="shared" si="206"/>
        <v/>
      </c>
      <c r="AB138" s="2" t="str">
        <f t="shared" si="207"/>
        <v/>
      </c>
      <c r="AC138" s="2">
        <f>(SUM(G138,I138,K138,M138,O138,Q138,S138,U138,W138,Y138,AA138)+IF(AND(G138&gt;0,I138&gt;0,K138&gt;0),100,0))*VLOOKUP(B138,variables!$A$2:$B$6,2,FALSE)</f>
        <v>80</v>
      </c>
      <c r="AD138" s="16" t="str">
        <f>IF($A138="","",INDEX(v_data!$B$2:$X$1000,MATCH($A138,v_data!$A$3:$A$1000,0)+1,MATCH(LOWER("hours"),v_data!$B$2:$X$2,0)))</f>
        <v/>
      </c>
    </row>
    <row r="139" spans="1:30" hidden="1" x14ac:dyDescent="0.25">
      <c r="A139" s="2" t="str">
        <f>IF(ISBLANK(v_data!A138),"",v_data!A138)</f>
        <v/>
      </c>
      <c r="B139" s="2" t="s">
        <v>22</v>
      </c>
      <c r="C139" s="2">
        <f>VLOOKUP(B139,variables!$A$2:$B$6,2,FALSE)</f>
        <v>0.8</v>
      </c>
      <c r="D139" s="4">
        <v>43826</v>
      </c>
      <c r="E139" s="4">
        <v>43431</v>
      </c>
      <c r="F139" s="2" t="str">
        <f>IF($A139="","",INDEX(v_data!$B$2:$L$1000,MATCH($A139,v_data!$A$3:$A$1000,0)+1,MATCH(LOWER(F$1),v_data!$B$2:$L$2,0)))</f>
        <v/>
      </c>
      <c r="G139" s="2" t="str">
        <f t="shared" si="196"/>
        <v/>
      </c>
      <c r="H139" s="2" t="str">
        <f>IF($A139="","",INDEX(v_data!$B$2:$L$1000,MATCH($A139,v_data!$A$3:$A$1000,0)+1,MATCH(LOWER(H$1),v_data!$B$2:$L$2,0)))</f>
        <v/>
      </c>
      <c r="I139" s="2" t="str">
        <f t="shared" si="197"/>
        <v/>
      </c>
      <c r="J139" s="2" t="str">
        <f>IF($A139="","",INDEX(v_data!$B$2:$L$1000,MATCH($A139,v_data!$A$3:$A$1000,0)+1,MATCH(LOWER(J$1),v_data!$B$2:$L$2,0)))</f>
        <v/>
      </c>
      <c r="K139" s="2" t="str">
        <f t="shared" si="198"/>
        <v/>
      </c>
      <c r="L139" s="2" t="str">
        <f>IF($A139="","",INDEX(v_data!$B$2:$L$1000,MATCH($A139,v_data!$A$3:$A$1000,0)+1,MATCH(LOWER(L$1),v_data!$B$2:$L$2,0)))</f>
        <v/>
      </c>
      <c r="M139" s="2" t="str">
        <f t="shared" si="199"/>
        <v/>
      </c>
      <c r="N139" s="2" t="str">
        <f>IF($A139="","",INDEX(v_data!$B$2:$L$1000,MATCH($A139,v_data!$A$3:$A$1000,0)+1,MATCH(LOWER(N$1),v_data!$B$2:$L$2,0)))</f>
        <v/>
      </c>
      <c r="O139" s="2" t="str">
        <f t="shared" si="200"/>
        <v/>
      </c>
      <c r="P139" s="2" t="str">
        <f>IF($A139="","",INDEX(v_data!$B$2:$L$1000,MATCH($A139,v_data!$A$3:$A$1000,0)+1,MATCH(LOWER(P$1),v_data!$B$2:$L$2,0)))</f>
        <v/>
      </c>
      <c r="Q139" s="2" t="str">
        <f t="shared" si="201"/>
        <v/>
      </c>
      <c r="R139" s="2" t="str">
        <f>IF($A139="","",INDEX(v_data!$B$2:$L$1000,MATCH($A139,v_data!$A$3:$A$1000,0)+1,MATCH(LOWER(R$1),v_data!$B$2:$L$2,0)))</f>
        <v/>
      </c>
      <c r="S139" s="2" t="str">
        <f t="shared" si="202"/>
        <v/>
      </c>
      <c r="T139" s="2" t="str">
        <f>IF($A139="","",INDEX(v_data!$B$2:$L$1000,MATCH($A139,v_data!$A$3:$A$1000,0)+1,MATCH(LOWER(T$1),v_data!$B$2:$L$2,0)))</f>
        <v/>
      </c>
      <c r="U139" s="2" t="str">
        <f t="shared" si="203"/>
        <v/>
      </c>
      <c r="V139" s="2" t="str">
        <f>IF($A139="","",INDEX(v_data!$B$2:$L$1000,MATCH($A139,v_data!$A$3:$A$1000,0)+1,MATCH(LOWER(V$1),v_data!$B$2:$L$2,0)))</f>
        <v/>
      </c>
      <c r="W139" s="2" t="str">
        <f t="shared" si="204"/>
        <v/>
      </c>
      <c r="X139" s="2" t="str">
        <f>IF($A139="","",INDEX(v_data!$B$2:$L$1000,MATCH($A139,v_data!$A$3:$A$1000,0)+1,MATCH(LOWER(X$1),v_data!$B$2:$L$2,0)))</f>
        <v/>
      </c>
      <c r="Y139" s="2" t="str">
        <f t="shared" si="205"/>
        <v/>
      </c>
      <c r="Z139" s="2" t="str">
        <f>IF($A139="","",INDEX(v_data!$B$2:$L$1000,MATCH($A139,v_data!$A$3:$A$1000,0)+1,MATCH(LOWER(Z$1),v_data!$B$2:$L$2,0)))</f>
        <v/>
      </c>
      <c r="AA139" s="2" t="str">
        <f t="shared" si="206"/>
        <v/>
      </c>
      <c r="AB139" s="2" t="str">
        <f t="shared" si="207"/>
        <v/>
      </c>
      <c r="AC139" s="2">
        <f>(SUM(G139,I139,K139,M139,O139,Q139,S139,U139,W139,Y139,AA139)+IF(AND(G139&gt;0,I139&gt;0,K139&gt;0),100,0))*VLOOKUP(B139,variables!$A$2:$B$6,2,FALSE)</f>
        <v>80</v>
      </c>
      <c r="AD139" s="16" t="str">
        <f>IF($A139="","",INDEX(v_data!$B$2:$X$1000,MATCH($A139,v_data!$A$3:$A$1000,0)+1,MATCH(LOWER("hours"),v_data!$B$2:$X$2,0)))</f>
        <v/>
      </c>
    </row>
    <row r="140" spans="1:30" hidden="1" x14ac:dyDescent="0.25">
      <c r="A140" s="2" t="str">
        <f>IF(ISBLANK(v_data!A139),"",v_data!A139)</f>
        <v/>
      </c>
      <c r="B140" s="2" t="s">
        <v>22</v>
      </c>
      <c r="C140" s="2">
        <f>VLOOKUP(B140,variables!$A$2:$B$6,2,FALSE)</f>
        <v>0.8</v>
      </c>
      <c r="D140" s="4">
        <v>43826</v>
      </c>
      <c r="E140" s="4">
        <v>43431</v>
      </c>
      <c r="F140" s="2" t="str">
        <f>IF($A140="","",INDEX(v_data!$B$2:$L$1000,MATCH($A140,v_data!$A$3:$A$1000,0)+1,MATCH(LOWER(F$1),v_data!$B$2:$L$2,0)))</f>
        <v/>
      </c>
      <c r="G140" s="2" t="str">
        <f t="shared" si="196"/>
        <v/>
      </c>
      <c r="H140" s="2" t="str">
        <f>IF($A140="","",INDEX(v_data!$B$2:$L$1000,MATCH($A140,v_data!$A$3:$A$1000,0)+1,MATCH(LOWER(H$1),v_data!$B$2:$L$2,0)))</f>
        <v/>
      </c>
      <c r="I140" s="2" t="str">
        <f t="shared" si="197"/>
        <v/>
      </c>
      <c r="J140" s="2" t="str">
        <f>IF($A140="","",INDEX(v_data!$B$2:$L$1000,MATCH($A140,v_data!$A$3:$A$1000,0)+1,MATCH(LOWER(J$1),v_data!$B$2:$L$2,0)))</f>
        <v/>
      </c>
      <c r="K140" s="2" t="str">
        <f t="shared" si="198"/>
        <v/>
      </c>
      <c r="L140" s="2" t="str">
        <f>IF($A140="","",INDEX(v_data!$B$2:$L$1000,MATCH($A140,v_data!$A$3:$A$1000,0)+1,MATCH(LOWER(L$1),v_data!$B$2:$L$2,0)))</f>
        <v/>
      </c>
      <c r="M140" s="2" t="str">
        <f t="shared" si="199"/>
        <v/>
      </c>
      <c r="N140" s="2" t="str">
        <f>IF($A140="","",INDEX(v_data!$B$2:$L$1000,MATCH($A140,v_data!$A$3:$A$1000,0)+1,MATCH(LOWER(N$1),v_data!$B$2:$L$2,0)))</f>
        <v/>
      </c>
      <c r="O140" s="2" t="str">
        <f t="shared" si="200"/>
        <v/>
      </c>
      <c r="P140" s="2" t="str">
        <f>IF($A140="","",INDEX(v_data!$B$2:$L$1000,MATCH($A140,v_data!$A$3:$A$1000,0)+1,MATCH(LOWER(P$1),v_data!$B$2:$L$2,0)))</f>
        <v/>
      </c>
      <c r="Q140" s="2" t="str">
        <f t="shared" si="201"/>
        <v/>
      </c>
      <c r="R140" s="2" t="str">
        <f>IF($A140="","",INDEX(v_data!$B$2:$L$1000,MATCH($A140,v_data!$A$3:$A$1000,0)+1,MATCH(LOWER(R$1),v_data!$B$2:$L$2,0)))</f>
        <v/>
      </c>
      <c r="S140" s="2" t="str">
        <f t="shared" si="202"/>
        <v/>
      </c>
      <c r="T140" s="2" t="str">
        <f>IF($A140="","",INDEX(v_data!$B$2:$L$1000,MATCH($A140,v_data!$A$3:$A$1000,0)+1,MATCH(LOWER(T$1),v_data!$B$2:$L$2,0)))</f>
        <v/>
      </c>
      <c r="U140" s="2" t="str">
        <f t="shared" si="203"/>
        <v/>
      </c>
      <c r="V140" s="2" t="str">
        <f>IF($A140="","",INDEX(v_data!$B$2:$L$1000,MATCH($A140,v_data!$A$3:$A$1000,0)+1,MATCH(LOWER(V$1),v_data!$B$2:$L$2,0)))</f>
        <v/>
      </c>
      <c r="W140" s="2" t="str">
        <f t="shared" si="204"/>
        <v/>
      </c>
      <c r="X140" s="2" t="str">
        <f>IF($A140="","",INDEX(v_data!$B$2:$L$1000,MATCH($A140,v_data!$A$3:$A$1000,0)+1,MATCH(LOWER(X$1),v_data!$B$2:$L$2,0)))</f>
        <v/>
      </c>
      <c r="Y140" s="2" t="str">
        <f t="shared" si="205"/>
        <v/>
      </c>
      <c r="Z140" s="2" t="str">
        <f>IF($A140="","",INDEX(v_data!$B$2:$L$1000,MATCH($A140,v_data!$A$3:$A$1000,0)+1,MATCH(LOWER(Z$1),v_data!$B$2:$L$2,0)))</f>
        <v/>
      </c>
      <c r="AA140" s="2" t="str">
        <f t="shared" si="206"/>
        <v/>
      </c>
      <c r="AB140" s="2" t="str">
        <f t="shared" si="207"/>
        <v/>
      </c>
      <c r="AC140" s="2">
        <f>(SUM(G140,I140,K140,M140,O140,Q140,S140,U140,W140,Y140,AA140)+IF(AND(G140&gt;0,I140&gt;0,K140&gt;0),100,0))*VLOOKUP(B140,variables!$A$2:$B$6,2,FALSE)</f>
        <v>80</v>
      </c>
      <c r="AD140" s="16" t="str">
        <f>IF($A140="","",INDEX(v_data!$B$2:$X$1000,MATCH($A140,v_data!$A$3:$A$1000,0)+1,MATCH(LOWER("hours"),v_data!$B$2:$X$2,0)))</f>
        <v/>
      </c>
    </row>
    <row r="141" spans="1:30" hidden="1" x14ac:dyDescent="0.25">
      <c r="A141" s="2" t="str">
        <f>IF(ISBLANK(v_data!A140),"",v_data!A140)</f>
        <v/>
      </c>
      <c r="B141" s="2" t="s">
        <v>22</v>
      </c>
      <c r="C141" s="2">
        <f>VLOOKUP(B141,variables!$A$2:$B$6,2,FALSE)</f>
        <v>0.8</v>
      </c>
      <c r="D141" s="4">
        <v>43826</v>
      </c>
      <c r="E141" s="4">
        <v>43431</v>
      </c>
      <c r="F141" s="2" t="str">
        <f>IF($A141="","",INDEX(v_data!$B$2:$L$1000,MATCH($A141,v_data!$A$3:$A$1000,0)+1,MATCH(LOWER(F$1),v_data!$B$2:$L$2,0)))</f>
        <v/>
      </c>
      <c r="G141" s="2" t="str">
        <f t="shared" si="196"/>
        <v/>
      </c>
      <c r="H141" s="2" t="str">
        <f>IF($A141="","",INDEX(v_data!$B$2:$L$1000,MATCH($A141,v_data!$A$3:$A$1000,0)+1,MATCH(LOWER(H$1),v_data!$B$2:$L$2,0)))</f>
        <v/>
      </c>
      <c r="I141" s="2" t="str">
        <f t="shared" si="197"/>
        <v/>
      </c>
      <c r="J141" s="2" t="str">
        <f>IF($A141="","",INDEX(v_data!$B$2:$L$1000,MATCH($A141,v_data!$A$3:$A$1000,0)+1,MATCH(LOWER(J$1),v_data!$B$2:$L$2,0)))</f>
        <v/>
      </c>
      <c r="K141" s="2" t="str">
        <f t="shared" si="198"/>
        <v/>
      </c>
      <c r="L141" s="2" t="str">
        <f>IF($A141="","",INDEX(v_data!$B$2:$L$1000,MATCH($A141,v_data!$A$3:$A$1000,0)+1,MATCH(LOWER(L$1),v_data!$B$2:$L$2,0)))</f>
        <v/>
      </c>
      <c r="M141" s="2" t="str">
        <f t="shared" si="199"/>
        <v/>
      </c>
      <c r="N141" s="2" t="str">
        <f>IF($A141="","",INDEX(v_data!$B$2:$L$1000,MATCH($A141,v_data!$A$3:$A$1000,0)+1,MATCH(LOWER(N$1),v_data!$B$2:$L$2,0)))</f>
        <v/>
      </c>
      <c r="O141" s="2" t="str">
        <f t="shared" si="200"/>
        <v/>
      </c>
      <c r="P141" s="2" t="str">
        <f>IF($A141="","",INDEX(v_data!$B$2:$L$1000,MATCH($A141,v_data!$A$3:$A$1000,0)+1,MATCH(LOWER(P$1),v_data!$B$2:$L$2,0)))</f>
        <v/>
      </c>
      <c r="Q141" s="2" t="str">
        <f t="shared" si="201"/>
        <v/>
      </c>
      <c r="R141" s="2" t="str">
        <f>IF($A141="","",INDEX(v_data!$B$2:$L$1000,MATCH($A141,v_data!$A$3:$A$1000,0)+1,MATCH(LOWER(R$1),v_data!$B$2:$L$2,0)))</f>
        <v/>
      </c>
      <c r="S141" s="2" t="str">
        <f t="shared" si="202"/>
        <v/>
      </c>
      <c r="T141" s="2" t="str">
        <f>IF($A141="","",INDEX(v_data!$B$2:$L$1000,MATCH($A141,v_data!$A$3:$A$1000,0)+1,MATCH(LOWER(T$1),v_data!$B$2:$L$2,0)))</f>
        <v/>
      </c>
      <c r="U141" s="2" t="str">
        <f t="shared" si="203"/>
        <v/>
      </c>
      <c r="V141" s="2" t="str">
        <f>IF($A141="","",INDEX(v_data!$B$2:$L$1000,MATCH($A141,v_data!$A$3:$A$1000,0)+1,MATCH(LOWER(V$1),v_data!$B$2:$L$2,0)))</f>
        <v/>
      </c>
      <c r="W141" s="2" t="str">
        <f t="shared" si="204"/>
        <v/>
      </c>
      <c r="X141" s="2" t="str">
        <f>IF($A141="","",INDEX(v_data!$B$2:$L$1000,MATCH($A141,v_data!$A$3:$A$1000,0)+1,MATCH(LOWER(X$1),v_data!$B$2:$L$2,0)))</f>
        <v/>
      </c>
      <c r="Y141" s="2" t="str">
        <f t="shared" si="205"/>
        <v/>
      </c>
      <c r="Z141" s="2" t="str">
        <f>IF($A141="","",INDEX(v_data!$B$2:$L$1000,MATCH($A141,v_data!$A$3:$A$1000,0)+1,MATCH(LOWER(Z$1),v_data!$B$2:$L$2,0)))</f>
        <v/>
      </c>
      <c r="AA141" s="2" t="str">
        <f t="shared" si="206"/>
        <v/>
      </c>
      <c r="AB141" s="2" t="str">
        <f t="shared" si="207"/>
        <v/>
      </c>
      <c r="AC141" s="2">
        <f>(SUM(G141,I141,K141,M141,O141,Q141,S141,U141,W141,Y141,AA141)+IF(AND(G141&gt;0,I141&gt;0,K141&gt;0),100,0))*VLOOKUP(B141,variables!$A$2:$B$6,2,FALSE)</f>
        <v>80</v>
      </c>
      <c r="AD141" s="16" t="str">
        <f>IF($A141="","",INDEX(v_data!$B$2:$X$1000,MATCH($A141,v_data!$A$3:$A$1000,0)+1,MATCH(LOWER("hours"),v_data!$B$2:$X$2,0)))</f>
        <v/>
      </c>
    </row>
    <row r="142" spans="1:30" hidden="1" x14ac:dyDescent="0.25">
      <c r="A142" s="2" t="str">
        <f>IF(ISBLANK(v_data!A141),"",v_data!A141)</f>
        <v/>
      </c>
      <c r="B142" s="2" t="s">
        <v>22</v>
      </c>
      <c r="C142" s="2">
        <f>VLOOKUP(B142,variables!$A$2:$B$6,2,FALSE)</f>
        <v>0.8</v>
      </c>
      <c r="D142" s="4">
        <v>43826</v>
      </c>
      <c r="E142" s="4">
        <v>43431</v>
      </c>
      <c r="F142" s="2" t="str">
        <f>IF($A142="","",INDEX(v_data!$B$2:$L$1000,MATCH($A142,v_data!$A$3:$A$1000,0)+1,MATCH(LOWER(F$1),v_data!$B$2:$L$2,0)))</f>
        <v/>
      </c>
      <c r="G142" s="2" t="str">
        <f t="shared" si="196"/>
        <v/>
      </c>
      <c r="H142" s="2" t="str">
        <f>IF($A142="","",INDEX(v_data!$B$2:$L$1000,MATCH($A142,v_data!$A$3:$A$1000,0)+1,MATCH(LOWER(H$1),v_data!$B$2:$L$2,0)))</f>
        <v/>
      </c>
      <c r="I142" s="2" t="str">
        <f t="shared" si="197"/>
        <v/>
      </c>
      <c r="J142" s="2" t="str">
        <f>IF($A142="","",INDEX(v_data!$B$2:$L$1000,MATCH($A142,v_data!$A$3:$A$1000,0)+1,MATCH(LOWER(J$1),v_data!$B$2:$L$2,0)))</f>
        <v/>
      </c>
      <c r="K142" s="2" t="str">
        <f t="shared" si="198"/>
        <v/>
      </c>
      <c r="L142" s="2" t="str">
        <f>IF($A142="","",INDEX(v_data!$B$2:$L$1000,MATCH($A142,v_data!$A$3:$A$1000,0)+1,MATCH(LOWER(L$1),v_data!$B$2:$L$2,0)))</f>
        <v/>
      </c>
      <c r="M142" s="2" t="str">
        <f t="shared" si="199"/>
        <v/>
      </c>
      <c r="N142" s="2" t="str">
        <f>IF($A142="","",INDEX(v_data!$B$2:$L$1000,MATCH($A142,v_data!$A$3:$A$1000,0)+1,MATCH(LOWER(N$1),v_data!$B$2:$L$2,0)))</f>
        <v/>
      </c>
      <c r="O142" s="2" t="str">
        <f t="shared" si="200"/>
        <v/>
      </c>
      <c r="P142" s="2" t="str">
        <f>IF($A142="","",INDEX(v_data!$B$2:$L$1000,MATCH($A142,v_data!$A$3:$A$1000,0)+1,MATCH(LOWER(P$1),v_data!$B$2:$L$2,0)))</f>
        <v/>
      </c>
      <c r="Q142" s="2" t="str">
        <f t="shared" si="201"/>
        <v/>
      </c>
      <c r="R142" s="2" t="str">
        <f>IF($A142="","",INDEX(v_data!$B$2:$L$1000,MATCH($A142,v_data!$A$3:$A$1000,0)+1,MATCH(LOWER(R$1),v_data!$B$2:$L$2,0)))</f>
        <v/>
      </c>
      <c r="S142" s="2" t="str">
        <f t="shared" si="202"/>
        <v/>
      </c>
      <c r="T142" s="2" t="str">
        <f>IF($A142="","",INDEX(v_data!$B$2:$L$1000,MATCH($A142,v_data!$A$3:$A$1000,0)+1,MATCH(LOWER(T$1),v_data!$B$2:$L$2,0)))</f>
        <v/>
      </c>
      <c r="U142" s="2" t="str">
        <f t="shared" si="203"/>
        <v/>
      </c>
      <c r="V142" s="2" t="str">
        <f>IF($A142="","",INDEX(v_data!$B$2:$L$1000,MATCH($A142,v_data!$A$3:$A$1000,0)+1,MATCH(LOWER(V$1),v_data!$B$2:$L$2,0)))</f>
        <v/>
      </c>
      <c r="W142" s="2" t="str">
        <f t="shared" si="204"/>
        <v/>
      </c>
      <c r="X142" s="2" t="str">
        <f>IF($A142="","",INDEX(v_data!$B$2:$L$1000,MATCH($A142,v_data!$A$3:$A$1000,0)+1,MATCH(LOWER(X$1),v_data!$B$2:$L$2,0)))</f>
        <v/>
      </c>
      <c r="Y142" s="2" t="str">
        <f t="shared" si="205"/>
        <v/>
      </c>
      <c r="Z142" s="2" t="str">
        <f>IF($A142="","",INDEX(v_data!$B$2:$L$1000,MATCH($A142,v_data!$A$3:$A$1000,0)+1,MATCH(LOWER(Z$1),v_data!$B$2:$L$2,0)))</f>
        <v/>
      </c>
      <c r="AA142" s="2" t="str">
        <f t="shared" si="206"/>
        <v/>
      </c>
      <c r="AB142" s="2" t="str">
        <f t="shared" si="207"/>
        <v/>
      </c>
      <c r="AC142" s="2">
        <f>(SUM(G142,I142,K142,M142,O142,Q142,S142,U142,W142,Y142,AA142)+IF(AND(G142&gt;0,I142&gt;0,K142&gt;0),100,0))*VLOOKUP(B142,variables!$A$2:$B$6,2,FALSE)</f>
        <v>80</v>
      </c>
      <c r="AD142" s="16" t="str">
        <f>IF($A142="","",INDEX(v_data!$B$2:$X$1000,MATCH($A142,v_data!$A$3:$A$1000,0)+1,MATCH(LOWER("hours"),v_data!$B$2:$X$2,0)))</f>
        <v/>
      </c>
    </row>
    <row r="143" spans="1:30" hidden="1" x14ac:dyDescent="0.25">
      <c r="A143" s="2" t="str">
        <f>IF(ISBLANK(v_data!A142),"",v_data!A142)</f>
        <v/>
      </c>
      <c r="B143" s="2" t="s">
        <v>22</v>
      </c>
      <c r="C143" s="2">
        <f>VLOOKUP(B143,variables!$A$2:$B$6,2,FALSE)</f>
        <v>0.8</v>
      </c>
      <c r="D143" s="4">
        <v>43826</v>
      </c>
      <c r="E143" s="4">
        <v>43431</v>
      </c>
      <c r="F143" s="2" t="str">
        <f>IF($A143="","",INDEX(v_data!$B$2:$L$1000,MATCH($A143,v_data!$A$3:$A$1000,0)+1,MATCH(LOWER(F$1),v_data!$B$2:$L$2,0)))</f>
        <v/>
      </c>
      <c r="G143" s="2" t="str">
        <f t="shared" si="196"/>
        <v/>
      </c>
      <c r="H143" s="2" t="str">
        <f>IF($A143="","",INDEX(v_data!$B$2:$L$1000,MATCH($A143,v_data!$A$3:$A$1000,0)+1,MATCH(LOWER(H$1),v_data!$B$2:$L$2,0)))</f>
        <v/>
      </c>
      <c r="I143" s="2" t="str">
        <f t="shared" si="197"/>
        <v/>
      </c>
      <c r="J143" s="2" t="str">
        <f>IF($A143="","",INDEX(v_data!$B$2:$L$1000,MATCH($A143,v_data!$A$3:$A$1000,0)+1,MATCH(LOWER(J$1),v_data!$B$2:$L$2,0)))</f>
        <v/>
      </c>
      <c r="K143" s="2" t="str">
        <f t="shared" si="198"/>
        <v/>
      </c>
      <c r="L143" s="2" t="str">
        <f>IF($A143="","",INDEX(v_data!$B$2:$L$1000,MATCH($A143,v_data!$A$3:$A$1000,0)+1,MATCH(LOWER(L$1),v_data!$B$2:$L$2,0)))</f>
        <v/>
      </c>
      <c r="M143" s="2" t="str">
        <f t="shared" si="199"/>
        <v/>
      </c>
      <c r="N143" s="2" t="str">
        <f>IF($A143="","",INDEX(v_data!$B$2:$L$1000,MATCH($A143,v_data!$A$3:$A$1000,0)+1,MATCH(LOWER(N$1),v_data!$B$2:$L$2,0)))</f>
        <v/>
      </c>
      <c r="O143" s="2" t="str">
        <f t="shared" si="200"/>
        <v/>
      </c>
      <c r="P143" s="2" t="str">
        <f>IF($A143="","",INDEX(v_data!$B$2:$L$1000,MATCH($A143,v_data!$A$3:$A$1000,0)+1,MATCH(LOWER(P$1),v_data!$B$2:$L$2,0)))</f>
        <v/>
      </c>
      <c r="Q143" s="2" t="str">
        <f t="shared" si="201"/>
        <v/>
      </c>
      <c r="R143" s="2" t="str">
        <f>IF($A143="","",INDEX(v_data!$B$2:$L$1000,MATCH($A143,v_data!$A$3:$A$1000,0)+1,MATCH(LOWER(R$1),v_data!$B$2:$L$2,0)))</f>
        <v/>
      </c>
      <c r="S143" s="2" t="str">
        <f t="shared" si="202"/>
        <v/>
      </c>
      <c r="T143" s="2" t="str">
        <f>IF($A143="","",INDEX(v_data!$B$2:$L$1000,MATCH($A143,v_data!$A$3:$A$1000,0)+1,MATCH(LOWER(T$1),v_data!$B$2:$L$2,0)))</f>
        <v/>
      </c>
      <c r="U143" s="2" t="str">
        <f t="shared" si="203"/>
        <v/>
      </c>
      <c r="V143" s="2" t="str">
        <f>IF($A143="","",INDEX(v_data!$B$2:$L$1000,MATCH($A143,v_data!$A$3:$A$1000,0)+1,MATCH(LOWER(V$1),v_data!$B$2:$L$2,0)))</f>
        <v/>
      </c>
      <c r="W143" s="2" t="str">
        <f t="shared" si="204"/>
        <v/>
      </c>
      <c r="X143" s="2" t="str">
        <f>IF($A143="","",INDEX(v_data!$B$2:$L$1000,MATCH($A143,v_data!$A$3:$A$1000,0)+1,MATCH(LOWER(X$1),v_data!$B$2:$L$2,0)))</f>
        <v/>
      </c>
      <c r="Y143" s="2" t="str">
        <f t="shared" si="205"/>
        <v/>
      </c>
      <c r="Z143" s="2" t="str">
        <f>IF($A143="","",INDEX(v_data!$B$2:$L$1000,MATCH($A143,v_data!$A$3:$A$1000,0)+1,MATCH(LOWER(Z$1),v_data!$B$2:$L$2,0)))</f>
        <v/>
      </c>
      <c r="AA143" s="2" t="str">
        <f t="shared" si="206"/>
        <v/>
      </c>
      <c r="AB143" s="2" t="str">
        <f t="shared" si="207"/>
        <v/>
      </c>
      <c r="AC143" s="2">
        <f>(SUM(G143,I143,K143,M143,O143,Q143,S143,U143,W143,Y143,AA143)+IF(AND(G143&gt;0,I143&gt;0,K143&gt;0),100,0))*VLOOKUP(B143,variables!$A$2:$B$6,2,FALSE)</f>
        <v>80</v>
      </c>
      <c r="AD143" s="16" t="str">
        <f>IF($A143="","",INDEX(v_data!$B$2:$X$1000,MATCH($A143,v_data!$A$3:$A$1000,0)+1,MATCH(LOWER("hours"),v_data!$B$2:$X$2,0)))</f>
        <v/>
      </c>
    </row>
    <row r="144" spans="1:30" hidden="1" x14ac:dyDescent="0.25">
      <c r="A144" s="2" t="str">
        <f>IF(ISBLANK(v_data!A143),"",v_data!A143)</f>
        <v/>
      </c>
      <c r="B144" s="2" t="s">
        <v>22</v>
      </c>
      <c r="C144" s="2">
        <f>VLOOKUP(B144,variables!$A$2:$B$6,2,FALSE)</f>
        <v>0.8</v>
      </c>
      <c r="D144" s="4">
        <v>43826</v>
      </c>
      <c r="E144" s="4">
        <v>43431</v>
      </c>
      <c r="F144" s="2" t="str">
        <f>IF($A144="","",INDEX(v_data!$B$2:$L$1000,MATCH($A144,v_data!$A$3:$A$1000,0)+1,MATCH(LOWER(F$1),v_data!$B$2:$L$2,0)))</f>
        <v/>
      </c>
      <c r="G144" s="2" t="str">
        <f t="shared" si="196"/>
        <v/>
      </c>
      <c r="H144" s="2" t="str">
        <f>IF($A144="","",INDEX(v_data!$B$2:$L$1000,MATCH($A144,v_data!$A$3:$A$1000,0)+1,MATCH(LOWER(H$1),v_data!$B$2:$L$2,0)))</f>
        <v/>
      </c>
      <c r="I144" s="2" t="str">
        <f t="shared" si="197"/>
        <v/>
      </c>
      <c r="J144" s="2" t="str">
        <f>IF($A144="","",INDEX(v_data!$B$2:$L$1000,MATCH($A144,v_data!$A$3:$A$1000,0)+1,MATCH(LOWER(J$1),v_data!$B$2:$L$2,0)))</f>
        <v/>
      </c>
      <c r="K144" s="2" t="str">
        <f t="shared" si="198"/>
        <v/>
      </c>
      <c r="L144" s="2" t="str">
        <f>IF($A144="","",INDEX(v_data!$B$2:$L$1000,MATCH($A144,v_data!$A$3:$A$1000,0)+1,MATCH(LOWER(L$1),v_data!$B$2:$L$2,0)))</f>
        <v/>
      </c>
      <c r="M144" s="2" t="str">
        <f t="shared" si="199"/>
        <v/>
      </c>
      <c r="N144" s="2" t="str">
        <f>IF($A144="","",INDEX(v_data!$B$2:$L$1000,MATCH($A144,v_data!$A$3:$A$1000,0)+1,MATCH(LOWER(N$1),v_data!$B$2:$L$2,0)))</f>
        <v/>
      </c>
      <c r="O144" s="2" t="str">
        <f t="shared" si="200"/>
        <v/>
      </c>
      <c r="P144" s="2" t="str">
        <f>IF($A144="","",INDEX(v_data!$B$2:$L$1000,MATCH($A144,v_data!$A$3:$A$1000,0)+1,MATCH(LOWER(P$1),v_data!$B$2:$L$2,0)))</f>
        <v/>
      </c>
      <c r="Q144" s="2" t="str">
        <f t="shared" si="201"/>
        <v/>
      </c>
      <c r="R144" s="2" t="str">
        <f>IF($A144="","",INDEX(v_data!$B$2:$L$1000,MATCH($A144,v_data!$A$3:$A$1000,0)+1,MATCH(LOWER(R$1),v_data!$B$2:$L$2,0)))</f>
        <v/>
      </c>
      <c r="S144" s="2" t="str">
        <f t="shared" si="202"/>
        <v/>
      </c>
      <c r="T144" s="2" t="str">
        <f>IF($A144="","",INDEX(v_data!$B$2:$L$1000,MATCH($A144,v_data!$A$3:$A$1000,0)+1,MATCH(LOWER(T$1),v_data!$B$2:$L$2,0)))</f>
        <v/>
      </c>
      <c r="U144" s="2" t="str">
        <f t="shared" si="203"/>
        <v/>
      </c>
      <c r="V144" s="2" t="str">
        <f>IF($A144="","",INDEX(v_data!$B$2:$L$1000,MATCH($A144,v_data!$A$3:$A$1000,0)+1,MATCH(LOWER(V$1),v_data!$B$2:$L$2,0)))</f>
        <v/>
      </c>
      <c r="W144" s="2" t="str">
        <f t="shared" si="204"/>
        <v/>
      </c>
      <c r="X144" s="2" t="str">
        <f>IF($A144="","",INDEX(v_data!$B$2:$L$1000,MATCH($A144,v_data!$A$3:$A$1000,0)+1,MATCH(LOWER(X$1),v_data!$B$2:$L$2,0)))</f>
        <v/>
      </c>
      <c r="Y144" s="2" t="str">
        <f t="shared" si="205"/>
        <v/>
      </c>
      <c r="Z144" s="2" t="str">
        <f>IF($A144="","",INDEX(v_data!$B$2:$L$1000,MATCH($A144,v_data!$A$3:$A$1000,0)+1,MATCH(LOWER(Z$1),v_data!$B$2:$L$2,0)))</f>
        <v/>
      </c>
      <c r="AA144" s="2" t="str">
        <f t="shared" si="206"/>
        <v/>
      </c>
      <c r="AB144" s="2" t="str">
        <f t="shared" si="207"/>
        <v/>
      </c>
      <c r="AC144" s="2">
        <f>(SUM(G144,I144,K144,M144,O144,Q144,S144,U144,W144,Y144,AA144)+IF(AND(G144&gt;0,I144&gt;0,K144&gt;0),100,0))*VLOOKUP(B144,variables!$A$2:$B$6,2,FALSE)</f>
        <v>80</v>
      </c>
      <c r="AD144" s="16" t="str">
        <f>IF($A144="","",INDEX(v_data!$B$2:$X$1000,MATCH($A144,v_data!$A$3:$A$1000,0)+1,MATCH(LOWER("hours"),v_data!$B$2:$X$2,0)))</f>
        <v/>
      </c>
    </row>
    <row r="145" spans="1:30" hidden="1" x14ac:dyDescent="0.25">
      <c r="A145" s="2" t="str">
        <f>IF(ISBLANK(v_data!A144),"",v_data!A144)</f>
        <v/>
      </c>
      <c r="B145" s="2" t="s">
        <v>22</v>
      </c>
      <c r="C145" s="2">
        <f>VLOOKUP(B145,variables!$A$2:$B$6,2,FALSE)</f>
        <v>0.8</v>
      </c>
      <c r="D145" s="4">
        <v>43826</v>
      </c>
      <c r="E145" s="4">
        <v>43431</v>
      </c>
      <c r="F145" s="2" t="str">
        <f>IF($A145="","",INDEX(v_data!$B$2:$L$1000,MATCH($A145,v_data!$A$3:$A$1000,0)+1,MATCH(LOWER(F$1),v_data!$B$2:$L$2,0)))</f>
        <v/>
      </c>
      <c r="G145" s="2" t="str">
        <f t="shared" si="196"/>
        <v/>
      </c>
      <c r="H145" s="2" t="str">
        <f>IF($A145="","",INDEX(v_data!$B$2:$L$1000,MATCH($A145,v_data!$A$3:$A$1000,0)+1,MATCH(LOWER(H$1),v_data!$B$2:$L$2,0)))</f>
        <v/>
      </c>
      <c r="I145" s="2" t="str">
        <f t="shared" si="197"/>
        <v/>
      </c>
      <c r="J145" s="2" t="str">
        <f>IF($A145="","",INDEX(v_data!$B$2:$L$1000,MATCH($A145,v_data!$A$3:$A$1000,0)+1,MATCH(LOWER(J$1),v_data!$B$2:$L$2,0)))</f>
        <v/>
      </c>
      <c r="K145" s="2" t="str">
        <f t="shared" si="198"/>
        <v/>
      </c>
      <c r="L145" s="2" t="str">
        <f>IF($A145="","",INDEX(v_data!$B$2:$L$1000,MATCH($A145,v_data!$A$3:$A$1000,0)+1,MATCH(LOWER(L$1),v_data!$B$2:$L$2,0)))</f>
        <v/>
      </c>
      <c r="M145" s="2" t="str">
        <f t="shared" si="199"/>
        <v/>
      </c>
      <c r="N145" s="2" t="str">
        <f>IF($A145="","",INDEX(v_data!$B$2:$L$1000,MATCH($A145,v_data!$A$3:$A$1000,0)+1,MATCH(LOWER(N$1),v_data!$B$2:$L$2,0)))</f>
        <v/>
      </c>
      <c r="O145" s="2" t="str">
        <f t="shared" si="200"/>
        <v/>
      </c>
      <c r="P145" s="2" t="str">
        <f>IF($A145="","",INDEX(v_data!$B$2:$L$1000,MATCH($A145,v_data!$A$3:$A$1000,0)+1,MATCH(LOWER(P$1),v_data!$B$2:$L$2,0)))</f>
        <v/>
      </c>
      <c r="Q145" s="2" t="str">
        <f t="shared" si="201"/>
        <v/>
      </c>
      <c r="R145" s="2" t="str">
        <f>IF($A145="","",INDEX(v_data!$B$2:$L$1000,MATCH($A145,v_data!$A$3:$A$1000,0)+1,MATCH(LOWER(R$1),v_data!$B$2:$L$2,0)))</f>
        <v/>
      </c>
      <c r="S145" s="2" t="str">
        <f t="shared" si="202"/>
        <v/>
      </c>
      <c r="T145" s="2" t="str">
        <f>IF($A145="","",INDEX(v_data!$B$2:$L$1000,MATCH($A145,v_data!$A$3:$A$1000,0)+1,MATCH(LOWER(T$1),v_data!$B$2:$L$2,0)))</f>
        <v/>
      </c>
      <c r="U145" s="2" t="str">
        <f t="shared" si="203"/>
        <v/>
      </c>
      <c r="V145" s="2" t="str">
        <f>IF($A145="","",INDEX(v_data!$B$2:$L$1000,MATCH($A145,v_data!$A$3:$A$1000,0)+1,MATCH(LOWER(V$1),v_data!$B$2:$L$2,0)))</f>
        <v/>
      </c>
      <c r="W145" s="2" t="str">
        <f t="shared" si="204"/>
        <v/>
      </c>
      <c r="X145" s="2" t="str">
        <f>IF($A145="","",INDEX(v_data!$B$2:$L$1000,MATCH($A145,v_data!$A$3:$A$1000,0)+1,MATCH(LOWER(X$1),v_data!$B$2:$L$2,0)))</f>
        <v/>
      </c>
      <c r="Y145" s="2" t="str">
        <f t="shared" si="205"/>
        <v/>
      </c>
      <c r="Z145" s="2" t="str">
        <f>IF($A145="","",INDEX(v_data!$B$2:$L$1000,MATCH($A145,v_data!$A$3:$A$1000,0)+1,MATCH(LOWER(Z$1),v_data!$B$2:$L$2,0)))</f>
        <v/>
      </c>
      <c r="AA145" s="2" t="str">
        <f t="shared" si="206"/>
        <v/>
      </c>
      <c r="AB145" s="2" t="str">
        <f t="shared" si="207"/>
        <v/>
      </c>
      <c r="AC145" s="2">
        <f>(SUM(G145,I145,K145,M145,O145,Q145,S145,U145,W145,Y145,AA145)+IF(AND(G145&gt;0,I145&gt;0,K145&gt;0),100,0))*VLOOKUP(B145,variables!$A$2:$B$6,2,FALSE)</f>
        <v>80</v>
      </c>
      <c r="AD145" s="16" t="str">
        <f>IF($A145="","",INDEX(v_data!$B$2:$X$1000,MATCH($A145,v_data!$A$3:$A$1000,0)+1,MATCH(LOWER("hours"),v_data!$B$2:$X$2,0)))</f>
        <v/>
      </c>
    </row>
    <row r="146" spans="1:30" hidden="1" x14ac:dyDescent="0.25">
      <c r="A146" s="2" t="str">
        <f>IF(ISBLANK(v_data!A145),"",v_data!A145)</f>
        <v/>
      </c>
      <c r="B146" s="2" t="s">
        <v>22</v>
      </c>
      <c r="C146" s="2">
        <f>VLOOKUP(B146,variables!$A$2:$B$6,2,FALSE)</f>
        <v>0.8</v>
      </c>
      <c r="D146" s="4">
        <v>43826</v>
      </c>
      <c r="E146" s="4">
        <v>43431</v>
      </c>
      <c r="F146" s="2" t="str">
        <f>IF($A146="","",INDEX(v_data!$B$2:$L$1000,MATCH($A146,v_data!$A$3:$A$1000,0)+1,MATCH(LOWER(F$1),v_data!$B$2:$L$2,0)))</f>
        <v/>
      </c>
      <c r="G146" s="2" t="str">
        <f t="shared" si="196"/>
        <v/>
      </c>
      <c r="H146" s="2" t="str">
        <f>IF($A146="","",INDEX(v_data!$B$2:$L$1000,MATCH($A146,v_data!$A$3:$A$1000,0)+1,MATCH(LOWER(H$1),v_data!$B$2:$L$2,0)))</f>
        <v/>
      </c>
      <c r="I146" s="2" t="str">
        <f t="shared" si="197"/>
        <v/>
      </c>
      <c r="J146" s="2" t="str">
        <f>IF($A146="","",INDEX(v_data!$B$2:$L$1000,MATCH($A146,v_data!$A$3:$A$1000,0)+1,MATCH(LOWER(J$1),v_data!$B$2:$L$2,0)))</f>
        <v/>
      </c>
      <c r="K146" s="2" t="str">
        <f t="shared" si="198"/>
        <v/>
      </c>
      <c r="L146" s="2" t="str">
        <f>IF($A146="","",INDEX(v_data!$B$2:$L$1000,MATCH($A146,v_data!$A$3:$A$1000,0)+1,MATCH(LOWER(L$1),v_data!$B$2:$L$2,0)))</f>
        <v/>
      </c>
      <c r="M146" s="2" t="str">
        <f t="shared" si="199"/>
        <v/>
      </c>
      <c r="N146" s="2" t="str">
        <f>IF($A146="","",INDEX(v_data!$B$2:$L$1000,MATCH($A146,v_data!$A$3:$A$1000,0)+1,MATCH(LOWER(N$1),v_data!$B$2:$L$2,0)))</f>
        <v/>
      </c>
      <c r="O146" s="2" t="str">
        <f t="shared" si="200"/>
        <v/>
      </c>
      <c r="P146" s="2" t="str">
        <f>IF($A146="","",INDEX(v_data!$B$2:$L$1000,MATCH($A146,v_data!$A$3:$A$1000,0)+1,MATCH(LOWER(P$1),v_data!$B$2:$L$2,0)))</f>
        <v/>
      </c>
      <c r="Q146" s="2" t="str">
        <f t="shared" si="201"/>
        <v/>
      </c>
      <c r="R146" s="2" t="str">
        <f>IF($A146="","",INDEX(v_data!$B$2:$L$1000,MATCH($A146,v_data!$A$3:$A$1000,0)+1,MATCH(LOWER(R$1),v_data!$B$2:$L$2,0)))</f>
        <v/>
      </c>
      <c r="S146" s="2" t="str">
        <f t="shared" si="202"/>
        <v/>
      </c>
      <c r="T146" s="2" t="str">
        <f>IF($A146="","",INDEX(v_data!$B$2:$L$1000,MATCH($A146,v_data!$A$3:$A$1000,0)+1,MATCH(LOWER(T$1),v_data!$B$2:$L$2,0)))</f>
        <v/>
      </c>
      <c r="U146" s="2" t="str">
        <f t="shared" si="203"/>
        <v/>
      </c>
      <c r="V146" s="2" t="str">
        <f>IF($A146="","",INDEX(v_data!$B$2:$L$1000,MATCH($A146,v_data!$A$3:$A$1000,0)+1,MATCH(LOWER(V$1),v_data!$B$2:$L$2,0)))</f>
        <v/>
      </c>
      <c r="W146" s="2" t="str">
        <f t="shared" si="204"/>
        <v/>
      </c>
      <c r="X146" s="2" t="str">
        <f>IF($A146="","",INDEX(v_data!$B$2:$L$1000,MATCH($A146,v_data!$A$3:$A$1000,0)+1,MATCH(LOWER(X$1),v_data!$B$2:$L$2,0)))</f>
        <v/>
      </c>
      <c r="Y146" s="2" t="str">
        <f t="shared" si="205"/>
        <v/>
      </c>
      <c r="Z146" s="2" t="str">
        <f>IF($A146="","",INDEX(v_data!$B$2:$L$1000,MATCH($A146,v_data!$A$3:$A$1000,0)+1,MATCH(LOWER(Z$1),v_data!$B$2:$L$2,0)))</f>
        <v/>
      </c>
      <c r="AA146" s="2" t="str">
        <f t="shared" si="206"/>
        <v/>
      </c>
      <c r="AB146" s="2" t="str">
        <f t="shared" si="207"/>
        <v/>
      </c>
      <c r="AC146" s="2">
        <f>(SUM(G146,I146,K146,M146,O146,Q146,S146,U146,W146,Y146,AA146)+IF(AND(G146&gt;0,I146&gt;0,K146&gt;0),100,0))*VLOOKUP(B146,variables!$A$2:$B$6,2,FALSE)</f>
        <v>80</v>
      </c>
      <c r="AD146" s="16" t="str">
        <f>IF($A146="","",INDEX(v_data!$B$2:$X$1000,MATCH($A146,v_data!$A$3:$A$1000,0)+1,MATCH(LOWER("hours"),v_data!$B$2:$X$2,0)))</f>
        <v/>
      </c>
    </row>
    <row r="147" spans="1:30" hidden="1" x14ac:dyDescent="0.25">
      <c r="A147" s="2" t="str">
        <f>IF(ISBLANK(v_data!A146),"",v_data!A146)</f>
        <v/>
      </c>
      <c r="B147" s="2" t="s">
        <v>22</v>
      </c>
      <c r="C147" s="2">
        <f>VLOOKUP(B147,variables!$A$2:$B$6,2,FALSE)</f>
        <v>0.8</v>
      </c>
      <c r="D147" s="4">
        <v>43826</v>
      </c>
      <c r="E147" s="4">
        <v>43431</v>
      </c>
      <c r="F147" s="2" t="str">
        <f>IF($A147="","",INDEX(v_data!$B$2:$L$1000,MATCH($A147,v_data!$A$3:$A$1000,0)+1,MATCH(LOWER(F$1),v_data!$B$2:$L$2,0)))</f>
        <v/>
      </c>
      <c r="G147" s="2" t="str">
        <f t="shared" si="196"/>
        <v/>
      </c>
      <c r="H147" s="2" t="str">
        <f>IF($A147="","",INDEX(v_data!$B$2:$L$1000,MATCH($A147,v_data!$A$3:$A$1000,0)+1,MATCH(LOWER(H$1),v_data!$B$2:$L$2,0)))</f>
        <v/>
      </c>
      <c r="I147" s="2" t="str">
        <f t="shared" si="197"/>
        <v/>
      </c>
      <c r="J147" s="2" t="str">
        <f>IF($A147="","",INDEX(v_data!$B$2:$L$1000,MATCH($A147,v_data!$A$3:$A$1000,0)+1,MATCH(LOWER(J$1),v_data!$B$2:$L$2,0)))</f>
        <v/>
      </c>
      <c r="K147" s="2" t="str">
        <f t="shared" si="198"/>
        <v/>
      </c>
      <c r="L147" s="2" t="str">
        <f>IF($A147="","",INDEX(v_data!$B$2:$L$1000,MATCH($A147,v_data!$A$3:$A$1000,0)+1,MATCH(LOWER(L$1),v_data!$B$2:$L$2,0)))</f>
        <v/>
      </c>
      <c r="M147" s="2" t="str">
        <f t="shared" si="199"/>
        <v/>
      </c>
      <c r="N147" s="2" t="str">
        <f>IF($A147="","",INDEX(v_data!$B$2:$L$1000,MATCH($A147,v_data!$A$3:$A$1000,0)+1,MATCH(LOWER(N$1),v_data!$B$2:$L$2,0)))</f>
        <v/>
      </c>
      <c r="O147" s="2" t="str">
        <f t="shared" si="200"/>
        <v/>
      </c>
      <c r="P147" s="2" t="str">
        <f>IF($A147="","",INDEX(v_data!$B$2:$L$1000,MATCH($A147,v_data!$A$3:$A$1000,0)+1,MATCH(LOWER(P$1),v_data!$B$2:$L$2,0)))</f>
        <v/>
      </c>
      <c r="Q147" s="2" t="str">
        <f t="shared" si="201"/>
        <v/>
      </c>
      <c r="R147" s="2" t="str">
        <f>IF($A147="","",INDEX(v_data!$B$2:$L$1000,MATCH($A147,v_data!$A$3:$A$1000,0)+1,MATCH(LOWER(R$1),v_data!$B$2:$L$2,0)))</f>
        <v/>
      </c>
      <c r="S147" s="2" t="str">
        <f t="shared" si="202"/>
        <v/>
      </c>
      <c r="T147" s="2" t="str">
        <f>IF($A147="","",INDEX(v_data!$B$2:$L$1000,MATCH($A147,v_data!$A$3:$A$1000,0)+1,MATCH(LOWER(T$1),v_data!$B$2:$L$2,0)))</f>
        <v/>
      </c>
      <c r="U147" s="2" t="str">
        <f t="shared" si="203"/>
        <v/>
      </c>
      <c r="V147" s="2" t="str">
        <f>IF($A147="","",INDEX(v_data!$B$2:$L$1000,MATCH($A147,v_data!$A$3:$A$1000,0)+1,MATCH(LOWER(V$1),v_data!$B$2:$L$2,0)))</f>
        <v/>
      </c>
      <c r="W147" s="2" t="str">
        <f t="shared" si="204"/>
        <v/>
      </c>
      <c r="X147" s="2" t="str">
        <f>IF($A147="","",INDEX(v_data!$B$2:$L$1000,MATCH($A147,v_data!$A$3:$A$1000,0)+1,MATCH(LOWER(X$1),v_data!$B$2:$L$2,0)))</f>
        <v/>
      </c>
      <c r="Y147" s="2" t="str">
        <f t="shared" si="205"/>
        <v/>
      </c>
      <c r="Z147" s="2" t="str">
        <f>IF($A147="","",INDEX(v_data!$B$2:$L$1000,MATCH($A147,v_data!$A$3:$A$1000,0)+1,MATCH(LOWER(Z$1),v_data!$B$2:$L$2,0)))</f>
        <v/>
      </c>
      <c r="AA147" s="2" t="str">
        <f t="shared" si="206"/>
        <v/>
      </c>
      <c r="AB147" s="2" t="str">
        <f t="shared" si="207"/>
        <v/>
      </c>
      <c r="AC147" s="2">
        <f>(SUM(G147,I147,K147,M147,O147,Q147,S147,U147,W147,Y147,AA147)+IF(AND(G147&gt;0,I147&gt;0,K147&gt;0),100,0))*VLOOKUP(B147,variables!$A$2:$B$6,2,FALSE)</f>
        <v>80</v>
      </c>
      <c r="AD147" s="16" t="str">
        <f>IF($A147="","",INDEX(v_data!$B$2:$X$1000,MATCH($A147,v_data!$A$3:$A$1000,0)+1,MATCH(LOWER("hours"),v_data!$B$2:$X$2,0)))</f>
        <v/>
      </c>
    </row>
    <row r="148" spans="1:30" hidden="1" x14ac:dyDescent="0.25">
      <c r="A148" s="2" t="str">
        <f>IF(ISBLANK(v_data!A147),"",v_data!A147)</f>
        <v/>
      </c>
      <c r="B148" s="2" t="s">
        <v>22</v>
      </c>
      <c r="C148" s="2">
        <f>VLOOKUP(B148,variables!$A$2:$B$6,2,FALSE)</f>
        <v>0.8</v>
      </c>
      <c r="D148" s="4">
        <v>43826</v>
      </c>
      <c r="E148" s="4">
        <v>43431</v>
      </c>
      <c r="F148" s="2" t="str">
        <f>IF($A148="","",INDEX(v_data!$B$2:$L$1000,MATCH($A148,v_data!$A$3:$A$1000,0)+1,MATCH(LOWER(F$1),v_data!$B$2:$L$2,0)))</f>
        <v/>
      </c>
      <c r="G148" s="2" t="str">
        <f t="shared" si="196"/>
        <v/>
      </c>
      <c r="H148" s="2" t="str">
        <f>IF($A148="","",INDEX(v_data!$B$2:$L$1000,MATCH($A148,v_data!$A$3:$A$1000,0)+1,MATCH(LOWER(H$1),v_data!$B$2:$L$2,0)))</f>
        <v/>
      </c>
      <c r="I148" s="2" t="str">
        <f t="shared" si="197"/>
        <v/>
      </c>
      <c r="J148" s="2" t="str">
        <f>IF($A148="","",INDEX(v_data!$B$2:$L$1000,MATCH($A148,v_data!$A$3:$A$1000,0)+1,MATCH(LOWER(J$1),v_data!$B$2:$L$2,0)))</f>
        <v/>
      </c>
      <c r="K148" s="2" t="str">
        <f t="shared" si="198"/>
        <v/>
      </c>
      <c r="L148" s="2" t="str">
        <f>IF($A148="","",INDEX(v_data!$B$2:$L$1000,MATCH($A148,v_data!$A$3:$A$1000,0)+1,MATCH(LOWER(L$1),v_data!$B$2:$L$2,0)))</f>
        <v/>
      </c>
      <c r="M148" s="2" t="str">
        <f t="shared" si="199"/>
        <v/>
      </c>
      <c r="N148" s="2" t="str">
        <f>IF($A148="","",INDEX(v_data!$B$2:$L$1000,MATCH($A148,v_data!$A$3:$A$1000,0)+1,MATCH(LOWER(N$1),v_data!$B$2:$L$2,0)))</f>
        <v/>
      </c>
      <c r="O148" s="2" t="str">
        <f t="shared" si="200"/>
        <v/>
      </c>
      <c r="P148" s="2" t="str">
        <f>IF($A148="","",INDEX(v_data!$B$2:$L$1000,MATCH($A148,v_data!$A$3:$A$1000,0)+1,MATCH(LOWER(P$1),v_data!$B$2:$L$2,0)))</f>
        <v/>
      </c>
      <c r="Q148" s="2" t="str">
        <f t="shared" si="201"/>
        <v/>
      </c>
      <c r="R148" s="2" t="str">
        <f>IF($A148="","",INDEX(v_data!$B$2:$L$1000,MATCH($A148,v_data!$A$3:$A$1000,0)+1,MATCH(LOWER(R$1),v_data!$B$2:$L$2,0)))</f>
        <v/>
      </c>
      <c r="S148" s="2" t="str">
        <f t="shared" si="202"/>
        <v/>
      </c>
      <c r="T148" s="2" t="str">
        <f>IF($A148="","",INDEX(v_data!$B$2:$L$1000,MATCH($A148,v_data!$A$3:$A$1000,0)+1,MATCH(LOWER(T$1),v_data!$B$2:$L$2,0)))</f>
        <v/>
      </c>
      <c r="U148" s="2" t="str">
        <f t="shared" si="203"/>
        <v/>
      </c>
      <c r="V148" s="2" t="str">
        <f>IF($A148="","",INDEX(v_data!$B$2:$L$1000,MATCH($A148,v_data!$A$3:$A$1000,0)+1,MATCH(LOWER(V$1),v_data!$B$2:$L$2,0)))</f>
        <v/>
      </c>
      <c r="W148" s="2" t="str">
        <f t="shared" si="204"/>
        <v/>
      </c>
      <c r="X148" s="2" t="str">
        <f>IF($A148="","",INDEX(v_data!$B$2:$L$1000,MATCH($A148,v_data!$A$3:$A$1000,0)+1,MATCH(LOWER(X$1),v_data!$B$2:$L$2,0)))</f>
        <v/>
      </c>
      <c r="Y148" s="2" t="str">
        <f t="shared" si="205"/>
        <v/>
      </c>
      <c r="Z148" s="2" t="str">
        <f>IF($A148="","",INDEX(v_data!$B$2:$L$1000,MATCH($A148,v_data!$A$3:$A$1000,0)+1,MATCH(LOWER(Z$1),v_data!$B$2:$L$2,0)))</f>
        <v/>
      </c>
      <c r="AA148" s="2" t="str">
        <f t="shared" si="206"/>
        <v/>
      </c>
      <c r="AB148" s="2" t="str">
        <f t="shared" si="207"/>
        <v/>
      </c>
      <c r="AC148" s="2">
        <f>(SUM(G148,I148,K148,M148,O148,Q148,S148,U148,W148,Y148,AA148)+IF(AND(G148&gt;0,I148&gt;0,K148&gt;0),100,0))*VLOOKUP(B148,variables!$A$2:$B$6,2,FALSE)</f>
        <v>80</v>
      </c>
      <c r="AD148" s="16" t="str">
        <f>IF($A148="","",INDEX(v_data!$B$2:$X$1000,MATCH($A148,v_data!$A$3:$A$1000,0)+1,MATCH(LOWER("hours"),v_data!$B$2:$X$2,0)))</f>
        <v/>
      </c>
    </row>
    <row r="149" spans="1:30" hidden="1" x14ac:dyDescent="0.25">
      <c r="A149" s="2" t="str">
        <f>IF(ISBLANK(v_data!A148),"",v_data!A148)</f>
        <v/>
      </c>
      <c r="B149" s="2" t="s">
        <v>22</v>
      </c>
      <c r="C149" s="2">
        <f>VLOOKUP(B149,variables!$A$2:$B$6,2,FALSE)</f>
        <v>0.8</v>
      </c>
      <c r="D149" s="4">
        <v>43826</v>
      </c>
      <c r="E149" s="4">
        <v>43431</v>
      </c>
      <c r="F149" s="2" t="str">
        <f>IF($A149="","",INDEX(v_data!$B$2:$L$1000,MATCH($A149,v_data!$A$3:$A$1000,0)+1,MATCH(LOWER(F$1),v_data!$B$2:$L$2,0)))</f>
        <v/>
      </c>
      <c r="G149" s="2" t="str">
        <f t="shared" si="196"/>
        <v/>
      </c>
      <c r="H149" s="2" t="str">
        <f>IF($A149="","",INDEX(v_data!$B$2:$L$1000,MATCH($A149,v_data!$A$3:$A$1000,0)+1,MATCH(LOWER(H$1),v_data!$B$2:$L$2,0)))</f>
        <v/>
      </c>
      <c r="I149" s="2" t="str">
        <f t="shared" si="197"/>
        <v/>
      </c>
      <c r="J149" s="2" t="str">
        <f>IF($A149="","",INDEX(v_data!$B$2:$L$1000,MATCH($A149,v_data!$A$3:$A$1000,0)+1,MATCH(LOWER(J$1),v_data!$B$2:$L$2,0)))</f>
        <v/>
      </c>
      <c r="K149" s="2" t="str">
        <f t="shared" si="198"/>
        <v/>
      </c>
      <c r="L149" s="2" t="str">
        <f>IF($A149="","",INDEX(v_data!$B$2:$L$1000,MATCH($A149,v_data!$A$3:$A$1000,0)+1,MATCH(LOWER(L$1),v_data!$B$2:$L$2,0)))</f>
        <v/>
      </c>
      <c r="M149" s="2" t="str">
        <f t="shared" si="199"/>
        <v/>
      </c>
      <c r="N149" s="2" t="str">
        <f>IF($A149="","",INDEX(v_data!$B$2:$L$1000,MATCH($A149,v_data!$A$3:$A$1000,0)+1,MATCH(LOWER(N$1),v_data!$B$2:$L$2,0)))</f>
        <v/>
      </c>
      <c r="O149" s="2" t="str">
        <f t="shared" si="200"/>
        <v/>
      </c>
      <c r="P149" s="2" t="str">
        <f>IF($A149="","",INDEX(v_data!$B$2:$L$1000,MATCH($A149,v_data!$A$3:$A$1000,0)+1,MATCH(LOWER(P$1),v_data!$B$2:$L$2,0)))</f>
        <v/>
      </c>
      <c r="Q149" s="2" t="str">
        <f t="shared" si="201"/>
        <v/>
      </c>
      <c r="R149" s="2" t="str">
        <f>IF($A149="","",INDEX(v_data!$B$2:$L$1000,MATCH($A149,v_data!$A$3:$A$1000,0)+1,MATCH(LOWER(R$1),v_data!$B$2:$L$2,0)))</f>
        <v/>
      </c>
      <c r="S149" s="2" t="str">
        <f t="shared" si="202"/>
        <v/>
      </c>
      <c r="T149" s="2" t="str">
        <f>IF($A149="","",INDEX(v_data!$B$2:$L$1000,MATCH($A149,v_data!$A$3:$A$1000,0)+1,MATCH(LOWER(T$1),v_data!$B$2:$L$2,0)))</f>
        <v/>
      </c>
      <c r="U149" s="2" t="str">
        <f t="shared" si="203"/>
        <v/>
      </c>
      <c r="V149" s="2" t="str">
        <f>IF($A149="","",INDEX(v_data!$B$2:$L$1000,MATCH($A149,v_data!$A$3:$A$1000,0)+1,MATCH(LOWER(V$1),v_data!$B$2:$L$2,0)))</f>
        <v/>
      </c>
      <c r="W149" s="2" t="str">
        <f t="shared" si="204"/>
        <v/>
      </c>
      <c r="X149" s="2" t="str">
        <f>IF($A149="","",INDEX(v_data!$B$2:$L$1000,MATCH($A149,v_data!$A$3:$A$1000,0)+1,MATCH(LOWER(X$1),v_data!$B$2:$L$2,0)))</f>
        <v/>
      </c>
      <c r="Y149" s="2" t="str">
        <f t="shared" si="205"/>
        <v/>
      </c>
      <c r="Z149" s="2" t="str">
        <f>IF($A149="","",INDEX(v_data!$B$2:$L$1000,MATCH($A149,v_data!$A$3:$A$1000,0)+1,MATCH(LOWER(Z$1),v_data!$B$2:$L$2,0)))</f>
        <v/>
      </c>
      <c r="AA149" s="2" t="str">
        <f t="shared" si="206"/>
        <v/>
      </c>
      <c r="AB149" s="2" t="str">
        <f t="shared" si="207"/>
        <v/>
      </c>
      <c r="AC149" s="2">
        <f>(SUM(G149,I149,K149,M149,O149,Q149,S149,U149,W149,Y149,AA149)+IF(AND(G149&gt;0,I149&gt;0,K149&gt;0),100,0))*VLOOKUP(B149,variables!$A$2:$B$6,2,FALSE)</f>
        <v>80</v>
      </c>
      <c r="AD149" s="16" t="str">
        <f>IF($A149="","",INDEX(v_data!$B$2:$X$1000,MATCH($A149,v_data!$A$3:$A$1000,0)+1,MATCH(LOWER("hours"),v_data!$B$2:$X$2,0)))</f>
        <v/>
      </c>
    </row>
    <row r="150" spans="1:30" hidden="1" x14ac:dyDescent="0.25">
      <c r="A150" s="2" t="str">
        <f>IF(ISBLANK(v_data!A149),"",v_data!A149)</f>
        <v/>
      </c>
      <c r="B150" s="2" t="s">
        <v>22</v>
      </c>
      <c r="C150" s="2">
        <f>VLOOKUP(B150,variables!$A$2:$B$6,2,FALSE)</f>
        <v>0.8</v>
      </c>
      <c r="D150" s="4">
        <v>43826</v>
      </c>
      <c r="E150" s="4">
        <v>43431</v>
      </c>
      <c r="F150" s="2" t="str">
        <f>IF($A150="","",INDEX(v_data!$B$2:$L$1000,MATCH($A150,v_data!$A$3:$A$1000,0)+1,MATCH(LOWER(F$1),v_data!$B$2:$L$2,0)))</f>
        <v/>
      </c>
      <c r="G150" s="2" t="str">
        <f t="shared" si="196"/>
        <v/>
      </c>
      <c r="H150" s="2" t="str">
        <f>IF($A150="","",INDEX(v_data!$B$2:$L$1000,MATCH($A150,v_data!$A$3:$A$1000,0)+1,MATCH(LOWER(H$1),v_data!$B$2:$L$2,0)))</f>
        <v/>
      </c>
      <c r="I150" s="2" t="str">
        <f t="shared" si="197"/>
        <v/>
      </c>
      <c r="J150" s="2" t="str">
        <f>IF($A150="","",INDEX(v_data!$B$2:$L$1000,MATCH($A150,v_data!$A$3:$A$1000,0)+1,MATCH(LOWER(J$1),v_data!$B$2:$L$2,0)))</f>
        <v/>
      </c>
      <c r="K150" s="2" t="str">
        <f t="shared" si="198"/>
        <v/>
      </c>
      <c r="L150" s="2" t="str">
        <f>IF($A150="","",INDEX(v_data!$B$2:$L$1000,MATCH($A150,v_data!$A$3:$A$1000,0)+1,MATCH(LOWER(L$1),v_data!$B$2:$L$2,0)))</f>
        <v/>
      </c>
      <c r="M150" s="2" t="str">
        <f t="shared" si="199"/>
        <v/>
      </c>
      <c r="N150" s="2" t="str">
        <f>IF($A150="","",INDEX(v_data!$B$2:$L$1000,MATCH($A150,v_data!$A$3:$A$1000,0)+1,MATCH(LOWER(N$1),v_data!$B$2:$L$2,0)))</f>
        <v/>
      </c>
      <c r="O150" s="2" t="str">
        <f t="shared" si="200"/>
        <v/>
      </c>
      <c r="P150" s="2" t="str">
        <f>IF($A150="","",INDEX(v_data!$B$2:$L$1000,MATCH($A150,v_data!$A$3:$A$1000,0)+1,MATCH(LOWER(P$1),v_data!$B$2:$L$2,0)))</f>
        <v/>
      </c>
      <c r="Q150" s="2" t="str">
        <f t="shared" si="201"/>
        <v/>
      </c>
      <c r="R150" s="2" t="str">
        <f>IF($A150="","",INDEX(v_data!$B$2:$L$1000,MATCH($A150,v_data!$A$3:$A$1000,0)+1,MATCH(LOWER(R$1),v_data!$B$2:$L$2,0)))</f>
        <v/>
      </c>
      <c r="S150" s="2" t="str">
        <f t="shared" si="202"/>
        <v/>
      </c>
      <c r="T150" s="2" t="str">
        <f>IF($A150="","",INDEX(v_data!$B$2:$L$1000,MATCH($A150,v_data!$A$3:$A$1000,0)+1,MATCH(LOWER(T$1),v_data!$B$2:$L$2,0)))</f>
        <v/>
      </c>
      <c r="U150" s="2" t="str">
        <f t="shared" si="203"/>
        <v/>
      </c>
      <c r="V150" s="2" t="str">
        <f>IF($A150="","",INDEX(v_data!$B$2:$L$1000,MATCH($A150,v_data!$A$3:$A$1000,0)+1,MATCH(LOWER(V$1),v_data!$B$2:$L$2,0)))</f>
        <v/>
      </c>
      <c r="W150" s="2" t="str">
        <f t="shared" si="204"/>
        <v/>
      </c>
      <c r="X150" s="2" t="str">
        <f>IF($A150="","",INDEX(v_data!$B$2:$L$1000,MATCH($A150,v_data!$A$3:$A$1000,0)+1,MATCH(LOWER(X$1),v_data!$B$2:$L$2,0)))</f>
        <v/>
      </c>
      <c r="Y150" s="2" t="str">
        <f t="shared" si="205"/>
        <v/>
      </c>
      <c r="Z150" s="2" t="str">
        <f>IF($A150="","",INDEX(v_data!$B$2:$L$1000,MATCH($A150,v_data!$A$3:$A$1000,0)+1,MATCH(LOWER(Z$1),v_data!$B$2:$L$2,0)))</f>
        <v/>
      </c>
      <c r="AA150" s="2" t="str">
        <f t="shared" si="206"/>
        <v/>
      </c>
      <c r="AB150" s="2" t="str">
        <f t="shared" si="207"/>
        <v/>
      </c>
      <c r="AC150" s="2">
        <f>(SUM(G150,I150,K150,M150,O150,Q150,S150,U150,W150,Y150,AA150)+IF(AND(G150&gt;0,I150&gt;0,K150&gt;0),100,0))*VLOOKUP(B150,variables!$A$2:$B$6,2,FALSE)</f>
        <v>80</v>
      </c>
      <c r="AD150" s="16" t="str">
        <f>IF($A150="","",INDEX(v_data!$B$2:$X$1000,MATCH($A150,v_data!$A$3:$A$1000,0)+1,MATCH(LOWER("hours"),v_data!$B$2:$X$2,0)))</f>
        <v/>
      </c>
    </row>
    <row r="151" spans="1:30" hidden="1" x14ac:dyDescent="0.25">
      <c r="A151" s="2" t="str">
        <f>IF(ISBLANK(v_data!A150),"",v_data!A150)</f>
        <v/>
      </c>
      <c r="B151" s="2" t="s">
        <v>22</v>
      </c>
      <c r="C151" s="2">
        <f>VLOOKUP(B151,variables!$A$2:$B$6,2,FALSE)</f>
        <v>0.8</v>
      </c>
      <c r="D151" s="4">
        <v>43826</v>
      </c>
      <c r="E151" s="4">
        <v>43431</v>
      </c>
      <c r="F151" s="2" t="str">
        <f>IF($A151="","",INDEX(v_data!$B$2:$L$1000,MATCH($A151,v_data!$A$3:$A$1000,0)+1,MATCH(LOWER(F$1),v_data!$B$2:$L$2,0)))</f>
        <v/>
      </c>
      <c r="G151" s="2" t="str">
        <f t="shared" si="196"/>
        <v/>
      </c>
      <c r="H151" s="2" t="str">
        <f>IF($A151="","",INDEX(v_data!$B$2:$L$1000,MATCH($A151,v_data!$A$3:$A$1000,0)+1,MATCH(LOWER(H$1),v_data!$B$2:$L$2,0)))</f>
        <v/>
      </c>
      <c r="I151" s="2" t="str">
        <f t="shared" si="197"/>
        <v/>
      </c>
      <c r="J151" s="2" t="str">
        <f>IF($A151="","",INDEX(v_data!$B$2:$L$1000,MATCH($A151,v_data!$A$3:$A$1000,0)+1,MATCH(LOWER(J$1),v_data!$B$2:$L$2,0)))</f>
        <v/>
      </c>
      <c r="K151" s="2" t="str">
        <f t="shared" si="198"/>
        <v/>
      </c>
      <c r="L151" s="2" t="str">
        <f>IF($A151="","",INDEX(v_data!$B$2:$L$1000,MATCH($A151,v_data!$A$3:$A$1000,0)+1,MATCH(LOWER(L$1),v_data!$B$2:$L$2,0)))</f>
        <v/>
      </c>
      <c r="M151" s="2" t="str">
        <f t="shared" si="199"/>
        <v/>
      </c>
      <c r="N151" s="2" t="str">
        <f>IF($A151="","",INDEX(v_data!$B$2:$L$1000,MATCH($A151,v_data!$A$3:$A$1000,0)+1,MATCH(LOWER(N$1),v_data!$B$2:$L$2,0)))</f>
        <v/>
      </c>
      <c r="O151" s="2" t="str">
        <f t="shared" si="200"/>
        <v/>
      </c>
      <c r="P151" s="2" t="str">
        <f>IF($A151="","",INDEX(v_data!$B$2:$L$1000,MATCH($A151,v_data!$A$3:$A$1000,0)+1,MATCH(LOWER(P$1),v_data!$B$2:$L$2,0)))</f>
        <v/>
      </c>
      <c r="Q151" s="2" t="str">
        <f t="shared" si="201"/>
        <v/>
      </c>
      <c r="R151" s="2" t="str">
        <f>IF($A151="","",INDEX(v_data!$B$2:$L$1000,MATCH($A151,v_data!$A$3:$A$1000,0)+1,MATCH(LOWER(R$1),v_data!$B$2:$L$2,0)))</f>
        <v/>
      </c>
      <c r="S151" s="2" t="str">
        <f t="shared" si="202"/>
        <v/>
      </c>
      <c r="T151" s="2" t="str">
        <f>IF($A151="","",INDEX(v_data!$B$2:$L$1000,MATCH($A151,v_data!$A$3:$A$1000,0)+1,MATCH(LOWER(T$1),v_data!$B$2:$L$2,0)))</f>
        <v/>
      </c>
      <c r="U151" s="2" t="str">
        <f t="shared" si="203"/>
        <v/>
      </c>
      <c r="V151" s="2" t="str">
        <f>IF($A151="","",INDEX(v_data!$B$2:$L$1000,MATCH($A151,v_data!$A$3:$A$1000,0)+1,MATCH(LOWER(V$1),v_data!$B$2:$L$2,0)))</f>
        <v/>
      </c>
      <c r="W151" s="2" t="str">
        <f t="shared" si="204"/>
        <v/>
      </c>
      <c r="X151" s="2" t="str">
        <f>IF($A151="","",INDEX(v_data!$B$2:$L$1000,MATCH($A151,v_data!$A$3:$A$1000,0)+1,MATCH(LOWER(X$1),v_data!$B$2:$L$2,0)))</f>
        <v/>
      </c>
      <c r="Y151" s="2" t="str">
        <f t="shared" si="205"/>
        <v/>
      </c>
      <c r="Z151" s="2" t="str">
        <f>IF($A151="","",INDEX(v_data!$B$2:$L$1000,MATCH($A151,v_data!$A$3:$A$1000,0)+1,MATCH(LOWER(Z$1),v_data!$B$2:$L$2,0)))</f>
        <v/>
      </c>
      <c r="AA151" s="2" t="str">
        <f t="shared" si="206"/>
        <v/>
      </c>
      <c r="AB151" s="2" t="str">
        <f t="shared" si="207"/>
        <v/>
      </c>
      <c r="AC151" s="2">
        <f>(SUM(G151,I151,K151,M151,O151,Q151,S151,U151,W151,Y151,AA151)+IF(AND(G151&gt;0,I151&gt;0,K151&gt;0),100,0))*VLOOKUP(B151,variables!$A$2:$B$6,2,FALSE)</f>
        <v>80</v>
      </c>
      <c r="AD151" s="16" t="str">
        <f>IF($A151="","",INDEX(v_data!$B$2:$X$1000,MATCH($A151,v_data!$A$3:$A$1000,0)+1,MATCH(LOWER("hours"),v_data!$B$2:$X$2,0)))</f>
        <v/>
      </c>
    </row>
    <row r="152" spans="1:30" hidden="1" x14ac:dyDescent="0.25">
      <c r="A152" s="2" t="str">
        <f>IF(ISBLANK(v_data!A151),"",v_data!A151)</f>
        <v/>
      </c>
      <c r="B152" s="2" t="s">
        <v>22</v>
      </c>
      <c r="C152" s="2">
        <f>VLOOKUP(B152,variables!$A$2:$B$6,2,FALSE)</f>
        <v>0.8</v>
      </c>
      <c r="D152" s="4">
        <v>43826</v>
      </c>
      <c r="E152" s="4">
        <v>43431</v>
      </c>
      <c r="F152" s="2" t="str">
        <f>IF($A152="","",INDEX(v_data!$B$2:$L$1000,MATCH($A152,v_data!$A$3:$A$1000,0)+1,MATCH(LOWER(F$1),v_data!$B$2:$L$2,0)))</f>
        <v/>
      </c>
      <c r="G152" s="2" t="str">
        <f t="shared" ref="G152:G215" si="208">IF($A152="","",F152*G$2)</f>
        <v/>
      </c>
      <c r="H152" s="2" t="str">
        <f>IF($A152="","",INDEX(v_data!$B$2:$L$1000,MATCH($A152,v_data!$A$3:$A$1000,0)+1,MATCH(LOWER(H$1),v_data!$B$2:$L$2,0)))</f>
        <v/>
      </c>
      <c r="I152" s="2" t="str">
        <f t="shared" ref="I152:I215" si="209">IF($A152="","",H152*I$2)</f>
        <v/>
      </c>
      <c r="J152" s="2" t="str">
        <f>IF($A152="","",INDEX(v_data!$B$2:$L$1000,MATCH($A152,v_data!$A$3:$A$1000,0)+1,MATCH(LOWER(J$1),v_data!$B$2:$L$2,0)))</f>
        <v/>
      </c>
      <c r="K152" s="2" t="str">
        <f t="shared" ref="K152:K215" si="210">IF($A152="","",J152*K$2)</f>
        <v/>
      </c>
      <c r="L152" s="2" t="str">
        <f>IF($A152="","",INDEX(v_data!$B$2:$L$1000,MATCH($A152,v_data!$A$3:$A$1000,0)+1,MATCH(LOWER(L$1),v_data!$B$2:$L$2,0)))</f>
        <v/>
      </c>
      <c r="M152" s="2" t="str">
        <f t="shared" ref="M152:M215" si="211">IF($A152="","",L152*M$2)</f>
        <v/>
      </c>
      <c r="N152" s="2" t="str">
        <f>IF($A152="","",INDEX(v_data!$B$2:$L$1000,MATCH($A152,v_data!$A$3:$A$1000,0)+1,MATCH(LOWER(N$1),v_data!$B$2:$L$2,0)))</f>
        <v/>
      </c>
      <c r="O152" s="2" t="str">
        <f t="shared" ref="O152:O215" si="212">IF($A152="","",N152*O$2)</f>
        <v/>
      </c>
      <c r="P152" s="2" t="str">
        <f>IF($A152="","",INDEX(v_data!$B$2:$L$1000,MATCH($A152,v_data!$A$3:$A$1000,0)+1,MATCH(LOWER(P$1),v_data!$B$2:$L$2,0)))</f>
        <v/>
      </c>
      <c r="Q152" s="2" t="str">
        <f t="shared" ref="Q152:Q215" si="213">IF($A152="","",P152*Q$2)</f>
        <v/>
      </c>
      <c r="R152" s="2" t="str">
        <f>IF($A152="","",INDEX(v_data!$B$2:$L$1000,MATCH($A152,v_data!$A$3:$A$1000,0)+1,MATCH(LOWER(R$1),v_data!$B$2:$L$2,0)))</f>
        <v/>
      </c>
      <c r="S152" s="2" t="str">
        <f t="shared" ref="S152:S215" si="214">IF($A152="","",R152*S$2)</f>
        <v/>
      </c>
      <c r="T152" s="2" t="str">
        <f>IF($A152="","",INDEX(v_data!$B$2:$L$1000,MATCH($A152,v_data!$A$3:$A$1000,0)+1,MATCH(LOWER(T$1),v_data!$B$2:$L$2,0)))</f>
        <v/>
      </c>
      <c r="U152" s="2" t="str">
        <f t="shared" ref="U152:U215" si="215">IF($A152="","",T152*U$2)</f>
        <v/>
      </c>
      <c r="V152" s="2" t="str">
        <f>IF($A152="","",INDEX(v_data!$B$2:$L$1000,MATCH($A152,v_data!$A$3:$A$1000,0)+1,MATCH(LOWER(V$1),v_data!$B$2:$L$2,0)))</f>
        <v/>
      </c>
      <c r="W152" s="2" t="str">
        <f t="shared" ref="W152:W215" si="216">IF($A152="","",V152*W$2)</f>
        <v/>
      </c>
      <c r="X152" s="2" t="str">
        <f>IF($A152="","",INDEX(v_data!$B$2:$L$1000,MATCH($A152,v_data!$A$3:$A$1000,0)+1,MATCH(LOWER(X$1),v_data!$B$2:$L$2,0)))</f>
        <v/>
      </c>
      <c r="Y152" s="2" t="str">
        <f t="shared" ref="Y152:Y215" si="217">IF($A152="","",X152*Y$2)</f>
        <v/>
      </c>
      <c r="Z152" s="2" t="str">
        <f>IF($A152="","",INDEX(v_data!$B$2:$L$1000,MATCH($A152,v_data!$A$3:$A$1000,0)+1,MATCH(LOWER(Z$1),v_data!$B$2:$L$2,0)))</f>
        <v/>
      </c>
      <c r="AA152" s="2" t="str">
        <f t="shared" ref="AA152:AA215" si="218">IF($A152="","",Z152*AA$2)</f>
        <v/>
      </c>
      <c r="AB152" s="2" t="str">
        <f t="shared" ref="AB152:AB215" si="219">IF(A152="","",SUM(G152,I152,K152,M152,O152,Q152,S152,U152,W152,Y152,AA152))</f>
        <v/>
      </c>
      <c r="AC152" s="2">
        <f>(SUM(G152,I152,K152,M152,O152,Q152,S152,U152,W152,Y152,AA152)+IF(AND(G152&gt;0,I152&gt;0,K152&gt;0),100,0))*VLOOKUP(B152,variables!$A$2:$B$6,2,FALSE)</f>
        <v>80</v>
      </c>
      <c r="AD152" s="16" t="str">
        <f>IF($A152="","",INDEX(v_data!$B$2:$X$1000,MATCH($A152,v_data!$A$3:$A$1000,0)+1,MATCH(LOWER("hours"),v_data!$B$2:$X$2,0)))</f>
        <v/>
      </c>
    </row>
    <row r="153" spans="1:30" hidden="1" x14ac:dyDescent="0.25">
      <c r="A153" s="2" t="str">
        <f>IF(ISBLANK(v_data!A152),"",v_data!A152)</f>
        <v/>
      </c>
      <c r="B153" s="2" t="s">
        <v>22</v>
      </c>
      <c r="C153" s="2">
        <f>VLOOKUP(B153,variables!$A$2:$B$6,2,FALSE)</f>
        <v>0.8</v>
      </c>
      <c r="D153" s="4">
        <v>43826</v>
      </c>
      <c r="E153" s="4">
        <v>43431</v>
      </c>
      <c r="F153" s="2" t="str">
        <f>IF($A153="","",INDEX(v_data!$B$2:$L$1000,MATCH($A153,v_data!$A$3:$A$1000,0)+1,MATCH(LOWER(F$1),v_data!$B$2:$L$2,0)))</f>
        <v/>
      </c>
      <c r="G153" s="2" t="str">
        <f t="shared" si="208"/>
        <v/>
      </c>
      <c r="H153" s="2" t="str">
        <f>IF($A153="","",INDEX(v_data!$B$2:$L$1000,MATCH($A153,v_data!$A$3:$A$1000,0)+1,MATCH(LOWER(H$1),v_data!$B$2:$L$2,0)))</f>
        <v/>
      </c>
      <c r="I153" s="2" t="str">
        <f t="shared" si="209"/>
        <v/>
      </c>
      <c r="J153" s="2" t="str">
        <f>IF($A153="","",INDEX(v_data!$B$2:$L$1000,MATCH($A153,v_data!$A$3:$A$1000,0)+1,MATCH(LOWER(J$1),v_data!$B$2:$L$2,0)))</f>
        <v/>
      </c>
      <c r="K153" s="2" t="str">
        <f t="shared" si="210"/>
        <v/>
      </c>
      <c r="L153" s="2" t="str">
        <f>IF($A153="","",INDEX(v_data!$B$2:$L$1000,MATCH($A153,v_data!$A$3:$A$1000,0)+1,MATCH(LOWER(L$1),v_data!$B$2:$L$2,0)))</f>
        <v/>
      </c>
      <c r="M153" s="2" t="str">
        <f t="shared" si="211"/>
        <v/>
      </c>
      <c r="N153" s="2" t="str">
        <f>IF($A153="","",INDEX(v_data!$B$2:$L$1000,MATCH($A153,v_data!$A$3:$A$1000,0)+1,MATCH(LOWER(N$1),v_data!$B$2:$L$2,0)))</f>
        <v/>
      </c>
      <c r="O153" s="2" t="str">
        <f t="shared" si="212"/>
        <v/>
      </c>
      <c r="P153" s="2" t="str">
        <f>IF($A153="","",INDEX(v_data!$B$2:$L$1000,MATCH($A153,v_data!$A$3:$A$1000,0)+1,MATCH(LOWER(P$1),v_data!$B$2:$L$2,0)))</f>
        <v/>
      </c>
      <c r="Q153" s="2" t="str">
        <f t="shared" si="213"/>
        <v/>
      </c>
      <c r="R153" s="2" t="str">
        <f>IF($A153="","",INDEX(v_data!$B$2:$L$1000,MATCH($A153,v_data!$A$3:$A$1000,0)+1,MATCH(LOWER(R$1),v_data!$B$2:$L$2,0)))</f>
        <v/>
      </c>
      <c r="S153" s="2" t="str">
        <f t="shared" si="214"/>
        <v/>
      </c>
      <c r="T153" s="2" t="str">
        <f>IF($A153="","",INDEX(v_data!$B$2:$L$1000,MATCH($A153,v_data!$A$3:$A$1000,0)+1,MATCH(LOWER(T$1),v_data!$B$2:$L$2,0)))</f>
        <v/>
      </c>
      <c r="U153" s="2" t="str">
        <f t="shared" si="215"/>
        <v/>
      </c>
      <c r="V153" s="2" t="str">
        <f>IF($A153="","",INDEX(v_data!$B$2:$L$1000,MATCH($A153,v_data!$A$3:$A$1000,0)+1,MATCH(LOWER(V$1),v_data!$B$2:$L$2,0)))</f>
        <v/>
      </c>
      <c r="W153" s="2" t="str">
        <f t="shared" si="216"/>
        <v/>
      </c>
      <c r="X153" s="2" t="str">
        <f>IF($A153="","",INDEX(v_data!$B$2:$L$1000,MATCH($A153,v_data!$A$3:$A$1000,0)+1,MATCH(LOWER(X$1),v_data!$B$2:$L$2,0)))</f>
        <v/>
      </c>
      <c r="Y153" s="2" t="str">
        <f t="shared" si="217"/>
        <v/>
      </c>
      <c r="Z153" s="2" t="str">
        <f>IF($A153="","",INDEX(v_data!$B$2:$L$1000,MATCH($A153,v_data!$A$3:$A$1000,0)+1,MATCH(LOWER(Z$1),v_data!$B$2:$L$2,0)))</f>
        <v/>
      </c>
      <c r="AA153" s="2" t="str">
        <f t="shared" si="218"/>
        <v/>
      </c>
      <c r="AB153" s="2" t="str">
        <f t="shared" si="219"/>
        <v/>
      </c>
      <c r="AC153" s="2">
        <f>(SUM(G153,I153,K153,M153,O153,Q153,S153,U153,W153,Y153,AA153)+IF(AND(G153&gt;0,I153&gt;0,K153&gt;0),100,0))*VLOOKUP(B153,variables!$A$2:$B$6,2,FALSE)</f>
        <v>80</v>
      </c>
      <c r="AD153" s="16" t="str">
        <f>IF($A153="","",INDEX(v_data!$B$2:$X$1000,MATCH($A153,v_data!$A$3:$A$1000,0)+1,MATCH(LOWER("hours"),v_data!$B$2:$X$2,0)))</f>
        <v/>
      </c>
    </row>
    <row r="154" spans="1:30" hidden="1" x14ac:dyDescent="0.25">
      <c r="A154" s="2" t="str">
        <f>IF(ISBLANK(v_data!A153),"",v_data!A153)</f>
        <v/>
      </c>
      <c r="B154" s="2" t="s">
        <v>22</v>
      </c>
      <c r="C154" s="2">
        <f>VLOOKUP(B154,variables!$A$2:$B$6,2,FALSE)</f>
        <v>0.8</v>
      </c>
      <c r="D154" s="4">
        <v>43826</v>
      </c>
      <c r="E154" s="4">
        <v>43431</v>
      </c>
      <c r="F154" s="2" t="str">
        <f>IF($A154="","",INDEX(v_data!$B$2:$L$1000,MATCH($A154,v_data!$A$3:$A$1000,0)+1,MATCH(LOWER(F$1),v_data!$B$2:$L$2,0)))</f>
        <v/>
      </c>
      <c r="G154" s="2" t="str">
        <f t="shared" si="208"/>
        <v/>
      </c>
      <c r="H154" s="2" t="str">
        <f>IF($A154="","",INDEX(v_data!$B$2:$L$1000,MATCH($A154,v_data!$A$3:$A$1000,0)+1,MATCH(LOWER(H$1),v_data!$B$2:$L$2,0)))</f>
        <v/>
      </c>
      <c r="I154" s="2" t="str">
        <f t="shared" si="209"/>
        <v/>
      </c>
      <c r="J154" s="2" t="str">
        <f>IF($A154="","",INDEX(v_data!$B$2:$L$1000,MATCH($A154,v_data!$A$3:$A$1000,0)+1,MATCH(LOWER(J$1),v_data!$B$2:$L$2,0)))</f>
        <v/>
      </c>
      <c r="K154" s="2" t="str">
        <f t="shared" si="210"/>
        <v/>
      </c>
      <c r="L154" s="2" t="str">
        <f>IF($A154="","",INDEX(v_data!$B$2:$L$1000,MATCH($A154,v_data!$A$3:$A$1000,0)+1,MATCH(LOWER(L$1),v_data!$B$2:$L$2,0)))</f>
        <v/>
      </c>
      <c r="M154" s="2" t="str">
        <f t="shared" si="211"/>
        <v/>
      </c>
      <c r="N154" s="2" t="str">
        <f>IF($A154="","",INDEX(v_data!$B$2:$L$1000,MATCH($A154,v_data!$A$3:$A$1000,0)+1,MATCH(LOWER(N$1),v_data!$B$2:$L$2,0)))</f>
        <v/>
      </c>
      <c r="O154" s="2" t="str">
        <f t="shared" si="212"/>
        <v/>
      </c>
      <c r="P154" s="2" t="str">
        <f>IF($A154="","",INDEX(v_data!$B$2:$L$1000,MATCH($A154,v_data!$A$3:$A$1000,0)+1,MATCH(LOWER(P$1),v_data!$B$2:$L$2,0)))</f>
        <v/>
      </c>
      <c r="Q154" s="2" t="str">
        <f t="shared" si="213"/>
        <v/>
      </c>
      <c r="R154" s="2" t="str">
        <f>IF($A154="","",INDEX(v_data!$B$2:$L$1000,MATCH($A154,v_data!$A$3:$A$1000,0)+1,MATCH(LOWER(R$1),v_data!$B$2:$L$2,0)))</f>
        <v/>
      </c>
      <c r="S154" s="2" t="str">
        <f t="shared" si="214"/>
        <v/>
      </c>
      <c r="T154" s="2" t="str">
        <f>IF($A154="","",INDEX(v_data!$B$2:$L$1000,MATCH($A154,v_data!$A$3:$A$1000,0)+1,MATCH(LOWER(T$1),v_data!$B$2:$L$2,0)))</f>
        <v/>
      </c>
      <c r="U154" s="2" t="str">
        <f t="shared" si="215"/>
        <v/>
      </c>
      <c r="V154" s="2" t="str">
        <f>IF($A154="","",INDEX(v_data!$B$2:$L$1000,MATCH($A154,v_data!$A$3:$A$1000,0)+1,MATCH(LOWER(V$1),v_data!$B$2:$L$2,0)))</f>
        <v/>
      </c>
      <c r="W154" s="2" t="str">
        <f t="shared" si="216"/>
        <v/>
      </c>
      <c r="X154" s="2" t="str">
        <f>IF($A154="","",INDEX(v_data!$B$2:$L$1000,MATCH($A154,v_data!$A$3:$A$1000,0)+1,MATCH(LOWER(X$1),v_data!$B$2:$L$2,0)))</f>
        <v/>
      </c>
      <c r="Y154" s="2" t="str">
        <f t="shared" si="217"/>
        <v/>
      </c>
      <c r="Z154" s="2" t="str">
        <f>IF($A154="","",INDEX(v_data!$B$2:$L$1000,MATCH($A154,v_data!$A$3:$A$1000,0)+1,MATCH(LOWER(Z$1),v_data!$B$2:$L$2,0)))</f>
        <v/>
      </c>
      <c r="AA154" s="2" t="str">
        <f t="shared" si="218"/>
        <v/>
      </c>
      <c r="AB154" s="2" t="str">
        <f t="shared" si="219"/>
        <v/>
      </c>
      <c r="AC154" s="2">
        <f>(SUM(G154,I154,K154,M154,O154,Q154,S154,U154,W154,Y154,AA154)+IF(AND(G154&gt;0,I154&gt;0,K154&gt;0),100,0))*VLOOKUP(B154,variables!$A$2:$B$6,2,FALSE)</f>
        <v>80</v>
      </c>
      <c r="AD154" s="16" t="str">
        <f>IF($A154="","",INDEX(v_data!$B$2:$X$1000,MATCH($A154,v_data!$A$3:$A$1000,0)+1,MATCH(LOWER("hours"),v_data!$B$2:$X$2,0)))</f>
        <v/>
      </c>
    </row>
    <row r="155" spans="1:30" hidden="1" x14ac:dyDescent="0.25">
      <c r="A155" s="2" t="str">
        <f>IF(ISBLANK(v_data!A154),"",v_data!A154)</f>
        <v/>
      </c>
      <c r="B155" s="2" t="s">
        <v>22</v>
      </c>
      <c r="C155" s="2">
        <f>VLOOKUP(B155,variables!$A$2:$B$6,2,FALSE)</f>
        <v>0.8</v>
      </c>
      <c r="D155" s="4">
        <v>43826</v>
      </c>
      <c r="E155" s="4">
        <v>43431</v>
      </c>
      <c r="F155" s="2" t="str">
        <f>IF($A155="","",INDEX(v_data!$B$2:$L$1000,MATCH($A155,v_data!$A$3:$A$1000,0)+1,MATCH(LOWER(F$1),v_data!$B$2:$L$2,0)))</f>
        <v/>
      </c>
      <c r="G155" s="2" t="str">
        <f t="shared" si="208"/>
        <v/>
      </c>
      <c r="H155" s="2" t="str">
        <f>IF($A155="","",INDEX(v_data!$B$2:$L$1000,MATCH($A155,v_data!$A$3:$A$1000,0)+1,MATCH(LOWER(H$1),v_data!$B$2:$L$2,0)))</f>
        <v/>
      </c>
      <c r="I155" s="2" t="str">
        <f t="shared" si="209"/>
        <v/>
      </c>
      <c r="J155" s="2" t="str">
        <f>IF($A155="","",INDEX(v_data!$B$2:$L$1000,MATCH($A155,v_data!$A$3:$A$1000,0)+1,MATCH(LOWER(J$1),v_data!$B$2:$L$2,0)))</f>
        <v/>
      </c>
      <c r="K155" s="2" t="str">
        <f t="shared" si="210"/>
        <v/>
      </c>
      <c r="L155" s="2" t="str">
        <f>IF($A155="","",INDEX(v_data!$B$2:$L$1000,MATCH($A155,v_data!$A$3:$A$1000,0)+1,MATCH(LOWER(L$1),v_data!$B$2:$L$2,0)))</f>
        <v/>
      </c>
      <c r="M155" s="2" t="str">
        <f t="shared" si="211"/>
        <v/>
      </c>
      <c r="N155" s="2" t="str">
        <f>IF($A155="","",INDEX(v_data!$B$2:$L$1000,MATCH($A155,v_data!$A$3:$A$1000,0)+1,MATCH(LOWER(N$1),v_data!$B$2:$L$2,0)))</f>
        <v/>
      </c>
      <c r="O155" s="2" t="str">
        <f t="shared" si="212"/>
        <v/>
      </c>
      <c r="P155" s="2" t="str">
        <f>IF($A155="","",INDEX(v_data!$B$2:$L$1000,MATCH($A155,v_data!$A$3:$A$1000,0)+1,MATCH(LOWER(P$1),v_data!$B$2:$L$2,0)))</f>
        <v/>
      </c>
      <c r="Q155" s="2" t="str">
        <f t="shared" si="213"/>
        <v/>
      </c>
      <c r="R155" s="2" t="str">
        <f>IF($A155="","",INDEX(v_data!$B$2:$L$1000,MATCH($A155,v_data!$A$3:$A$1000,0)+1,MATCH(LOWER(R$1),v_data!$B$2:$L$2,0)))</f>
        <v/>
      </c>
      <c r="S155" s="2" t="str">
        <f t="shared" si="214"/>
        <v/>
      </c>
      <c r="T155" s="2" t="str">
        <f>IF($A155="","",INDEX(v_data!$B$2:$L$1000,MATCH($A155,v_data!$A$3:$A$1000,0)+1,MATCH(LOWER(T$1),v_data!$B$2:$L$2,0)))</f>
        <v/>
      </c>
      <c r="U155" s="2" t="str">
        <f t="shared" si="215"/>
        <v/>
      </c>
      <c r="V155" s="2" t="str">
        <f>IF($A155="","",INDEX(v_data!$B$2:$L$1000,MATCH($A155,v_data!$A$3:$A$1000,0)+1,MATCH(LOWER(V$1),v_data!$B$2:$L$2,0)))</f>
        <v/>
      </c>
      <c r="W155" s="2" t="str">
        <f t="shared" si="216"/>
        <v/>
      </c>
      <c r="X155" s="2" t="str">
        <f>IF($A155="","",INDEX(v_data!$B$2:$L$1000,MATCH($A155,v_data!$A$3:$A$1000,0)+1,MATCH(LOWER(X$1),v_data!$B$2:$L$2,0)))</f>
        <v/>
      </c>
      <c r="Y155" s="2" t="str">
        <f t="shared" si="217"/>
        <v/>
      </c>
      <c r="Z155" s="2" t="str">
        <f>IF($A155="","",INDEX(v_data!$B$2:$L$1000,MATCH($A155,v_data!$A$3:$A$1000,0)+1,MATCH(LOWER(Z$1),v_data!$B$2:$L$2,0)))</f>
        <v/>
      </c>
      <c r="AA155" s="2" t="str">
        <f t="shared" si="218"/>
        <v/>
      </c>
      <c r="AB155" s="2" t="str">
        <f t="shared" si="219"/>
        <v/>
      </c>
      <c r="AC155" s="2">
        <f>(SUM(G155,I155,K155,M155,O155,Q155,S155,U155,W155,Y155,AA155)+IF(AND(G155&gt;0,I155&gt;0,K155&gt;0),100,0))*VLOOKUP(B155,variables!$A$2:$B$6,2,FALSE)</f>
        <v>80</v>
      </c>
      <c r="AD155" s="16" t="str">
        <f>IF($A155="","",INDEX(v_data!$B$2:$X$1000,MATCH($A155,v_data!$A$3:$A$1000,0)+1,MATCH(LOWER("hours"),v_data!$B$2:$X$2,0)))</f>
        <v/>
      </c>
    </row>
    <row r="156" spans="1:30" hidden="1" x14ac:dyDescent="0.25">
      <c r="A156" s="2" t="str">
        <f>IF(ISBLANK(v_data!A155),"",v_data!A155)</f>
        <v/>
      </c>
      <c r="B156" s="2" t="s">
        <v>22</v>
      </c>
      <c r="C156" s="2">
        <f>VLOOKUP(B156,variables!$A$2:$B$6,2,FALSE)</f>
        <v>0.8</v>
      </c>
      <c r="D156" s="4">
        <v>43826</v>
      </c>
      <c r="E156" s="4">
        <v>43431</v>
      </c>
      <c r="F156" s="2" t="str">
        <f>IF($A156="","",INDEX(v_data!$B$2:$L$1000,MATCH($A156,v_data!$A$3:$A$1000,0)+1,MATCH(LOWER(F$1),v_data!$B$2:$L$2,0)))</f>
        <v/>
      </c>
      <c r="G156" s="2" t="str">
        <f t="shared" si="208"/>
        <v/>
      </c>
      <c r="H156" s="2" t="str">
        <f>IF($A156="","",INDEX(v_data!$B$2:$L$1000,MATCH($A156,v_data!$A$3:$A$1000,0)+1,MATCH(LOWER(H$1),v_data!$B$2:$L$2,0)))</f>
        <v/>
      </c>
      <c r="I156" s="2" t="str">
        <f t="shared" si="209"/>
        <v/>
      </c>
      <c r="J156" s="2" t="str">
        <f>IF($A156="","",INDEX(v_data!$B$2:$L$1000,MATCH($A156,v_data!$A$3:$A$1000,0)+1,MATCH(LOWER(J$1),v_data!$B$2:$L$2,0)))</f>
        <v/>
      </c>
      <c r="K156" s="2" t="str">
        <f t="shared" si="210"/>
        <v/>
      </c>
      <c r="L156" s="2" t="str">
        <f>IF($A156="","",INDEX(v_data!$B$2:$L$1000,MATCH($A156,v_data!$A$3:$A$1000,0)+1,MATCH(LOWER(L$1),v_data!$B$2:$L$2,0)))</f>
        <v/>
      </c>
      <c r="M156" s="2" t="str">
        <f t="shared" si="211"/>
        <v/>
      </c>
      <c r="N156" s="2" t="str">
        <f>IF($A156="","",INDEX(v_data!$B$2:$L$1000,MATCH($A156,v_data!$A$3:$A$1000,0)+1,MATCH(LOWER(N$1),v_data!$B$2:$L$2,0)))</f>
        <v/>
      </c>
      <c r="O156" s="2" t="str">
        <f t="shared" si="212"/>
        <v/>
      </c>
      <c r="P156" s="2" t="str">
        <f>IF($A156="","",INDEX(v_data!$B$2:$L$1000,MATCH($A156,v_data!$A$3:$A$1000,0)+1,MATCH(LOWER(P$1),v_data!$B$2:$L$2,0)))</f>
        <v/>
      </c>
      <c r="Q156" s="2" t="str">
        <f t="shared" si="213"/>
        <v/>
      </c>
      <c r="R156" s="2" t="str">
        <f>IF($A156="","",INDEX(v_data!$B$2:$L$1000,MATCH($A156,v_data!$A$3:$A$1000,0)+1,MATCH(LOWER(R$1),v_data!$B$2:$L$2,0)))</f>
        <v/>
      </c>
      <c r="S156" s="2" t="str">
        <f t="shared" si="214"/>
        <v/>
      </c>
      <c r="T156" s="2" t="str">
        <f>IF($A156="","",INDEX(v_data!$B$2:$L$1000,MATCH($A156,v_data!$A$3:$A$1000,0)+1,MATCH(LOWER(T$1),v_data!$B$2:$L$2,0)))</f>
        <v/>
      </c>
      <c r="U156" s="2" t="str">
        <f t="shared" si="215"/>
        <v/>
      </c>
      <c r="V156" s="2" t="str">
        <f>IF($A156="","",INDEX(v_data!$B$2:$L$1000,MATCH($A156,v_data!$A$3:$A$1000,0)+1,MATCH(LOWER(V$1),v_data!$B$2:$L$2,0)))</f>
        <v/>
      </c>
      <c r="W156" s="2" t="str">
        <f t="shared" si="216"/>
        <v/>
      </c>
      <c r="X156" s="2" t="str">
        <f>IF($A156="","",INDEX(v_data!$B$2:$L$1000,MATCH($A156,v_data!$A$3:$A$1000,0)+1,MATCH(LOWER(X$1),v_data!$B$2:$L$2,0)))</f>
        <v/>
      </c>
      <c r="Y156" s="2" t="str">
        <f t="shared" si="217"/>
        <v/>
      </c>
      <c r="Z156" s="2" t="str">
        <f>IF($A156="","",INDEX(v_data!$B$2:$L$1000,MATCH($A156,v_data!$A$3:$A$1000,0)+1,MATCH(LOWER(Z$1),v_data!$B$2:$L$2,0)))</f>
        <v/>
      </c>
      <c r="AA156" s="2" t="str">
        <f t="shared" si="218"/>
        <v/>
      </c>
      <c r="AB156" s="2" t="str">
        <f t="shared" si="219"/>
        <v/>
      </c>
      <c r="AC156" s="2">
        <f>(SUM(G156,I156,K156,M156,O156,Q156,S156,U156,W156,Y156,AA156)+IF(AND(G156&gt;0,I156&gt;0,K156&gt;0),100,0))*VLOOKUP(B156,variables!$A$2:$B$6,2,FALSE)</f>
        <v>80</v>
      </c>
      <c r="AD156" s="16" t="str">
        <f>IF($A156="","",INDEX(v_data!$B$2:$X$1000,MATCH($A156,v_data!$A$3:$A$1000,0)+1,MATCH(LOWER("hours"),v_data!$B$2:$X$2,0)))</f>
        <v/>
      </c>
    </row>
    <row r="157" spans="1:30" hidden="1" x14ac:dyDescent="0.25">
      <c r="A157" s="2" t="str">
        <f>IF(ISBLANK(v_data!A156),"",v_data!A156)</f>
        <v/>
      </c>
      <c r="B157" s="2" t="s">
        <v>22</v>
      </c>
      <c r="C157" s="2">
        <f>VLOOKUP(B157,variables!$A$2:$B$6,2,FALSE)</f>
        <v>0.8</v>
      </c>
      <c r="D157" s="4">
        <v>43826</v>
      </c>
      <c r="E157" s="4">
        <v>43431</v>
      </c>
      <c r="F157" s="2" t="str">
        <f>IF($A157="","",INDEX(v_data!$B$2:$L$1000,MATCH($A157,v_data!$A$3:$A$1000,0)+1,MATCH(LOWER(F$1),v_data!$B$2:$L$2,0)))</f>
        <v/>
      </c>
      <c r="G157" s="2" t="str">
        <f t="shared" si="208"/>
        <v/>
      </c>
      <c r="H157" s="2" t="str">
        <f>IF($A157="","",INDEX(v_data!$B$2:$L$1000,MATCH($A157,v_data!$A$3:$A$1000,0)+1,MATCH(LOWER(H$1),v_data!$B$2:$L$2,0)))</f>
        <v/>
      </c>
      <c r="I157" s="2" t="str">
        <f t="shared" si="209"/>
        <v/>
      </c>
      <c r="J157" s="2" t="str">
        <f>IF($A157="","",INDEX(v_data!$B$2:$L$1000,MATCH($A157,v_data!$A$3:$A$1000,0)+1,MATCH(LOWER(J$1),v_data!$B$2:$L$2,0)))</f>
        <v/>
      </c>
      <c r="K157" s="2" t="str">
        <f t="shared" si="210"/>
        <v/>
      </c>
      <c r="L157" s="2" t="str">
        <f>IF($A157="","",INDEX(v_data!$B$2:$L$1000,MATCH($A157,v_data!$A$3:$A$1000,0)+1,MATCH(LOWER(L$1),v_data!$B$2:$L$2,0)))</f>
        <v/>
      </c>
      <c r="M157" s="2" t="str">
        <f t="shared" si="211"/>
        <v/>
      </c>
      <c r="N157" s="2" t="str">
        <f>IF($A157="","",INDEX(v_data!$B$2:$L$1000,MATCH($A157,v_data!$A$3:$A$1000,0)+1,MATCH(LOWER(N$1),v_data!$B$2:$L$2,0)))</f>
        <v/>
      </c>
      <c r="O157" s="2" t="str">
        <f t="shared" si="212"/>
        <v/>
      </c>
      <c r="P157" s="2" t="str">
        <f>IF($A157="","",INDEX(v_data!$B$2:$L$1000,MATCH($A157,v_data!$A$3:$A$1000,0)+1,MATCH(LOWER(P$1),v_data!$B$2:$L$2,0)))</f>
        <v/>
      </c>
      <c r="Q157" s="2" t="str">
        <f t="shared" si="213"/>
        <v/>
      </c>
      <c r="R157" s="2" t="str">
        <f>IF($A157="","",INDEX(v_data!$B$2:$L$1000,MATCH($A157,v_data!$A$3:$A$1000,0)+1,MATCH(LOWER(R$1),v_data!$B$2:$L$2,0)))</f>
        <v/>
      </c>
      <c r="S157" s="2" t="str">
        <f t="shared" si="214"/>
        <v/>
      </c>
      <c r="T157" s="2" t="str">
        <f>IF($A157="","",INDEX(v_data!$B$2:$L$1000,MATCH($A157,v_data!$A$3:$A$1000,0)+1,MATCH(LOWER(T$1),v_data!$B$2:$L$2,0)))</f>
        <v/>
      </c>
      <c r="U157" s="2" t="str">
        <f t="shared" si="215"/>
        <v/>
      </c>
      <c r="V157" s="2" t="str">
        <f>IF($A157="","",INDEX(v_data!$B$2:$L$1000,MATCH($A157,v_data!$A$3:$A$1000,0)+1,MATCH(LOWER(V$1),v_data!$B$2:$L$2,0)))</f>
        <v/>
      </c>
      <c r="W157" s="2" t="str">
        <f t="shared" si="216"/>
        <v/>
      </c>
      <c r="X157" s="2" t="str">
        <f>IF($A157="","",INDEX(v_data!$B$2:$L$1000,MATCH($A157,v_data!$A$3:$A$1000,0)+1,MATCH(LOWER(X$1),v_data!$B$2:$L$2,0)))</f>
        <v/>
      </c>
      <c r="Y157" s="2" t="str">
        <f t="shared" si="217"/>
        <v/>
      </c>
      <c r="Z157" s="2" t="str">
        <f>IF($A157="","",INDEX(v_data!$B$2:$L$1000,MATCH($A157,v_data!$A$3:$A$1000,0)+1,MATCH(LOWER(Z$1),v_data!$B$2:$L$2,0)))</f>
        <v/>
      </c>
      <c r="AA157" s="2" t="str">
        <f t="shared" si="218"/>
        <v/>
      </c>
      <c r="AB157" s="2" t="str">
        <f t="shared" si="219"/>
        <v/>
      </c>
      <c r="AC157" s="2">
        <f>(SUM(G157,I157,K157,M157,O157,Q157,S157,U157,W157,Y157,AA157)+IF(AND(G157&gt;0,I157&gt;0,K157&gt;0),100,0))*VLOOKUP(B157,variables!$A$2:$B$6,2,FALSE)</f>
        <v>80</v>
      </c>
      <c r="AD157" s="16" t="str">
        <f>IF($A157="","",INDEX(v_data!$B$2:$X$1000,MATCH($A157,v_data!$A$3:$A$1000,0)+1,MATCH(LOWER("hours"),v_data!$B$2:$X$2,0)))</f>
        <v/>
      </c>
    </row>
    <row r="158" spans="1:30" hidden="1" x14ac:dyDescent="0.25">
      <c r="A158" s="2" t="str">
        <f>IF(ISBLANK(v_data!A157),"",v_data!A157)</f>
        <v/>
      </c>
      <c r="B158" s="2" t="s">
        <v>22</v>
      </c>
      <c r="C158" s="2">
        <f>VLOOKUP(B158,variables!$A$2:$B$6,2,FALSE)</f>
        <v>0.8</v>
      </c>
      <c r="D158" s="4">
        <v>43826</v>
      </c>
      <c r="E158" s="4">
        <v>43431</v>
      </c>
      <c r="F158" s="2" t="str">
        <f>IF($A158="","",INDEX(v_data!$B$2:$L$1000,MATCH($A158,v_data!$A$3:$A$1000,0)+1,MATCH(LOWER(F$1),v_data!$B$2:$L$2,0)))</f>
        <v/>
      </c>
      <c r="G158" s="2" t="str">
        <f t="shared" si="208"/>
        <v/>
      </c>
      <c r="H158" s="2" t="str">
        <f>IF($A158="","",INDEX(v_data!$B$2:$L$1000,MATCH($A158,v_data!$A$3:$A$1000,0)+1,MATCH(LOWER(H$1),v_data!$B$2:$L$2,0)))</f>
        <v/>
      </c>
      <c r="I158" s="2" t="str">
        <f t="shared" si="209"/>
        <v/>
      </c>
      <c r="J158" s="2" t="str">
        <f>IF($A158="","",INDEX(v_data!$B$2:$L$1000,MATCH($A158,v_data!$A$3:$A$1000,0)+1,MATCH(LOWER(J$1),v_data!$B$2:$L$2,0)))</f>
        <v/>
      </c>
      <c r="K158" s="2" t="str">
        <f t="shared" si="210"/>
        <v/>
      </c>
      <c r="L158" s="2" t="str">
        <f>IF($A158="","",INDEX(v_data!$B$2:$L$1000,MATCH($A158,v_data!$A$3:$A$1000,0)+1,MATCH(LOWER(L$1),v_data!$B$2:$L$2,0)))</f>
        <v/>
      </c>
      <c r="M158" s="2" t="str">
        <f t="shared" si="211"/>
        <v/>
      </c>
      <c r="N158" s="2" t="str">
        <f>IF($A158="","",INDEX(v_data!$B$2:$L$1000,MATCH($A158,v_data!$A$3:$A$1000,0)+1,MATCH(LOWER(N$1),v_data!$B$2:$L$2,0)))</f>
        <v/>
      </c>
      <c r="O158" s="2" t="str">
        <f t="shared" si="212"/>
        <v/>
      </c>
      <c r="P158" s="2" t="str">
        <f>IF($A158="","",INDEX(v_data!$B$2:$L$1000,MATCH($A158,v_data!$A$3:$A$1000,0)+1,MATCH(LOWER(P$1),v_data!$B$2:$L$2,0)))</f>
        <v/>
      </c>
      <c r="Q158" s="2" t="str">
        <f t="shared" si="213"/>
        <v/>
      </c>
      <c r="R158" s="2" t="str">
        <f>IF($A158="","",INDEX(v_data!$B$2:$L$1000,MATCH($A158,v_data!$A$3:$A$1000,0)+1,MATCH(LOWER(R$1),v_data!$B$2:$L$2,0)))</f>
        <v/>
      </c>
      <c r="S158" s="2" t="str">
        <f t="shared" si="214"/>
        <v/>
      </c>
      <c r="T158" s="2" t="str">
        <f>IF($A158="","",INDEX(v_data!$B$2:$L$1000,MATCH($A158,v_data!$A$3:$A$1000,0)+1,MATCH(LOWER(T$1),v_data!$B$2:$L$2,0)))</f>
        <v/>
      </c>
      <c r="U158" s="2" t="str">
        <f t="shared" si="215"/>
        <v/>
      </c>
      <c r="V158" s="2" t="str">
        <f>IF($A158="","",INDEX(v_data!$B$2:$L$1000,MATCH($A158,v_data!$A$3:$A$1000,0)+1,MATCH(LOWER(V$1),v_data!$B$2:$L$2,0)))</f>
        <v/>
      </c>
      <c r="W158" s="2" t="str">
        <f t="shared" si="216"/>
        <v/>
      </c>
      <c r="X158" s="2" t="str">
        <f>IF($A158="","",INDEX(v_data!$B$2:$L$1000,MATCH($A158,v_data!$A$3:$A$1000,0)+1,MATCH(LOWER(X$1),v_data!$B$2:$L$2,0)))</f>
        <v/>
      </c>
      <c r="Y158" s="2" t="str">
        <f t="shared" si="217"/>
        <v/>
      </c>
      <c r="Z158" s="2" t="str">
        <f>IF($A158="","",INDEX(v_data!$B$2:$L$1000,MATCH($A158,v_data!$A$3:$A$1000,0)+1,MATCH(LOWER(Z$1),v_data!$B$2:$L$2,0)))</f>
        <v/>
      </c>
      <c r="AA158" s="2" t="str">
        <f t="shared" si="218"/>
        <v/>
      </c>
      <c r="AB158" s="2" t="str">
        <f t="shared" si="219"/>
        <v/>
      </c>
      <c r="AC158" s="2">
        <f>(SUM(G158,I158,K158,M158,O158,Q158,S158,U158,W158,Y158,AA158)+IF(AND(G158&gt;0,I158&gt;0,K158&gt;0),100,0))*VLOOKUP(B158,variables!$A$2:$B$6,2,FALSE)</f>
        <v>80</v>
      </c>
      <c r="AD158" s="16" t="str">
        <f>IF($A158="","",INDEX(v_data!$B$2:$X$1000,MATCH($A158,v_data!$A$3:$A$1000,0)+1,MATCH(LOWER("hours"),v_data!$B$2:$X$2,0)))</f>
        <v/>
      </c>
    </row>
    <row r="159" spans="1:30" hidden="1" x14ac:dyDescent="0.25">
      <c r="A159" s="2" t="str">
        <f>IF(ISBLANK(v_data!A158),"",v_data!A158)</f>
        <v/>
      </c>
      <c r="B159" s="2" t="s">
        <v>22</v>
      </c>
      <c r="C159" s="2">
        <f>VLOOKUP(B159,variables!$A$2:$B$6,2,FALSE)</f>
        <v>0.8</v>
      </c>
      <c r="D159" s="4">
        <v>43826</v>
      </c>
      <c r="E159" s="4">
        <v>43431</v>
      </c>
      <c r="F159" s="2" t="str">
        <f>IF($A159="","",INDEX(v_data!$B$2:$L$1000,MATCH($A159,v_data!$A$3:$A$1000,0)+1,MATCH(LOWER(F$1),v_data!$B$2:$L$2,0)))</f>
        <v/>
      </c>
      <c r="G159" s="2" t="str">
        <f t="shared" si="208"/>
        <v/>
      </c>
      <c r="H159" s="2" t="str">
        <f>IF($A159="","",INDEX(v_data!$B$2:$L$1000,MATCH($A159,v_data!$A$3:$A$1000,0)+1,MATCH(LOWER(H$1),v_data!$B$2:$L$2,0)))</f>
        <v/>
      </c>
      <c r="I159" s="2" t="str">
        <f t="shared" si="209"/>
        <v/>
      </c>
      <c r="J159" s="2" t="str">
        <f>IF($A159="","",INDEX(v_data!$B$2:$L$1000,MATCH($A159,v_data!$A$3:$A$1000,0)+1,MATCH(LOWER(J$1),v_data!$B$2:$L$2,0)))</f>
        <v/>
      </c>
      <c r="K159" s="2" t="str">
        <f t="shared" si="210"/>
        <v/>
      </c>
      <c r="L159" s="2" t="str">
        <f>IF($A159="","",INDEX(v_data!$B$2:$L$1000,MATCH($A159,v_data!$A$3:$A$1000,0)+1,MATCH(LOWER(L$1),v_data!$B$2:$L$2,0)))</f>
        <v/>
      </c>
      <c r="M159" s="2" t="str">
        <f t="shared" si="211"/>
        <v/>
      </c>
      <c r="N159" s="2" t="str">
        <f>IF($A159="","",INDEX(v_data!$B$2:$L$1000,MATCH($A159,v_data!$A$3:$A$1000,0)+1,MATCH(LOWER(N$1),v_data!$B$2:$L$2,0)))</f>
        <v/>
      </c>
      <c r="O159" s="2" t="str">
        <f t="shared" si="212"/>
        <v/>
      </c>
      <c r="P159" s="2" t="str">
        <f>IF($A159="","",INDEX(v_data!$B$2:$L$1000,MATCH($A159,v_data!$A$3:$A$1000,0)+1,MATCH(LOWER(P$1),v_data!$B$2:$L$2,0)))</f>
        <v/>
      </c>
      <c r="Q159" s="2" t="str">
        <f t="shared" si="213"/>
        <v/>
      </c>
      <c r="R159" s="2" t="str">
        <f>IF($A159="","",INDEX(v_data!$B$2:$L$1000,MATCH($A159,v_data!$A$3:$A$1000,0)+1,MATCH(LOWER(R$1),v_data!$B$2:$L$2,0)))</f>
        <v/>
      </c>
      <c r="S159" s="2" t="str">
        <f t="shared" si="214"/>
        <v/>
      </c>
      <c r="T159" s="2" t="str">
        <f>IF($A159="","",INDEX(v_data!$B$2:$L$1000,MATCH($A159,v_data!$A$3:$A$1000,0)+1,MATCH(LOWER(T$1),v_data!$B$2:$L$2,0)))</f>
        <v/>
      </c>
      <c r="U159" s="2" t="str">
        <f t="shared" si="215"/>
        <v/>
      </c>
      <c r="V159" s="2" t="str">
        <f>IF($A159="","",INDEX(v_data!$B$2:$L$1000,MATCH($A159,v_data!$A$3:$A$1000,0)+1,MATCH(LOWER(V$1),v_data!$B$2:$L$2,0)))</f>
        <v/>
      </c>
      <c r="W159" s="2" t="str">
        <f t="shared" si="216"/>
        <v/>
      </c>
      <c r="X159" s="2" t="str">
        <f>IF($A159="","",INDEX(v_data!$B$2:$L$1000,MATCH($A159,v_data!$A$3:$A$1000,0)+1,MATCH(LOWER(X$1),v_data!$B$2:$L$2,0)))</f>
        <v/>
      </c>
      <c r="Y159" s="2" t="str">
        <f t="shared" si="217"/>
        <v/>
      </c>
      <c r="Z159" s="2" t="str">
        <f>IF($A159="","",INDEX(v_data!$B$2:$L$1000,MATCH($A159,v_data!$A$3:$A$1000,0)+1,MATCH(LOWER(Z$1),v_data!$B$2:$L$2,0)))</f>
        <v/>
      </c>
      <c r="AA159" s="2" t="str">
        <f t="shared" si="218"/>
        <v/>
      </c>
      <c r="AB159" s="2" t="str">
        <f t="shared" si="219"/>
        <v/>
      </c>
      <c r="AC159" s="2">
        <f>(SUM(G159,I159,K159,M159,O159,Q159,S159,U159,W159,Y159,AA159)+IF(AND(G159&gt;0,I159&gt;0,K159&gt;0),100,0))*VLOOKUP(B159,variables!$A$2:$B$6,2,FALSE)</f>
        <v>80</v>
      </c>
      <c r="AD159" s="16" t="str">
        <f>IF($A159="","",INDEX(v_data!$B$2:$X$1000,MATCH($A159,v_data!$A$3:$A$1000,0)+1,MATCH(LOWER("hours"),v_data!$B$2:$X$2,0)))</f>
        <v/>
      </c>
    </row>
    <row r="160" spans="1:30" hidden="1" x14ac:dyDescent="0.25">
      <c r="A160" s="2" t="str">
        <f>IF(ISBLANK(v_data!A159),"",v_data!A159)</f>
        <v/>
      </c>
      <c r="B160" s="2" t="s">
        <v>22</v>
      </c>
      <c r="C160" s="2">
        <f>VLOOKUP(B160,variables!$A$2:$B$6,2,FALSE)</f>
        <v>0.8</v>
      </c>
      <c r="D160" s="4">
        <v>43826</v>
      </c>
      <c r="E160" s="4">
        <v>43431</v>
      </c>
      <c r="F160" s="2" t="str">
        <f>IF($A160="","",INDEX(v_data!$B$2:$L$1000,MATCH($A160,v_data!$A$3:$A$1000,0)+1,MATCH(LOWER(F$1),v_data!$B$2:$L$2,0)))</f>
        <v/>
      </c>
      <c r="G160" s="2" t="str">
        <f t="shared" si="208"/>
        <v/>
      </c>
      <c r="H160" s="2" t="str">
        <f>IF($A160="","",INDEX(v_data!$B$2:$L$1000,MATCH($A160,v_data!$A$3:$A$1000,0)+1,MATCH(LOWER(H$1),v_data!$B$2:$L$2,0)))</f>
        <v/>
      </c>
      <c r="I160" s="2" t="str">
        <f t="shared" si="209"/>
        <v/>
      </c>
      <c r="J160" s="2" t="str">
        <f>IF($A160="","",INDEX(v_data!$B$2:$L$1000,MATCH($A160,v_data!$A$3:$A$1000,0)+1,MATCH(LOWER(J$1),v_data!$B$2:$L$2,0)))</f>
        <v/>
      </c>
      <c r="K160" s="2" t="str">
        <f t="shared" si="210"/>
        <v/>
      </c>
      <c r="L160" s="2" t="str">
        <f>IF($A160="","",INDEX(v_data!$B$2:$L$1000,MATCH($A160,v_data!$A$3:$A$1000,0)+1,MATCH(LOWER(L$1),v_data!$B$2:$L$2,0)))</f>
        <v/>
      </c>
      <c r="M160" s="2" t="str">
        <f t="shared" si="211"/>
        <v/>
      </c>
      <c r="N160" s="2" t="str">
        <f>IF($A160="","",INDEX(v_data!$B$2:$L$1000,MATCH($A160,v_data!$A$3:$A$1000,0)+1,MATCH(LOWER(N$1),v_data!$B$2:$L$2,0)))</f>
        <v/>
      </c>
      <c r="O160" s="2" t="str">
        <f t="shared" si="212"/>
        <v/>
      </c>
      <c r="P160" s="2" t="str">
        <f>IF($A160="","",INDEX(v_data!$B$2:$L$1000,MATCH($A160,v_data!$A$3:$A$1000,0)+1,MATCH(LOWER(P$1),v_data!$B$2:$L$2,0)))</f>
        <v/>
      </c>
      <c r="Q160" s="2" t="str">
        <f t="shared" si="213"/>
        <v/>
      </c>
      <c r="R160" s="2" t="str">
        <f>IF($A160="","",INDEX(v_data!$B$2:$L$1000,MATCH($A160,v_data!$A$3:$A$1000,0)+1,MATCH(LOWER(R$1),v_data!$B$2:$L$2,0)))</f>
        <v/>
      </c>
      <c r="S160" s="2" t="str">
        <f t="shared" si="214"/>
        <v/>
      </c>
      <c r="T160" s="2" t="str">
        <f>IF($A160="","",INDEX(v_data!$B$2:$L$1000,MATCH($A160,v_data!$A$3:$A$1000,0)+1,MATCH(LOWER(T$1),v_data!$B$2:$L$2,0)))</f>
        <v/>
      </c>
      <c r="U160" s="2" t="str">
        <f t="shared" si="215"/>
        <v/>
      </c>
      <c r="V160" s="2" t="str">
        <f>IF($A160="","",INDEX(v_data!$B$2:$L$1000,MATCH($A160,v_data!$A$3:$A$1000,0)+1,MATCH(LOWER(V$1),v_data!$B$2:$L$2,0)))</f>
        <v/>
      </c>
      <c r="W160" s="2" t="str">
        <f t="shared" si="216"/>
        <v/>
      </c>
      <c r="X160" s="2" t="str">
        <f>IF($A160="","",INDEX(v_data!$B$2:$L$1000,MATCH($A160,v_data!$A$3:$A$1000,0)+1,MATCH(LOWER(X$1),v_data!$B$2:$L$2,0)))</f>
        <v/>
      </c>
      <c r="Y160" s="2" t="str">
        <f t="shared" si="217"/>
        <v/>
      </c>
      <c r="Z160" s="2" t="str">
        <f>IF($A160="","",INDEX(v_data!$B$2:$L$1000,MATCH($A160,v_data!$A$3:$A$1000,0)+1,MATCH(LOWER(Z$1),v_data!$B$2:$L$2,0)))</f>
        <v/>
      </c>
      <c r="AA160" s="2" t="str">
        <f t="shared" si="218"/>
        <v/>
      </c>
      <c r="AB160" s="2" t="str">
        <f t="shared" si="219"/>
        <v/>
      </c>
      <c r="AC160" s="2">
        <f>(SUM(G160,I160,K160,M160,O160,Q160,S160,U160,W160,Y160,AA160)+IF(AND(G160&gt;0,I160&gt;0,K160&gt;0),100,0))*VLOOKUP(B160,variables!$A$2:$B$6,2,FALSE)</f>
        <v>80</v>
      </c>
      <c r="AD160" s="16" t="str">
        <f>IF($A160="","",INDEX(v_data!$B$2:$X$1000,MATCH($A160,v_data!$A$3:$A$1000,0)+1,MATCH(LOWER("hours"),v_data!$B$2:$X$2,0)))</f>
        <v/>
      </c>
    </row>
    <row r="161" spans="1:30" hidden="1" x14ac:dyDescent="0.25">
      <c r="A161" s="2" t="str">
        <f>IF(ISBLANK(v_data!A160),"",v_data!A160)</f>
        <v/>
      </c>
      <c r="B161" s="2" t="s">
        <v>22</v>
      </c>
      <c r="C161" s="2">
        <f>VLOOKUP(B161,variables!$A$2:$B$6,2,FALSE)</f>
        <v>0.8</v>
      </c>
      <c r="D161" s="4">
        <v>43826</v>
      </c>
      <c r="E161" s="4">
        <v>43431</v>
      </c>
      <c r="F161" s="2" t="str">
        <f>IF($A161="","",INDEX(v_data!$B$2:$L$1000,MATCH($A161,v_data!$A$3:$A$1000,0)+1,MATCH(LOWER(F$1),v_data!$B$2:$L$2,0)))</f>
        <v/>
      </c>
      <c r="G161" s="2" t="str">
        <f t="shared" si="208"/>
        <v/>
      </c>
      <c r="H161" s="2" t="str">
        <f>IF($A161="","",INDEX(v_data!$B$2:$L$1000,MATCH($A161,v_data!$A$3:$A$1000,0)+1,MATCH(LOWER(H$1),v_data!$B$2:$L$2,0)))</f>
        <v/>
      </c>
      <c r="I161" s="2" t="str">
        <f t="shared" si="209"/>
        <v/>
      </c>
      <c r="J161" s="2" t="str">
        <f>IF($A161="","",INDEX(v_data!$B$2:$L$1000,MATCH($A161,v_data!$A$3:$A$1000,0)+1,MATCH(LOWER(J$1),v_data!$B$2:$L$2,0)))</f>
        <v/>
      </c>
      <c r="K161" s="2" t="str">
        <f t="shared" si="210"/>
        <v/>
      </c>
      <c r="L161" s="2" t="str">
        <f>IF($A161="","",INDEX(v_data!$B$2:$L$1000,MATCH($A161,v_data!$A$3:$A$1000,0)+1,MATCH(LOWER(L$1),v_data!$B$2:$L$2,0)))</f>
        <v/>
      </c>
      <c r="M161" s="2" t="str">
        <f t="shared" si="211"/>
        <v/>
      </c>
      <c r="N161" s="2" t="str">
        <f>IF($A161="","",INDEX(v_data!$B$2:$L$1000,MATCH($A161,v_data!$A$3:$A$1000,0)+1,MATCH(LOWER(N$1),v_data!$B$2:$L$2,0)))</f>
        <v/>
      </c>
      <c r="O161" s="2" t="str">
        <f t="shared" si="212"/>
        <v/>
      </c>
      <c r="P161" s="2" t="str">
        <f>IF($A161="","",INDEX(v_data!$B$2:$L$1000,MATCH($A161,v_data!$A$3:$A$1000,0)+1,MATCH(LOWER(P$1),v_data!$B$2:$L$2,0)))</f>
        <v/>
      </c>
      <c r="Q161" s="2" t="str">
        <f t="shared" si="213"/>
        <v/>
      </c>
      <c r="R161" s="2" t="str">
        <f>IF($A161="","",INDEX(v_data!$B$2:$L$1000,MATCH($A161,v_data!$A$3:$A$1000,0)+1,MATCH(LOWER(R$1),v_data!$B$2:$L$2,0)))</f>
        <v/>
      </c>
      <c r="S161" s="2" t="str">
        <f t="shared" si="214"/>
        <v/>
      </c>
      <c r="T161" s="2" t="str">
        <f>IF($A161="","",INDEX(v_data!$B$2:$L$1000,MATCH($A161,v_data!$A$3:$A$1000,0)+1,MATCH(LOWER(T$1),v_data!$B$2:$L$2,0)))</f>
        <v/>
      </c>
      <c r="U161" s="2" t="str">
        <f t="shared" si="215"/>
        <v/>
      </c>
      <c r="V161" s="2" t="str">
        <f>IF($A161="","",INDEX(v_data!$B$2:$L$1000,MATCH($A161,v_data!$A$3:$A$1000,0)+1,MATCH(LOWER(V$1),v_data!$B$2:$L$2,0)))</f>
        <v/>
      </c>
      <c r="W161" s="2" t="str">
        <f t="shared" si="216"/>
        <v/>
      </c>
      <c r="X161" s="2" t="str">
        <f>IF($A161="","",INDEX(v_data!$B$2:$L$1000,MATCH($A161,v_data!$A$3:$A$1000,0)+1,MATCH(LOWER(X$1),v_data!$B$2:$L$2,0)))</f>
        <v/>
      </c>
      <c r="Y161" s="2" t="str">
        <f t="shared" si="217"/>
        <v/>
      </c>
      <c r="Z161" s="2" t="str">
        <f>IF($A161="","",INDEX(v_data!$B$2:$L$1000,MATCH($A161,v_data!$A$3:$A$1000,0)+1,MATCH(LOWER(Z$1),v_data!$B$2:$L$2,0)))</f>
        <v/>
      </c>
      <c r="AA161" s="2" t="str">
        <f t="shared" si="218"/>
        <v/>
      </c>
      <c r="AB161" s="2" t="str">
        <f t="shared" si="219"/>
        <v/>
      </c>
      <c r="AC161" s="2">
        <f>(SUM(G161,I161,K161,M161,O161,Q161,S161,U161,W161,Y161,AA161)+IF(AND(G161&gt;0,I161&gt;0,K161&gt;0),100,0))*VLOOKUP(B161,variables!$A$2:$B$6,2,FALSE)</f>
        <v>80</v>
      </c>
      <c r="AD161" s="16" t="str">
        <f>IF($A161="","",INDEX(v_data!$B$2:$X$1000,MATCH($A161,v_data!$A$3:$A$1000,0)+1,MATCH(LOWER("hours"),v_data!$B$2:$X$2,0)))</f>
        <v/>
      </c>
    </row>
    <row r="162" spans="1:30" hidden="1" x14ac:dyDescent="0.25">
      <c r="A162" s="2" t="str">
        <f>IF(ISBLANK(v_data!A161),"",v_data!A161)</f>
        <v/>
      </c>
      <c r="B162" s="2" t="s">
        <v>22</v>
      </c>
      <c r="C162" s="2">
        <f>VLOOKUP(B162,variables!$A$2:$B$6,2,FALSE)</f>
        <v>0.8</v>
      </c>
      <c r="D162" s="4">
        <v>43826</v>
      </c>
      <c r="E162" s="4">
        <v>43431</v>
      </c>
      <c r="F162" s="2" t="str">
        <f>IF($A162="","",INDEX(v_data!$B$2:$L$1000,MATCH($A162,v_data!$A$3:$A$1000,0)+1,MATCH(LOWER(F$1),v_data!$B$2:$L$2,0)))</f>
        <v/>
      </c>
      <c r="G162" s="2" t="str">
        <f t="shared" si="208"/>
        <v/>
      </c>
      <c r="H162" s="2" t="str">
        <f>IF($A162="","",INDEX(v_data!$B$2:$L$1000,MATCH($A162,v_data!$A$3:$A$1000,0)+1,MATCH(LOWER(H$1),v_data!$B$2:$L$2,0)))</f>
        <v/>
      </c>
      <c r="I162" s="2" t="str">
        <f t="shared" si="209"/>
        <v/>
      </c>
      <c r="J162" s="2" t="str">
        <f>IF($A162="","",INDEX(v_data!$B$2:$L$1000,MATCH($A162,v_data!$A$3:$A$1000,0)+1,MATCH(LOWER(J$1),v_data!$B$2:$L$2,0)))</f>
        <v/>
      </c>
      <c r="K162" s="2" t="str">
        <f t="shared" si="210"/>
        <v/>
      </c>
      <c r="L162" s="2" t="str">
        <f>IF($A162="","",INDEX(v_data!$B$2:$L$1000,MATCH($A162,v_data!$A$3:$A$1000,0)+1,MATCH(LOWER(L$1),v_data!$B$2:$L$2,0)))</f>
        <v/>
      </c>
      <c r="M162" s="2" t="str">
        <f t="shared" si="211"/>
        <v/>
      </c>
      <c r="N162" s="2" t="str">
        <f>IF($A162="","",INDEX(v_data!$B$2:$L$1000,MATCH($A162,v_data!$A$3:$A$1000,0)+1,MATCH(LOWER(N$1),v_data!$B$2:$L$2,0)))</f>
        <v/>
      </c>
      <c r="O162" s="2" t="str">
        <f t="shared" si="212"/>
        <v/>
      </c>
      <c r="P162" s="2" t="str">
        <f>IF($A162="","",INDEX(v_data!$B$2:$L$1000,MATCH($A162,v_data!$A$3:$A$1000,0)+1,MATCH(LOWER(P$1),v_data!$B$2:$L$2,0)))</f>
        <v/>
      </c>
      <c r="Q162" s="2" t="str">
        <f t="shared" si="213"/>
        <v/>
      </c>
      <c r="R162" s="2" t="str">
        <f>IF($A162="","",INDEX(v_data!$B$2:$L$1000,MATCH($A162,v_data!$A$3:$A$1000,0)+1,MATCH(LOWER(R$1),v_data!$B$2:$L$2,0)))</f>
        <v/>
      </c>
      <c r="S162" s="2" t="str">
        <f t="shared" si="214"/>
        <v/>
      </c>
      <c r="T162" s="2" t="str">
        <f>IF($A162="","",INDEX(v_data!$B$2:$L$1000,MATCH($A162,v_data!$A$3:$A$1000,0)+1,MATCH(LOWER(T$1),v_data!$B$2:$L$2,0)))</f>
        <v/>
      </c>
      <c r="U162" s="2" t="str">
        <f t="shared" si="215"/>
        <v/>
      </c>
      <c r="V162" s="2" t="str">
        <f>IF($A162="","",INDEX(v_data!$B$2:$L$1000,MATCH($A162,v_data!$A$3:$A$1000,0)+1,MATCH(LOWER(V$1),v_data!$B$2:$L$2,0)))</f>
        <v/>
      </c>
      <c r="W162" s="2" t="str">
        <f t="shared" si="216"/>
        <v/>
      </c>
      <c r="X162" s="2" t="str">
        <f>IF($A162="","",INDEX(v_data!$B$2:$L$1000,MATCH($A162,v_data!$A$3:$A$1000,0)+1,MATCH(LOWER(X$1),v_data!$B$2:$L$2,0)))</f>
        <v/>
      </c>
      <c r="Y162" s="2" t="str">
        <f t="shared" si="217"/>
        <v/>
      </c>
      <c r="Z162" s="2" t="str">
        <f>IF($A162="","",INDEX(v_data!$B$2:$L$1000,MATCH($A162,v_data!$A$3:$A$1000,0)+1,MATCH(LOWER(Z$1),v_data!$B$2:$L$2,0)))</f>
        <v/>
      </c>
      <c r="AA162" s="2" t="str">
        <f t="shared" si="218"/>
        <v/>
      </c>
      <c r="AB162" s="2" t="str">
        <f t="shared" si="219"/>
        <v/>
      </c>
      <c r="AC162" s="2">
        <f>(SUM(G162,I162,K162,M162,O162,Q162,S162,U162,W162,Y162,AA162)+IF(AND(G162&gt;0,I162&gt;0,K162&gt;0),100,0))*VLOOKUP(B162,variables!$A$2:$B$6,2,FALSE)</f>
        <v>80</v>
      </c>
      <c r="AD162" s="16" t="str">
        <f>IF($A162="","",INDEX(v_data!$B$2:$X$1000,MATCH($A162,v_data!$A$3:$A$1000,0)+1,MATCH(LOWER("hours"),v_data!$B$2:$X$2,0)))</f>
        <v/>
      </c>
    </row>
    <row r="163" spans="1:30" hidden="1" x14ac:dyDescent="0.25">
      <c r="A163" s="2" t="str">
        <f>IF(ISBLANK(v_data!A162),"",v_data!A162)</f>
        <v/>
      </c>
      <c r="B163" s="2" t="s">
        <v>22</v>
      </c>
      <c r="C163" s="2">
        <f>VLOOKUP(B163,variables!$A$2:$B$6,2,FALSE)</f>
        <v>0.8</v>
      </c>
      <c r="D163" s="4">
        <v>43826</v>
      </c>
      <c r="E163" s="4">
        <v>43431</v>
      </c>
      <c r="F163" s="2" t="str">
        <f>IF($A163="","",INDEX(v_data!$B$2:$L$1000,MATCH($A163,v_data!$A$3:$A$1000,0)+1,MATCH(LOWER(F$1),v_data!$B$2:$L$2,0)))</f>
        <v/>
      </c>
      <c r="G163" s="2" t="str">
        <f t="shared" si="208"/>
        <v/>
      </c>
      <c r="H163" s="2" t="str">
        <f>IF($A163="","",INDEX(v_data!$B$2:$L$1000,MATCH($A163,v_data!$A$3:$A$1000,0)+1,MATCH(LOWER(H$1),v_data!$B$2:$L$2,0)))</f>
        <v/>
      </c>
      <c r="I163" s="2" t="str">
        <f t="shared" si="209"/>
        <v/>
      </c>
      <c r="J163" s="2" t="str">
        <f>IF($A163="","",INDEX(v_data!$B$2:$L$1000,MATCH($A163,v_data!$A$3:$A$1000,0)+1,MATCH(LOWER(J$1),v_data!$B$2:$L$2,0)))</f>
        <v/>
      </c>
      <c r="K163" s="2" t="str">
        <f t="shared" si="210"/>
        <v/>
      </c>
      <c r="L163" s="2" t="str">
        <f>IF($A163="","",INDEX(v_data!$B$2:$L$1000,MATCH($A163,v_data!$A$3:$A$1000,0)+1,MATCH(LOWER(L$1),v_data!$B$2:$L$2,0)))</f>
        <v/>
      </c>
      <c r="M163" s="2" t="str">
        <f t="shared" si="211"/>
        <v/>
      </c>
      <c r="N163" s="2" t="str">
        <f>IF($A163="","",INDEX(v_data!$B$2:$L$1000,MATCH($A163,v_data!$A$3:$A$1000,0)+1,MATCH(LOWER(N$1),v_data!$B$2:$L$2,0)))</f>
        <v/>
      </c>
      <c r="O163" s="2" t="str">
        <f t="shared" si="212"/>
        <v/>
      </c>
      <c r="P163" s="2" t="str">
        <f>IF($A163="","",INDEX(v_data!$B$2:$L$1000,MATCH($A163,v_data!$A$3:$A$1000,0)+1,MATCH(LOWER(P$1),v_data!$B$2:$L$2,0)))</f>
        <v/>
      </c>
      <c r="Q163" s="2" t="str">
        <f t="shared" si="213"/>
        <v/>
      </c>
      <c r="R163" s="2" t="str">
        <f>IF($A163="","",INDEX(v_data!$B$2:$L$1000,MATCH($A163,v_data!$A$3:$A$1000,0)+1,MATCH(LOWER(R$1),v_data!$B$2:$L$2,0)))</f>
        <v/>
      </c>
      <c r="S163" s="2" t="str">
        <f t="shared" si="214"/>
        <v/>
      </c>
      <c r="T163" s="2" t="str">
        <f>IF($A163="","",INDEX(v_data!$B$2:$L$1000,MATCH($A163,v_data!$A$3:$A$1000,0)+1,MATCH(LOWER(T$1),v_data!$B$2:$L$2,0)))</f>
        <v/>
      </c>
      <c r="U163" s="2" t="str">
        <f t="shared" si="215"/>
        <v/>
      </c>
      <c r="V163" s="2" t="str">
        <f>IF($A163="","",INDEX(v_data!$B$2:$L$1000,MATCH($A163,v_data!$A$3:$A$1000,0)+1,MATCH(LOWER(V$1),v_data!$B$2:$L$2,0)))</f>
        <v/>
      </c>
      <c r="W163" s="2" t="str">
        <f t="shared" si="216"/>
        <v/>
      </c>
      <c r="X163" s="2" t="str">
        <f>IF($A163="","",INDEX(v_data!$B$2:$L$1000,MATCH($A163,v_data!$A$3:$A$1000,0)+1,MATCH(LOWER(X$1),v_data!$B$2:$L$2,0)))</f>
        <v/>
      </c>
      <c r="Y163" s="2" t="str">
        <f t="shared" si="217"/>
        <v/>
      </c>
      <c r="Z163" s="2" t="str">
        <f>IF($A163="","",INDEX(v_data!$B$2:$L$1000,MATCH($A163,v_data!$A$3:$A$1000,0)+1,MATCH(LOWER(Z$1),v_data!$B$2:$L$2,0)))</f>
        <v/>
      </c>
      <c r="AA163" s="2" t="str">
        <f t="shared" si="218"/>
        <v/>
      </c>
      <c r="AB163" s="2" t="str">
        <f t="shared" si="219"/>
        <v/>
      </c>
      <c r="AC163" s="2">
        <f>(SUM(G163,I163,K163,M163,O163,Q163,S163,U163,W163,Y163,AA163)+IF(AND(G163&gt;0,I163&gt;0,K163&gt;0),100,0))*VLOOKUP(B163,variables!$A$2:$B$6,2,FALSE)</f>
        <v>80</v>
      </c>
      <c r="AD163" s="16" t="str">
        <f>IF($A163="","",INDEX(v_data!$B$2:$X$1000,MATCH($A163,v_data!$A$3:$A$1000,0)+1,MATCH(LOWER("hours"),v_data!$B$2:$X$2,0)))</f>
        <v/>
      </c>
    </row>
    <row r="164" spans="1:30" hidden="1" x14ac:dyDescent="0.25">
      <c r="A164" s="2" t="str">
        <f>IF(ISBLANK(v_data!A163),"",v_data!A163)</f>
        <v/>
      </c>
      <c r="B164" s="2" t="s">
        <v>22</v>
      </c>
      <c r="C164" s="2">
        <f>VLOOKUP(B164,variables!$A$2:$B$6,2,FALSE)</f>
        <v>0.8</v>
      </c>
      <c r="D164" s="4">
        <v>43826</v>
      </c>
      <c r="E164" s="4">
        <v>43431</v>
      </c>
      <c r="F164" s="2" t="str">
        <f>IF($A164="","",INDEX(v_data!$B$2:$L$1000,MATCH($A164,v_data!$A$3:$A$1000,0)+1,MATCH(LOWER(F$1),v_data!$B$2:$L$2,0)))</f>
        <v/>
      </c>
      <c r="G164" s="2" t="str">
        <f t="shared" si="208"/>
        <v/>
      </c>
      <c r="H164" s="2" t="str">
        <f>IF($A164="","",INDEX(v_data!$B$2:$L$1000,MATCH($A164,v_data!$A$3:$A$1000,0)+1,MATCH(LOWER(H$1),v_data!$B$2:$L$2,0)))</f>
        <v/>
      </c>
      <c r="I164" s="2" t="str">
        <f t="shared" si="209"/>
        <v/>
      </c>
      <c r="J164" s="2" t="str">
        <f>IF($A164="","",INDEX(v_data!$B$2:$L$1000,MATCH($A164,v_data!$A$3:$A$1000,0)+1,MATCH(LOWER(J$1),v_data!$B$2:$L$2,0)))</f>
        <v/>
      </c>
      <c r="K164" s="2" t="str">
        <f t="shared" si="210"/>
        <v/>
      </c>
      <c r="L164" s="2" t="str">
        <f>IF($A164="","",INDEX(v_data!$B$2:$L$1000,MATCH($A164,v_data!$A$3:$A$1000,0)+1,MATCH(LOWER(L$1),v_data!$B$2:$L$2,0)))</f>
        <v/>
      </c>
      <c r="M164" s="2" t="str">
        <f t="shared" si="211"/>
        <v/>
      </c>
      <c r="N164" s="2" t="str">
        <f>IF($A164="","",INDEX(v_data!$B$2:$L$1000,MATCH($A164,v_data!$A$3:$A$1000,0)+1,MATCH(LOWER(N$1),v_data!$B$2:$L$2,0)))</f>
        <v/>
      </c>
      <c r="O164" s="2" t="str">
        <f t="shared" si="212"/>
        <v/>
      </c>
      <c r="P164" s="2" t="str">
        <f>IF($A164="","",INDEX(v_data!$B$2:$L$1000,MATCH($A164,v_data!$A$3:$A$1000,0)+1,MATCH(LOWER(P$1),v_data!$B$2:$L$2,0)))</f>
        <v/>
      </c>
      <c r="Q164" s="2" t="str">
        <f t="shared" si="213"/>
        <v/>
      </c>
      <c r="R164" s="2" t="str">
        <f>IF($A164="","",INDEX(v_data!$B$2:$L$1000,MATCH($A164,v_data!$A$3:$A$1000,0)+1,MATCH(LOWER(R$1),v_data!$B$2:$L$2,0)))</f>
        <v/>
      </c>
      <c r="S164" s="2" t="str">
        <f t="shared" si="214"/>
        <v/>
      </c>
      <c r="T164" s="2" t="str">
        <f>IF($A164="","",INDEX(v_data!$B$2:$L$1000,MATCH($A164,v_data!$A$3:$A$1000,0)+1,MATCH(LOWER(T$1),v_data!$B$2:$L$2,0)))</f>
        <v/>
      </c>
      <c r="U164" s="2" t="str">
        <f t="shared" si="215"/>
        <v/>
      </c>
      <c r="V164" s="2" t="str">
        <f>IF($A164="","",INDEX(v_data!$B$2:$L$1000,MATCH($A164,v_data!$A$3:$A$1000,0)+1,MATCH(LOWER(V$1),v_data!$B$2:$L$2,0)))</f>
        <v/>
      </c>
      <c r="W164" s="2" t="str">
        <f t="shared" si="216"/>
        <v/>
      </c>
      <c r="X164" s="2" t="str">
        <f>IF($A164="","",INDEX(v_data!$B$2:$L$1000,MATCH($A164,v_data!$A$3:$A$1000,0)+1,MATCH(LOWER(X$1),v_data!$B$2:$L$2,0)))</f>
        <v/>
      </c>
      <c r="Y164" s="2" t="str">
        <f t="shared" si="217"/>
        <v/>
      </c>
      <c r="Z164" s="2" t="str">
        <f>IF($A164="","",INDEX(v_data!$B$2:$L$1000,MATCH($A164,v_data!$A$3:$A$1000,0)+1,MATCH(LOWER(Z$1),v_data!$B$2:$L$2,0)))</f>
        <v/>
      </c>
      <c r="AA164" s="2" t="str">
        <f t="shared" si="218"/>
        <v/>
      </c>
      <c r="AB164" s="2" t="str">
        <f t="shared" si="219"/>
        <v/>
      </c>
      <c r="AC164" s="2">
        <f>(SUM(G164,I164,K164,M164,O164,Q164,S164,U164,W164,Y164,AA164)+IF(AND(G164&gt;0,I164&gt;0,K164&gt;0),100,0))*VLOOKUP(B164,variables!$A$2:$B$6,2,FALSE)</f>
        <v>80</v>
      </c>
      <c r="AD164" s="16" t="str">
        <f>IF($A164="","",INDEX(v_data!$B$2:$X$1000,MATCH($A164,v_data!$A$3:$A$1000,0)+1,MATCH(LOWER("hours"),v_data!$B$2:$X$2,0)))</f>
        <v/>
      </c>
    </row>
    <row r="165" spans="1:30" hidden="1" x14ac:dyDescent="0.25">
      <c r="A165" s="2" t="str">
        <f>IF(ISBLANK(v_data!A164),"",v_data!A164)</f>
        <v/>
      </c>
      <c r="B165" s="2" t="s">
        <v>22</v>
      </c>
      <c r="C165" s="2">
        <f>VLOOKUP(B165,variables!$A$2:$B$6,2,FALSE)</f>
        <v>0.8</v>
      </c>
      <c r="D165" s="4">
        <v>43826</v>
      </c>
      <c r="E165" s="4">
        <v>43431</v>
      </c>
      <c r="F165" s="2" t="str">
        <f>IF($A165="","",INDEX(v_data!$B$2:$L$1000,MATCH($A165,v_data!$A$3:$A$1000,0)+1,MATCH(LOWER(F$1),v_data!$B$2:$L$2,0)))</f>
        <v/>
      </c>
      <c r="G165" s="2" t="str">
        <f t="shared" si="208"/>
        <v/>
      </c>
      <c r="H165" s="2" t="str">
        <f>IF($A165="","",INDEX(v_data!$B$2:$L$1000,MATCH($A165,v_data!$A$3:$A$1000,0)+1,MATCH(LOWER(H$1),v_data!$B$2:$L$2,0)))</f>
        <v/>
      </c>
      <c r="I165" s="2" t="str">
        <f t="shared" si="209"/>
        <v/>
      </c>
      <c r="J165" s="2" t="str">
        <f>IF($A165="","",INDEX(v_data!$B$2:$L$1000,MATCH($A165,v_data!$A$3:$A$1000,0)+1,MATCH(LOWER(J$1),v_data!$B$2:$L$2,0)))</f>
        <v/>
      </c>
      <c r="K165" s="2" t="str">
        <f t="shared" si="210"/>
        <v/>
      </c>
      <c r="L165" s="2" t="str">
        <f>IF($A165="","",INDEX(v_data!$B$2:$L$1000,MATCH($A165,v_data!$A$3:$A$1000,0)+1,MATCH(LOWER(L$1),v_data!$B$2:$L$2,0)))</f>
        <v/>
      </c>
      <c r="M165" s="2" t="str">
        <f t="shared" si="211"/>
        <v/>
      </c>
      <c r="N165" s="2" t="str">
        <f>IF($A165="","",INDEX(v_data!$B$2:$L$1000,MATCH($A165,v_data!$A$3:$A$1000,0)+1,MATCH(LOWER(N$1),v_data!$B$2:$L$2,0)))</f>
        <v/>
      </c>
      <c r="O165" s="2" t="str">
        <f t="shared" si="212"/>
        <v/>
      </c>
      <c r="P165" s="2" t="str">
        <f>IF($A165="","",INDEX(v_data!$B$2:$L$1000,MATCH($A165,v_data!$A$3:$A$1000,0)+1,MATCH(LOWER(P$1),v_data!$B$2:$L$2,0)))</f>
        <v/>
      </c>
      <c r="Q165" s="2" t="str">
        <f t="shared" si="213"/>
        <v/>
      </c>
      <c r="R165" s="2" t="str">
        <f>IF($A165="","",INDEX(v_data!$B$2:$L$1000,MATCH($A165,v_data!$A$3:$A$1000,0)+1,MATCH(LOWER(R$1),v_data!$B$2:$L$2,0)))</f>
        <v/>
      </c>
      <c r="S165" s="2" t="str">
        <f t="shared" si="214"/>
        <v/>
      </c>
      <c r="T165" s="2" t="str">
        <f>IF($A165="","",INDEX(v_data!$B$2:$L$1000,MATCH($A165,v_data!$A$3:$A$1000,0)+1,MATCH(LOWER(T$1),v_data!$B$2:$L$2,0)))</f>
        <v/>
      </c>
      <c r="U165" s="2" t="str">
        <f t="shared" si="215"/>
        <v/>
      </c>
      <c r="V165" s="2" t="str">
        <f>IF($A165="","",INDEX(v_data!$B$2:$L$1000,MATCH($A165,v_data!$A$3:$A$1000,0)+1,MATCH(LOWER(V$1),v_data!$B$2:$L$2,0)))</f>
        <v/>
      </c>
      <c r="W165" s="2" t="str">
        <f t="shared" si="216"/>
        <v/>
      </c>
      <c r="X165" s="2" t="str">
        <f>IF($A165="","",INDEX(v_data!$B$2:$L$1000,MATCH($A165,v_data!$A$3:$A$1000,0)+1,MATCH(LOWER(X$1),v_data!$B$2:$L$2,0)))</f>
        <v/>
      </c>
      <c r="Y165" s="2" t="str">
        <f t="shared" si="217"/>
        <v/>
      </c>
      <c r="Z165" s="2" t="str">
        <f>IF($A165="","",INDEX(v_data!$B$2:$L$1000,MATCH($A165,v_data!$A$3:$A$1000,0)+1,MATCH(LOWER(Z$1),v_data!$B$2:$L$2,0)))</f>
        <v/>
      </c>
      <c r="AA165" s="2" t="str">
        <f t="shared" si="218"/>
        <v/>
      </c>
      <c r="AB165" s="2" t="str">
        <f t="shared" si="219"/>
        <v/>
      </c>
      <c r="AC165" s="2">
        <f>(SUM(G165,I165,K165,M165,O165,Q165,S165,U165,W165,Y165,AA165)+IF(AND(G165&gt;0,I165&gt;0,K165&gt;0),100,0))*VLOOKUP(B165,variables!$A$2:$B$6,2,FALSE)</f>
        <v>80</v>
      </c>
      <c r="AD165" s="16" t="str">
        <f>IF($A165="","",INDEX(v_data!$B$2:$X$1000,MATCH($A165,v_data!$A$3:$A$1000,0)+1,MATCH(LOWER("hours"),v_data!$B$2:$X$2,0)))</f>
        <v/>
      </c>
    </row>
    <row r="166" spans="1:30" hidden="1" x14ac:dyDescent="0.25">
      <c r="A166" s="2" t="str">
        <f>IF(ISBLANK(v_data!A165),"",v_data!A165)</f>
        <v/>
      </c>
      <c r="B166" s="2" t="s">
        <v>22</v>
      </c>
      <c r="C166" s="2">
        <f>VLOOKUP(B166,variables!$A$2:$B$6,2,FALSE)</f>
        <v>0.8</v>
      </c>
      <c r="D166" s="4">
        <v>43826</v>
      </c>
      <c r="E166" s="4">
        <v>43431</v>
      </c>
      <c r="F166" s="2" t="str">
        <f>IF($A166="","",INDEX(v_data!$B$2:$L$1000,MATCH($A166,v_data!$A$3:$A$1000,0)+1,MATCH(LOWER(F$1),v_data!$B$2:$L$2,0)))</f>
        <v/>
      </c>
      <c r="G166" s="2" t="str">
        <f t="shared" si="208"/>
        <v/>
      </c>
      <c r="H166" s="2" t="str">
        <f>IF($A166="","",INDEX(v_data!$B$2:$L$1000,MATCH($A166,v_data!$A$3:$A$1000,0)+1,MATCH(LOWER(H$1),v_data!$B$2:$L$2,0)))</f>
        <v/>
      </c>
      <c r="I166" s="2" t="str">
        <f t="shared" si="209"/>
        <v/>
      </c>
      <c r="J166" s="2" t="str">
        <f>IF($A166="","",INDEX(v_data!$B$2:$L$1000,MATCH($A166,v_data!$A$3:$A$1000,0)+1,MATCH(LOWER(J$1),v_data!$B$2:$L$2,0)))</f>
        <v/>
      </c>
      <c r="K166" s="2" t="str">
        <f t="shared" si="210"/>
        <v/>
      </c>
      <c r="L166" s="2" t="str">
        <f>IF($A166="","",INDEX(v_data!$B$2:$L$1000,MATCH($A166,v_data!$A$3:$A$1000,0)+1,MATCH(LOWER(L$1),v_data!$B$2:$L$2,0)))</f>
        <v/>
      </c>
      <c r="M166" s="2" t="str">
        <f t="shared" si="211"/>
        <v/>
      </c>
      <c r="N166" s="2" t="str">
        <f>IF($A166="","",INDEX(v_data!$B$2:$L$1000,MATCH($A166,v_data!$A$3:$A$1000,0)+1,MATCH(LOWER(N$1),v_data!$B$2:$L$2,0)))</f>
        <v/>
      </c>
      <c r="O166" s="2" t="str">
        <f t="shared" si="212"/>
        <v/>
      </c>
      <c r="P166" s="2" t="str">
        <f>IF($A166="","",INDEX(v_data!$B$2:$L$1000,MATCH($A166,v_data!$A$3:$A$1000,0)+1,MATCH(LOWER(P$1),v_data!$B$2:$L$2,0)))</f>
        <v/>
      </c>
      <c r="Q166" s="2" t="str">
        <f t="shared" si="213"/>
        <v/>
      </c>
      <c r="R166" s="2" t="str">
        <f>IF($A166="","",INDEX(v_data!$B$2:$L$1000,MATCH($A166,v_data!$A$3:$A$1000,0)+1,MATCH(LOWER(R$1),v_data!$B$2:$L$2,0)))</f>
        <v/>
      </c>
      <c r="S166" s="2" t="str">
        <f t="shared" si="214"/>
        <v/>
      </c>
      <c r="T166" s="2" t="str">
        <f>IF($A166="","",INDEX(v_data!$B$2:$L$1000,MATCH($A166,v_data!$A$3:$A$1000,0)+1,MATCH(LOWER(T$1),v_data!$B$2:$L$2,0)))</f>
        <v/>
      </c>
      <c r="U166" s="2" t="str">
        <f t="shared" si="215"/>
        <v/>
      </c>
      <c r="V166" s="2" t="str">
        <f>IF($A166="","",INDEX(v_data!$B$2:$L$1000,MATCH($A166,v_data!$A$3:$A$1000,0)+1,MATCH(LOWER(V$1),v_data!$B$2:$L$2,0)))</f>
        <v/>
      </c>
      <c r="W166" s="2" t="str">
        <f t="shared" si="216"/>
        <v/>
      </c>
      <c r="X166" s="2" t="str">
        <f>IF($A166="","",INDEX(v_data!$B$2:$L$1000,MATCH($A166,v_data!$A$3:$A$1000,0)+1,MATCH(LOWER(X$1),v_data!$B$2:$L$2,0)))</f>
        <v/>
      </c>
      <c r="Y166" s="2" t="str">
        <f t="shared" si="217"/>
        <v/>
      </c>
      <c r="Z166" s="2" t="str">
        <f>IF($A166="","",INDEX(v_data!$B$2:$L$1000,MATCH($A166,v_data!$A$3:$A$1000,0)+1,MATCH(LOWER(Z$1),v_data!$B$2:$L$2,0)))</f>
        <v/>
      </c>
      <c r="AA166" s="2" t="str">
        <f t="shared" si="218"/>
        <v/>
      </c>
      <c r="AB166" s="2" t="str">
        <f t="shared" si="219"/>
        <v/>
      </c>
      <c r="AC166" s="2">
        <f>(SUM(G166,I166,K166,M166,O166,Q166,S166,U166,W166,Y166,AA166)+IF(AND(G166&gt;0,I166&gt;0,K166&gt;0),100,0))*VLOOKUP(B166,variables!$A$2:$B$6,2,FALSE)</f>
        <v>80</v>
      </c>
      <c r="AD166" s="16" t="str">
        <f>IF($A166="","",INDEX(v_data!$B$2:$X$1000,MATCH($A166,v_data!$A$3:$A$1000,0)+1,MATCH(LOWER("hours"),v_data!$B$2:$X$2,0)))</f>
        <v/>
      </c>
    </row>
    <row r="167" spans="1:30" hidden="1" x14ac:dyDescent="0.25">
      <c r="A167" s="2" t="str">
        <f>IF(ISBLANK(v_data!A166),"",v_data!A166)</f>
        <v/>
      </c>
      <c r="B167" s="2" t="s">
        <v>22</v>
      </c>
      <c r="C167" s="2">
        <f>VLOOKUP(B167,variables!$A$2:$B$6,2,FALSE)</f>
        <v>0.8</v>
      </c>
      <c r="D167" s="4">
        <v>43826</v>
      </c>
      <c r="E167" s="4">
        <v>43431</v>
      </c>
      <c r="F167" s="2" t="str">
        <f>IF($A167="","",INDEX(v_data!$B$2:$L$1000,MATCH($A167,v_data!$A$3:$A$1000,0)+1,MATCH(LOWER(F$1),v_data!$B$2:$L$2,0)))</f>
        <v/>
      </c>
      <c r="G167" s="2" t="str">
        <f t="shared" si="208"/>
        <v/>
      </c>
      <c r="H167" s="2" t="str">
        <f>IF($A167="","",INDEX(v_data!$B$2:$L$1000,MATCH($A167,v_data!$A$3:$A$1000,0)+1,MATCH(LOWER(H$1),v_data!$B$2:$L$2,0)))</f>
        <v/>
      </c>
      <c r="I167" s="2" t="str">
        <f t="shared" si="209"/>
        <v/>
      </c>
      <c r="J167" s="2" t="str">
        <f>IF($A167="","",INDEX(v_data!$B$2:$L$1000,MATCH($A167,v_data!$A$3:$A$1000,0)+1,MATCH(LOWER(J$1),v_data!$B$2:$L$2,0)))</f>
        <v/>
      </c>
      <c r="K167" s="2" t="str">
        <f t="shared" si="210"/>
        <v/>
      </c>
      <c r="L167" s="2" t="str">
        <f>IF($A167="","",INDEX(v_data!$B$2:$L$1000,MATCH($A167,v_data!$A$3:$A$1000,0)+1,MATCH(LOWER(L$1),v_data!$B$2:$L$2,0)))</f>
        <v/>
      </c>
      <c r="M167" s="2" t="str">
        <f t="shared" si="211"/>
        <v/>
      </c>
      <c r="N167" s="2" t="str">
        <f>IF($A167="","",INDEX(v_data!$B$2:$L$1000,MATCH($A167,v_data!$A$3:$A$1000,0)+1,MATCH(LOWER(N$1),v_data!$B$2:$L$2,0)))</f>
        <v/>
      </c>
      <c r="O167" s="2" t="str">
        <f t="shared" si="212"/>
        <v/>
      </c>
      <c r="P167" s="2" t="str">
        <f>IF($A167="","",INDEX(v_data!$B$2:$L$1000,MATCH($A167,v_data!$A$3:$A$1000,0)+1,MATCH(LOWER(P$1),v_data!$B$2:$L$2,0)))</f>
        <v/>
      </c>
      <c r="Q167" s="2" t="str">
        <f t="shared" si="213"/>
        <v/>
      </c>
      <c r="R167" s="2" t="str">
        <f>IF($A167="","",INDEX(v_data!$B$2:$L$1000,MATCH($A167,v_data!$A$3:$A$1000,0)+1,MATCH(LOWER(R$1),v_data!$B$2:$L$2,0)))</f>
        <v/>
      </c>
      <c r="S167" s="2" t="str">
        <f t="shared" si="214"/>
        <v/>
      </c>
      <c r="T167" s="2" t="str">
        <f>IF($A167="","",INDEX(v_data!$B$2:$L$1000,MATCH($A167,v_data!$A$3:$A$1000,0)+1,MATCH(LOWER(T$1),v_data!$B$2:$L$2,0)))</f>
        <v/>
      </c>
      <c r="U167" s="2" t="str">
        <f t="shared" si="215"/>
        <v/>
      </c>
      <c r="V167" s="2" t="str">
        <f>IF($A167="","",INDEX(v_data!$B$2:$L$1000,MATCH($A167,v_data!$A$3:$A$1000,0)+1,MATCH(LOWER(V$1),v_data!$B$2:$L$2,0)))</f>
        <v/>
      </c>
      <c r="W167" s="2" t="str">
        <f t="shared" si="216"/>
        <v/>
      </c>
      <c r="X167" s="2" t="str">
        <f>IF($A167="","",INDEX(v_data!$B$2:$L$1000,MATCH($A167,v_data!$A$3:$A$1000,0)+1,MATCH(LOWER(X$1),v_data!$B$2:$L$2,0)))</f>
        <v/>
      </c>
      <c r="Y167" s="2" t="str">
        <f t="shared" si="217"/>
        <v/>
      </c>
      <c r="Z167" s="2" t="str">
        <f>IF($A167="","",INDEX(v_data!$B$2:$L$1000,MATCH($A167,v_data!$A$3:$A$1000,0)+1,MATCH(LOWER(Z$1),v_data!$B$2:$L$2,0)))</f>
        <v/>
      </c>
      <c r="AA167" s="2" t="str">
        <f t="shared" si="218"/>
        <v/>
      </c>
      <c r="AB167" s="2" t="str">
        <f t="shared" si="219"/>
        <v/>
      </c>
      <c r="AC167" s="2">
        <f>(SUM(G167,I167,K167,M167,O167,Q167,S167,U167,W167,Y167,AA167)+IF(AND(G167&gt;0,I167&gt;0,K167&gt;0),100,0))*VLOOKUP(B167,variables!$A$2:$B$6,2,FALSE)</f>
        <v>80</v>
      </c>
      <c r="AD167" s="16" t="str">
        <f>IF($A167="","",INDEX(v_data!$B$2:$X$1000,MATCH($A167,v_data!$A$3:$A$1000,0)+1,MATCH(LOWER("hours"),v_data!$B$2:$X$2,0)))</f>
        <v/>
      </c>
    </row>
    <row r="168" spans="1:30" hidden="1" x14ac:dyDescent="0.25">
      <c r="A168" s="2" t="str">
        <f>IF(ISBLANK(v_data!A167),"",v_data!A167)</f>
        <v/>
      </c>
      <c r="B168" s="2" t="s">
        <v>22</v>
      </c>
      <c r="C168" s="2">
        <f>VLOOKUP(B168,variables!$A$2:$B$6,2,FALSE)</f>
        <v>0.8</v>
      </c>
      <c r="D168" s="4">
        <v>43826</v>
      </c>
      <c r="E168" s="4">
        <v>43431</v>
      </c>
      <c r="F168" s="2" t="str">
        <f>IF($A168="","",INDEX(v_data!$B$2:$L$1000,MATCH($A168,v_data!$A$3:$A$1000,0)+1,MATCH(LOWER(F$1),v_data!$B$2:$L$2,0)))</f>
        <v/>
      </c>
      <c r="G168" s="2" t="str">
        <f t="shared" si="208"/>
        <v/>
      </c>
      <c r="H168" s="2" t="str">
        <f>IF($A168="","",INDEX(v_data!$B$2:$L$1000,MATCH($A168,v_data!$A$3:$A$1000,0)+1,MATCH(LOWER(H$1),v_data!$B$2:$L$2,0)))</f>
        <v/>
      </c>
      <c r="I168" s="2" t="str">
        <f t="shared" si="209"/>
        <v/>
      </c>
      <c r="J168" s="2" t="str">
        <f>IF($A168="","",INDEX(v_data!$B$2:$L$1000,MATCH($A168,v_data!$A$3:$A$1000,0)+1,MATCH(LOWER(J$1),v_data!$B$2:$L$2,0)))</f>
        <v/>
      </c>
      <c r="K168" s="2" t="str">
        <f t="shared" si="210"/>
        <v/>
      </c>
      <c r="L168" s="2" t="str">
        <f>IF($A168="","",INDEX(v_data!$B$2:$L$1000,MATCH($A168,v_data!$A$3:$A$1000,0)+1,MATCH(LOWER(L$1),v_data!$B$2:$L$2,0)))</f>
        <v/>
      </c>
      <c r="M168" s="2" t="str">
        <f t="shared" si="211"/>
        <v/>
      </c>
      <c r="N168" s="2" t="str">
        <f>IF($A168="","",INDEX(v_data!$B$2:$L$1000,MATCH($A168,v_data!$A$3:$A$1000,0)+1,MATCH(LOWER(N$1),v_data!$B$2:$L$2,0)))</f>
        <v/>
      </c>
      <c r="O168" s="2" t="str">
        <f t="shared" si="212"/>
        <v/>
      </c>
      <c r="P168" s="2" t="str">
        <f>IF($A168="","",INDEX(v_data!$B$2:$L$1000,MATCH($A168,v_data!$A$3:$A$1000,0)+1,MATCH(LOWER(P$1),v_data!$B$2:$L$2,0)))</f>
        <v/>
      </c>
      <c r="Q168" s="2" t="str">
        <f t="shared" si="213"/>
        <v/>
      </c>
      <c r="R168" s="2" t="str">
        <f>IF($A168="","",INDEX(v_data!$B$2:$L$1000,MATCH($A168,v_data!$A$3:$A$1000,0)+1,MATCH(LOWER(R$1),v_data!$B$2:$L$2,0)))</f>
        <v/>
      </c>
      <c r="S168" s="2" t="str">
        <f t="shared" si="214"/>
        <v/>
      </c>
      <c r="T168" s="2" t="str">
        <f>IF($A168="","",INDEX(v_data!$B$2:$L$1000,MATCH($A168,v_data!$A$3:$A$1000,0)+1,MATCH(LOWER(T$1),v_data!$B$2:$L$2,0)))</f>
        <v/>
      </c>
      <c r="U168" s="2" t="str">
        <f t="shared" si="215"/>
        <v/>
      </c>
      <c r="V168" s="2" t="str">
        <f>IF($A168="","",INDEX(v_data!$B$2:$L$1000,MATCH($A168,v_data!$A$3:$A$1000,0)+1,MATCH(LOWER(V$1),v_data!$B$2:$L$2,0)))</f>
        <v/>
      </c>
      <c r="W168" s="2" t="str">
        <f t="shared" si="216"/>
        <v/>
      </c>
      <c r="X168" s="2" t="str">
        <f>IF($A168="","",INDEX(v_data!$B$2:$L$1000,MATCH($A168,v_data!$A$3:$A$1000,0)+1,MATCH(LOWER(X$1),v_data!$B$2:$L$2,0)))</f>
        <v/>
      </c>
      <c r="Y168" s="2" t="str">
        <f t="shared" si="217"/>
        <v/>
      </c>
      <c r="Z168" s="2" t="str">
        <f>IF($A168="","",INDEX(v_data!$B$2:$L$1000,MATCH($A168,v_data!$A$3:$A$1000,0)+1,MATCH(LOWER(Z$1),v_data!$B$2:$L$2,0)))</f>
        <v/>
      </c>
      <c r="AA168" s="2" t="str">
        <f t="shared" si="218"/>
        <v/>
      </c>
      <c r="AB168" s="2" t="str">
        <f t="shared" si="219"/>
        <v/>
      </c>
      <c r="AC168" s="2">
        <f>(SUM(G168,I168,K168,M168,O168,Q168,S168,U168,W168,Y168,AA168)+IF(AND(G168&gt;0,I168&gt;0,K168&gt;0),100,0))*VLOOKUP(B168,variables!$A$2:$B$6,2,FALSE)</f>
        <v>80</v>
      </c>
      <c r="AD168" s="16" t="str">
        <f>IF($A168="","",INDEX(v_data!$B$2:$X$1000,MATCH($A168,v_data!$A$3:$A$1000,0)+1,MATCH(LOWER("hours"),v_data!$B$2:$X$2,0)))</f>
        <v/>
      </c>
    </row>
    <row r="169" spans="1:30" hidden="1" x14ac:dyDescent="0.25">
      <c r="A169" s="2" t="str">
        <f>IF(ISBLANK(v_data!A168),"",v_data!A168)</f>
        <v/>
      </c>
      <c r="B169" s="2" t="s">
        <v>22</v>
      </c>
      <c r="C169" s="2">
        <f>VLOOKUP(B169,variables!$A$2:$B$6,2,FALSE)</f>
        <v>0.8</v>
      </c>
      <c r="D169" s="4">
        <v>43826</v>
      </c>
      <c r="E169" s="4">
        <v>43431</v>
      </c>
      <c r="F169" s="2" t="str">
        <f>IF($A169="","",INDEX(v_data!$B$2:$L$1000,MATCH($A169,v_data!$A$3:$A$1000,0)+1,MATCH(LOWER(F$1),v_data!$B$2:$L$2,0)))</f>
        <v/>
      </c>
      <c r="G169" s="2" t="str">
        <f t="shared" si="208"/>
        <v/>
      </c>
      <c r="H169" s="2" t="str">
        <f>IF($A169="","",INDEX(v_data!$B$2:$L$1000,MATCH($A169,v_data!$A$3:$A$1000,0)+1,MATCH(LOWER(H$1),v_data!$B$2:$L$2,0)))</f>
        <v/>
      </c>
      <c r="I169" s="2" t="str">
        <f t="shared" si="209"/>
        <v/>
      </c>
      <c r="J169" s="2" t="str">
        <f>IF($A169="","",INDEX(v_data!$B$2:$L$1000,MATCH($A169,v_data!$A$3:$A$1000,0)+1,MATCH(LOWER(J$1),v_data!$B$2:$L$2,0)))</f>
        <v/>
      </c>
      <c r="K169" s="2" t="str">
        <f t="shared" si="210"/>
        <v/>
      </c>
      <c r="L169" s="2" t="str">
        <f>IF($A169="","",INDEX(v_data!$B$2:$L$1000,MATCH($A169,v_data!$A$3:$A$1000,0)+1,MATCH(LOWER(L$1),v_data!$B$2:$L$2,0)))</f>
        <v/>
      </c>
      <c r="M169" s="2" t="str">
        <f t="shared" si="211"/>
        <v/>
      </c>
      <c r="N169" s="2" t="str">
        <f>IF($A169="","",INDEX(v_data!$B$2:$L$1000,MATCH($A169,v_data!$A$3:$A$1000,0)+1,MATCH(LOWER(N$1),v_data!$B$2:$L$2,0)))</f>
        <v/>
      </c>
      <c r="O169" s="2" t="str">
        <f t="shared" si="212"/>
        <v/>
      </c>
      <c r="P169" s="2" t="str">
        <f>IF($A169="","",INDEX(v_data!$B$2:$L$1000,MATCH($A169,v_data!$A$3:$A$1000,0)+1,MATCH(LOWER(P$1),v_data!$B$2:$L$2,0)))</f>
        <v/>
      </c>
      <c r="Q169" s="2" t="str">
        <f t="shared" si="213"/>
        <v/>
      </c>
      <c r="R169" s="2" t="str">
        <f>IF($A169="","",INDEX(v_data!$B$2:$L$1000,MATCH($A169,v_data!$A$3:$A$1000,0)+1,MATCH(LOWER(R$1),v_data!$B$2:$L$2,0)))</f>
        <v/>
      </c>
      <c r="S169" s="2" t="str">
        <f t="shared" si="214"/>
        <v/>
      </c>
      <c r="T169" s="2" t="str">
        <f>IF($A169="","",INDEX(v_data!$B$2:$L$1000,MATCH($A169,v_data!$A$3:$A$1000,0)+1,MATCH(LOWER(T$1),v_data!$B$2:$L$2,0)))</f>
        <v/>
      </c>
      <c r="U169" s="2" t="str">
        <f t="shared" si="215"/>
        <v/>
      </c>
      <c r="V169" s="2" t="str">
        <f>IF($A169="","",INDEX(v_data!$B$2:$L$1000,MATCH($A169,v_data!$A$3:$A$1000,0)+1,MATCH(LOWER(V$1),v_data!$B$2:$L$2,0)))</f>
        <v/>
      </c>
      <c r="W169" s="2" t="str">
        <f t="shared" si="216"/>
        <v/>
      </c>
      <c r="X169" s="2" t="str">
        <f>IF($A169="","",INDEX(v_data!$B$2:$L$1000,MATCH($A169,v_data!$A$3:$A$1000,0)+1,MATCH(LOWER(X$1),v_data!$B$2:$L$2,0)))</f>
        <v/>
      </c>
      <c r="Y169" s="2" t="str">
        <f t="shared" si="217"/>
        <v/>
      </c>
      <c r="Z169" s="2" t="str">
        <f>IF($A169="","",INDEX(v_data!$B$2:$L$1000,MATCH($A169,v_data!$A$3:$A$1000,0)+1,MATCH(LOWER(Z$1),v_data!$B$2:$L$2,0)))</f>
        <v/>
      </c>
      <c r="AA169" s="2" t="str">
        <f t="shared" si="218"/>
        <v/>
      </c>
      <c r="AB169" s="2" t="str">
        <f t="shared" si="219"/>
        <v/>
      </c>
      <c r="AC169" s="2">
        <f>(SUM(G169,I169,K169,M169,O169,Q169,S169,U169,W169,Y169,AA169)+IF(AND(G169&gt;0,I169&gt;0,K169&gt;0),100,0))*VLOOKUP(B169,variables!$A$2:$B$6,2,FALSE)</f>
        <v>80</v>
      </c>
      <c r="AD169" s="16" t="str">
        <f>IF($A169="","",INDEX(v_data!$B$2:$X$1000,MATCH($A169,v_data!$A$3:$A$1000,0)+1,MATCH(LOWER("hours"),v_data!$B$2:$X$2,0)))</f>
        <v/>
      </c>
    </row>
    <row r="170" spans="1:30" hidden="1" x14ac:dyDescent="0.25">
      <c r="A170" s="2" t="str">
        <f>IF(ISBLANK(v_data!A169),"",v_data!A169)</f>
        <v/>
      </c>
      <c r="B170" s="2" t="s">
        <v>22</v>
      </c>
      <c r="C170" s="2">
        <f>VLOOKUP(B170,variables!$A$2:$B$6,2,FALSE)</f>
        <v>0.8</v>
      </c>
      <c r="D170" s="4">
        <v>43826</v>
      </c>
      <c r="E170" s="4">
        <v>43431</v>
      </c>
      <c r="F170" s="2" t="str">
        <f>IF($A170="","",INDEX(v_data!$B$2:$L$1000,MATCH($A170,v_data!$A$3:$A$1000,0)+1,MATCH(LOWER(F$1),v_data!$B$2:$L$2,0)))</f>
        <v/>
      </c>
      <c r="G170" s="2" t="str">
        <f t="shared" si="208"/>
        <v/>
      </c>
      <c r="H170" s="2" t="str">
        <f>IF($A170="","",INDEX(v_data!$B$2:$L$1000,MATCH($A170,v_data!$A$3:$A$1000,0)+1,MATCH(LOWER(H$1),v_data!$B$2:$L$2,0)))</f>
        <v/>
      </c>
      <c r="I170" s="2" t="str">
        <f t="shared" si="209"/>
        <v/>
      </c>
      <c r="J170" s="2" t="str">
        <f>IF($A170="","",INDEX(v_data!$B$2:$L$1000,MATCH($A170,v_data!$A$3:$A$1000,0)+1,MATCH(LOWER(J$1),v_data!$B$2:$L$2,0)))</f>
        <v/>
      </c>
      <c r="K170" s="2" t="str">
        <f t="shared" si="210"/>
        <v/>
      </c>
      <c r="L170" s="2" t="str">
        <f>IF($A170="","",INDEX(v_data!$B$2:$L$1000,MATCH($A170,v_data!$A$3:$A$1000,0)+1,MATCH(LOWER(L$1),v_data!$B$2:$L$2,0)))</f>
        <v/>
      </c>
      <c r="M170" s="2" t="str">
        <f t="shared" si="211"/>
        <v/>
      </c>
      <c r="N170" s="2" t="str">
        <f>IF($A170="","",INDEX(v_data!$B$2:$L$1000,MATCH($A170,v_data!$A$3:$A$1000,0)+1,MATCH(LOWER(N$1),v_data!$B$2:$L$2,0)))</f>
        <v/>
      </c>
      <c r="O170" s="2" t="str">
        <f t="shared" si="212"/>
        <v/>
      </c>
      <c r="P170" s="2" t="str">
        <f>IF($A170="","",INDEX(v_data!$B$2:$L$1000,MATCH($A170,v_data!$A$3:$A$1000,0)+1,MATCH(LOWER(P$1),v_data!$B$2:$L$2,0)))</f>
        <v/>
      </c>
      <c r="Q170" s="2" t="str">
        <f t="shared" si="213"/>
        <v/>
      </c>
      <c r="R170" s="2" t="str">
        <f>IF($A170="","",INDEX(v_data!$B$2:$L$1000,MATCH($A170,v_data!$A$3:$A$1000,0)+1,MATCH(LOWER(R$1),v_data!$B$2:$L$2,0)))</f>
        <v/>
      </c>
      <c r="S170" s="2" t="str">
        <f t="shared" si="214"/>
        <v/>
      </c>
      <c r="T170" s="2" t="str">
        <f>IF($A170="","",INDEX(v_data!$B$2:$L$1000,MATCH($A170,v_data!$A$3:$A$1000,0)+1,MATCH(LOWER(T$1),v_data!$B$2:$L$2,0)))</f>
        <v/>
      </c>
      <c r="U170" s="2" t="str">
        <f t="shared" si="215"/>
        <v/>
      </c>
      <c r="V170" s="2" t="str">
        <f>IF($A170="","",INDEX(v_data!$B$2:$L$1000,MATCH($A170,v_data!$A$3:$A$1000,0)+1,MATCH(LOWER(V$1),v_data!$B$2:$L$2,0)))</f>
        <v/>
      </c>
      <c r="W170" s="2" t="str">
        <f t="shared" si="216"/>
        <v/>
      </c>
      <c r="X170" s="2" t="str">
        <f>IF($A170="","",INDEX(v_data!$B$2:$L$1000,MATCH($A170,v_data!$A$3:$A$1000,0)+1,MATCH(LOWER(X$1),v_data!$B$2:$L$2,0)))</f>
        <v/>
      </c>
      <c r="Y170" s="2" t="str">
        <f t="shared" si="217"/>
        <v/>
      </c>
      <c r="Z170" s="2" t="str">
        <f>IF($A170="","",INDEX(v_data!$B$2:$L$1000,MATCH($A170,v_data!$A$3:$A$1000,0)+1,MATCH(LOWER(Z$1),v_data!$B$2:$L$2,0)))</f>
        <v/>
      </c>
      <c r="AA170" s="2" t="str">
        <f t="shared" si="218"/>
        <v/>
      </c>
      <c r="AB170" s="2" t="str">
        <f t="shared" si="219"/>
        <v/>
      </c>
      <c r="AC170" s="2">
        <f>(SUM(G170,I170,K170,M170,O170,Q170,S170,U170,W170,Y170,AA170)+IF(AND(G170&gt;0,I170&gt;0,K170&gt;0),100,0))*VLOOKUP(B170,variables!$A$2:$B$6,2,FALSE)</f>
        <v>80</v>
      </c>
      <c r="AD170" s="16" t="str">
        <f>IF($A170="","",INDEX(v_data!$B$2:$X$1000,MATCH($A170,v_data!$A$3:$A$1000,0)+1,MATCH(LOWER("hours"),v_data!$B$2:$X$2,0)))</f>
        <v/>
      </c>
    </row>
    <row r="171" spans="1:30" hidden="1" x14ac:dyDescent="0.25">
      <c r="A171" s="2" t="str">
        <f>IF(ISBLANK(v_data!A170),"",v_data!A170)</f>
        <v/>
      </c>
      <c r="B171" s="2" t="s">
        <v>22</v>
      </c>
      <c r="C171" s="2">
        <f>VLOOKUP(B171,variables!$A$2:$B$6,2,FALSE)</f>
        <v>0.8</v>
      </c>
      <c r="D171" s="4">
        <v>43826</v>
      </c>
      <c r="E171" s="4">
        <v>43431</v>
      </c>
      <c r="F171" s="2" t="str">
        <f>IF($A171="","",INDEX(v_data!$B$2:$L$1000,MATCH($A171,v_data!$A$3:$A$1000,0)+1,MATCH(LOWER(F$1),v_data!$B$2:$L$2,0)))</f>
        <v/>
      </c>
      <c r="G171" s="2" t="str">
        <f t="shared" si="208"/>
        <v/>
      </c>
      <c r="H171" s="2" t="str">
        <f>IF($A171="","",INDEX(v_data!$B$2:$L$1000,MATCH($A171,v_data!$A$3:$A$1000,0)+1,MATCH(LOWER(H$1),v_data!$B$2:$L$2,0)))</f>
        <v/>
      </c>
      <c r="I171" s="2" t="str">
        <f t="shared" si="209"/>
        <v/>
      </c>
      <c r="J171" s="2" t="str">
        <f>IF($A171="","",INDEX(v_data!$B$2:$L$1000,MATCH($A171,v_data!$A$3:$A$1000,0)+1,MATCH(LOWER(J$1),v_data!$B$2:$L$2,0)))</f>
        <v/>
      </c>
      <c r="K171" s="2" t="str">
        <f t="shared" si="210"/>
        <v/>
      </c>
      <c r="L171" s="2" t="str">
        <f>IF($A171="","",INDEX(v_data!$B$2:$L$1000,MATCH($A171,v_data!$A$3:$A$1000,0)+1,MATCH(LOWER(L$1),v_data!$B$2:$L$2,0)))</f>
        <v/>
      </c>
      <c r="M171" s="2" t="str">
        <f t="shared" si="211"/>
        <v/>
      </c>
      <c r="N171" s="2" t="str">
        <f>IF($A171="","",INDEX(v_data!$B$2:$L$1000,MATCH($A171,v_data!$A$3:$A$1000,0)+1,MATCH(LOWER(N$1),v_data!$B$2:$L$2,0)))</f>
        <v/>
      </c>
      <c r="O171" s="2" t="str">
        <f t="shared" si="212"/>
        <v/>
      </c>
      <c r="P171" s="2" t="str">
        <f>IF($A171="","",INDEX(v_data!$B$2:$L$1000,MATCH($A171,v_data!$A$3:$A$1000,0)+1,MATCH(LOWER(P$1),v_data!$B$2:$L$2,0)))</f>
        <v/>
      </c>
      <c r="Q171" s="2" t="str">
        <f t="shared" si="213"/>
        <v/>
      </c>
      <c r="R171" s="2" t="str">
        <f>IF($A171="","",INDEX(v_data!$B$2:$L$1000,MATCH($A171,v_data!$A$3:$A$1000,0)+1,MATCH(LOWER(R$1),v_data!$B$2:$L$2,0)))</f>
        <v/>
      </c>
      <c r="S171" s="2" t="str">
        <f t="shared" si="214"/>
        <v/>
      </c>
      <c r="T171" s="2" t="str">
        <f>IF($A171="","",INDEX(v_data!$B$2:$L$1000,MATCH($A171,v_data!$A$3:$A$1000,0)+1,MATCH(LOWER(T$1),v_data!$B$2:$L$2,0)))</f>
        <v/>
      </c>
      <c r="U171" s="2" t="str">
        <f t="shared" si="215"/>
        <v/>
      </c>
      <c r="V171" s="2" t="str">
        <f>IF($A171="","",INDEX(v_data!$B$2:$L$1000,MATCH($A171,v_data!$A$3:$A$1000,0)+1,MATCH(LOWER(V$1),v_data!$B$2:$L$2,0)))</f>
        <v/>
      </c>
      <c r="W171" s="2" t="str">
        <f t="shared" si="216"/>
        <v/>
      </c>
      <c r="X171" s="2" t="str">
        <f>IF($A171="","",INDEX(v_data!$B$2:$L$1000,MATCH($A171,v_data!$A$3:$A$1000,0)+1,MATCH(LOWER(X$1),v_data!$B$2:$L$2,0)))</f>
        <v/>
      </c>
      <c r="Y171" s="2" t="str">
        <f t="shared" si="217"/>
        <v/>
      </c>
      <c r="Z171" s="2" t="str">
        <f>IF($A171="","",INDEX(v_data!$B$2:$L$1000,MATCH($A171,v_data!$A$3:$A$1000,0)+1,MATCH(LOWER(Z$1),v_data!$B$2:$L$2,0)))</f>
        <v/>
      </c>
      <c r="AA171" s="2" t="str">
        <f t="shared" si="218"/>
        <v/>
      </c>
      <c r="AB171" s="2" t="str">
        <f t="shared" si="219"/>
        <v/>
      </c>
      <c r="AC171" s="2">
        <f>(SUM(G171,I171,K171,M171,O171,Q171,S171,U171,W171,Y171,AA171)+IF(AND(G171&gt;0,I171&gt;0,K171&gt;0),100,0))*VLOOKUP(B171,variables!$A$2:$B$6,2,FALSE)</f>
        <v>80</v>
      </c>
      <c r="AD171" s="16" t="str">
        <f>IF($A171="","",INDEX(v_data!$B$2:$X$1000,MATCH($A171,v_data!$A$3:$A$1000,0)+1,MATCH(LOWER("hours"),v_data!$B$2:$X$2,0)))</f>
        <v/>
      </c>
    </row>
    <row r="172" spans="1:30" hidden="1" x14ac:dyDescent="0.25">
      <c r="A172" s="2" t="str">
        <f>IF(ISBLANK(v_data!A171),"",v_data!A171)</f>
        <v/>
      </c>
      <c r="B172" s="2" t="s">
        <v>22</v>
      </c>
      <c r="C172" s="2">
        <f>VLOOKUP(B172,variables!$A$2:$B$6,2,FALSE)</f>
        <v>0.8</v>
      </c>
      <c r="D172" s="4">
        <v>43826</v>
      </c>
      <c r="E172" s="4">
        <v>43431</v>
      </c>
      <c r="F172" s="2" t="str">
        <f>IF($A172="","",INDEX(v_data!$B$2:$L$1000,MATCH($A172,v_data!$A$3:$A$1000,0)+1,MATCH(LOWER(F$1),v_data!$B$2:$L$2,0)))</f>
        <v/>
      </c>
      <c r="G172" s="2" t="str">
        <f t="shared" si="208"/>
        <v/>
      </c>
      <c r="H172" s="2" t="str">
        <f>IF($A172="","",INDEX(v_data!$B$2:$L$1000,MATCH($A172,v_data!$A$3:$A$1000,0)+1,MATCH(LOWER(H$1),v_data!$B$2:$L$2,0)))</f>
        <v/>
      </c>
      <c r="I172" s="2" t="str">
        <f t="shared" si="209"/>
        <v/>
      </c>
      <c r="J172" s="2" t="str">
        <f>IF($A172="","",INDEX(v_data!$B$2:$L$1000,MATCH($A172,v_data!$A$3:$A$1000,0)+1,MATCH(LOWER(J$1),v_data!$B$2:$L$2,0)))</f>
        <v/>
      </c>
      <c r="K172" s="2" t="str">
        <f t="shared" si="210"/>
        <v/>
      </c>
      <c r="L172" s="2" t="str">
        <f>IF($A172="","",INDEX(v_data!$B$2:$L$1000,MATCH($A172,v_data!$A$3:$A$1000,0)+1,MATCH(LOWER(L$1),v_data!$B$2:$L$2,0)))</f>
        <v/>
      </c>
      <c r="M172" s="2" t="str">
        <f t="shared" si="211"/>
        <v/>
      </c>
      <c r="N172" s="2" t="str">
        <f>IF($A172="","",INDEX(v_data!$B$2:$L$1000,MATCH($A172,v_data!$A$3:$A$1000,0)+1,MATCH(LOWER(N$1),v_data!$B$2:$L$2,0)))</f>
        <v/>
      </c>
      <c r="O172" s="2" t="str">
        <f t="shared" si="212"/>
        <v/>
      </c>
      <c r="P172" s="2" t="str">
        <f>IF($A172="","",INDEX(v_data!$B$2:$L$1000,MATCH($A172,v_data!$A$3:$A$1000,0)+1,MATCH(LOWER(P$1),v_data!$B$2:$L$2,0)))</f>
        <v/>
      </c>
      <c r="Q172" s="2" t="str">
        <f t="shared" si="213"/>
        <v/>
      </c>
      <c r="R172" s="2" t="str">
        <f>IF($A172="","",INDEX(v_data!$B$2:$L$1000,MATCH($A172,v_data!$A$3:$A$1000,0)+1,MATCH(LOWER(R$1),v_data!$B$2:$L$2,0)))</f>
        <v/>
      </c>
      <c r="S172" s="2" t="str">
        <f t="shared" si="214"/>
        <v/>
      </c>
      <c r="T172" s="2" t="str">
        <f>IF($A172="","",INDEX(v_data!$B$2:$L$1000,MATCH($A172,v_data!$A$3:$A$1000,0)+1,MATCH(LOWER(T$1),v_data!$B$2:$L$2,0)))</f>
        <v/>
      </c>
      <c r="U172" s="2" t="str">
        <f t="shared" si="215"/>
        <v/>
      </c>
      <c r="V172" s="2" t="str">
        <f>IF($A172="","",INDEX(v_data!$B$2:$L$1000,MATCH($A172,v_data!$A$3:$A$1000,0)+1,MATCH(LOWER(V$1),v_data!$B$2:$L$2,0)))</f>
        <v/>
      </c>
      <c r="W172" s="2" t="str">
        <f t="shared" si="216"/>
        <v/>
      </c>
      <c r="X172" s="2" t="str">
        <f>IF($A172="","",INDEX(v_data!$B$2:$L$1000,MATCH($A172,v_data!$A$3:$A$1000,0)+1,MATCH(LOWER(X$1),v_data!$B$2:$L$2,0)))</f>
        <v/>
      </c>
      <c r="Y172" s="2" t="str">
        <f t="shared" si="217"/>
        <v/>
      </c>
      <c r="Z172" s="2" t="str">
        <f>IF($A172="","",INDEX(v_data!$B$2:$L$1000,MATCH($A172,v_data!$A$3:$A$1000,0)+1,MATCH(LOWER(Z$1),v_data!$B$2:$L$2,0)))</f>
        <v/>
      </c>
      <c r="AA172" s="2" t="str">
        <f t="shared" si="218"/>
        <v/>
      </c>
      <c r="AB172" s="2" t="str">
        <f t="shared" si="219"/>
        <v/>
      </c>
      <c r="AC172" s="2">
        <f>(SUM(G172,I172,K172,M172,O172,Q172,S172,U172,W172,Y172,AA172)+IF(AND(G172&gt;0,I172&gt;0,K172&gt;0),100,0))*VLOOKUP(B172,variables!$A$2:$B$6,2,FALSE)</f>
        <v>80</v>
      </c>
      <c r="AD172" s="16" t="str">
        <f>IF($A172="","",INDEX(v_data!$B$2:$X$1000,MATCH($A172,v_data!$A$3:$A$1000,0)+1,MATCH(LOWER("hours"),v_data!$B$2:$X$2,0)))</f>
        <v/>
      </c>
    </row>
    <row r="173" spans="1:30" hidden="1" x14ac:dyDescent="0.25">
      <c r="A173" s="2" t="str">
        <f>IF(ISBLANK(v_data!A172),"",v_data!A172)</f>
        <v/>
      </c>
      <c r="B173" s="2" t="s">
        <v>22</v>
      </c>
      <c r="C173" s="2">
        <f>VLOOKUP(B173,variables!$A$2:$B$6,2,FALSE)</f>
        <v>0.8</v>
      </c>
      <c r="D173" s="4">
        <v>43826</v>
      </c>
      <c r="E173" s="4">
        <v>43431</v>
      </c>
      <c r="F173" s="2" t="str">
        <f>IF($A173="","",INDEX(v_data!$B$2:$L$1000,MATCH($A173,v_data!$A$3:$A$1000,0)+1,MATCH(LOWER(F$1),v_data!$B$2:$L$2,0)))</f>
        <v/>
      </c>
      <c r="G173" s="2" t="str">
        <f t="shared" si="208"/>
        <v/>
      </c>
      <c r="H173" s="2" t="str">
        <f>IF($A173="","",INDEX(v_data!$B$2:$L$1000,MATCH($A173,v_data!$A$3:$A$1000,0)+1,MATCH(LOWER(H$1),v_data!$B$2:$L$2,0)))</f>
        <v/>
      </c>
      <c r="I173" s="2" t="str">
        <f t="shared" si="209"/>
        <v/>
      </c>
      <c r="J173" s="2" t="str">
        <f>IF($A173="","",INDEX(v_data!$B$2:$L$1000,MATCH($A173,v_data!$A$3:$A$1000,0)+1,MATCH(LOWER(J$1),v_data!$B$2:$L$2,0)))</f>
        <v/>
      </c>
      <c r="K173" s="2" t="str">
        <f t="shared" si="210"/>
        <v/>
      </c>
      <c r="L173" s="2" t="str">
        <f>IF($A173="","",INDEX(v_data!$B$2:$L$1000,MATCH($A173,v_data!$A$3:$A$1000,0)+1,MATCH(LOWER(L$1),v_data!$B$2:$L$2,0)))</f>
        <v/>
      </c>
      <c r="M173" s="2" t="str">
        <f t="shared" si="211"/>
        <v/>
      </c>
      <c r="N173" s="2" t="str">
        <f>IF($A173="","",INDEX(v_data!$B$2:$L$1000,MATCH($A173,v_data!$A$3:$A$1000,0)+1,MATCH(LOWER(N$1),v_data!$B$2:$L$2,0)))</f>
        <v/>
      </c>
      <c r="O173" s="2" t="str">
        <f t="shared" si="212"/>
        <v/>
      </c>
      <c r="P173" s="2" t="str">
        <f>IF($A173="","",INDEX(v_data!$B$2:$L$1000,MATCH($A173,v_data!$A$3:$A$1000,0)+1,MATCH(LOWER(P$1),v_data!$B$2:$L$2,0)))</f>
        <v/>
      </c>
      <c r="Q173" s="2" t="str">
        <f t="shared" si="213"/>
        <v/>
      </c>
      <c r="R173" s="2" t="str">
        <f>IF($A173="","",INDEX(v_data!$B$2:$L$1000,MATCH($A173,v_data!$A$3:$A$1000,0)+1,MATCH(LOWER(R$1),v_data!$B$2:$L$2,0)))</f>
        <v/>
      </c>
      <c r="S173" s="2" t="str">
        <f t="shared" si="214"/>
        <v/>
      </c>
      <c r="T173" s="2" t="str">
        <f>IF($A173="","",INDEX(v_data!$B$2:$L$1000,MATCH($A173,v_data!$A$3:$A$1000,0)+1,MATCH(LOWER(T$1),v_data!$B$2:$L$2,0)))</f>
        <v/>
      </c>
      <c r="U173" s="2" t="str">
        <f t="shared" si="215"/>
        <v/>
      </c>
      <c r="V173" s="2" t="str">
        <f>IF($A173="","",INDEX(v_data!$B$2:$L$1000,MATCH($A173,v_data!$A$3:$A$1000,0)+1,MATCH(LOWER(V$1),v_data!$B$2:$L$2,0)))</f>
        <v/>
      </c>
      <c r="W173" s="2" t="str">
        <f t="shared" si="216"/>
        <v/>
      </c>
      <c r="X173" s="2" t="str">
        <f>IF($A173="","",INDEX(v_data!$B$2:$L$1000,MATCH($A173,v_data!$A$3:$A$1000,0)+1,MATCH(LOWER(X$1),v_data!$B$2:$L$2,0)))</f>
        <v/>
      </c>
      <c r="Y173" s="2" t="str">
        <f t="shared" si="217"/>
        <v/>
      </c>
      <c r="Z173" s="2" t="str">
        <f>IF($A173="","",INDEX(v_data!$B$2:$L$1000,MATCH($A173,v_data!$A$3:$A$1000,0)+1,MATCH(LOWER(Z$1),v_data!$B$2:$L$2,0)))</f>
        <v/>
      </c>
      <c r="AA173" s="2" t="str">
        <f t="shared" si="218"/>
        <v/>
      </c>
      <c r="AB173" s="2" t="str">
        <f t="shared" si="219"/>
        <v/>
      </c>
      <c r="AC173" s="2">
        <f>(SUM(G173,I173,K173,M173,O173,Q173,S173,U173,W173,Y173,AA173)+IF(AND(G173&gt;0,I173&gt;0,K173&gt;0),100,0))*VLOOKUP(B173,variables!$A$2:$B$6,2,FALSE)</f>
        <v>80</v>
      </c>
      <c r="AD173" s="16" t="str">
        <f>IF($A173="","",INDEX(v_data!$B$2:$X$1000,MATCH($A173,v_data!$A$3:$A$1000,0)+1,MATCH(LOWER("hours"),v_data!$B$2:$X$2,0)))</f>
        <v/>
      </c>
    </row>
    <row r="174" spans="1:30" hidden="1" x14ac:dyDescent="0.25">
      <c r="A174" s="2" t="str">
        <f>IF(ISBLANK(v_data!A173),"",v_data!A173)</f>
        <v/>
      </c>
      <c r="B174" s="2" t="s">
        <v>22</v>
      </c>
      <c r="C174" s="2">
        <f>VLOOKUP(B174,variables!$A$2:$B$6,2,FALSE)</f>
        <v>0.8</v>
      </c>
      <c r="D174" s="4">
        <v>43826</v>
      </c>
      <c r="E174" s="4">
        <v>43431</v>
      </c>
      <c r="F174" s="2" t="str">
        <f>IF($A174="","",INDEX(v_data!$B$2:$L$1000,MATCH($A174,v_data!$A$3:$A$1000,0)+1,MATCH(LOWER(F$1),v_data!$B$2:$L$2,0)))</f>
        <v/>
      </c>
      <c r="G174" s="2" t="str">
        <f t="shared" si="208"/>
        <v/>
      </c>
      <c r="H174" s="2" t="str">
        <f>IF($A174="","",INDEX(v_data!$B$2:$L$1000,MATCH($A174,v_data!$A$3:$A$1000,0)+1,MATCH(LOWER(H$1),v_data!$B$2:$L$2,0)))</f>
        <v/>
      </c>
      <c r="I174" s="2" t="str">
        <f t="shared" si="209"/>
        <v/>
      </c>
      <c r="J174" s="2" t="str">
        <f>IF($A174="","",INDEX(v_data!$B$2:$L$1000,MATCH($A174,v_data!$A$3:$A$1000,0)+1,MATCH(LOWER(J$1),v_data!$B$2:$L$2,0)))</f>
        <v/>
      </c>
      <c r="K174" s="2" t="str">
        <f t="shared" si="210"/>
        <v/>
      </c>
      <c r="L174" s="2" t="str">
        <f>IF($A174="","",INDEX(v_data!$B$2:$L$1000,MATCH($A174,v_data!$A$3:$A$1000,0)+1,MATCH(LOWER(L$1),v_data!$B$2:$L$2,0)))</f>
        <v/>
      </c>
      <c r="M174" s="2" t="str">
        <f t="shared" si="211"/>
        <v/>
      </c>
      <c r="N174" s="2" t="str">
        <f>IF($A174="","",INDEX(v_data!$B$2:$L$1000,MATCH($A174,v_data!$A$3:$A$1000,0)+1,MATCH(LOWER(N$1),v_data!$B$2:$L$2,0)))</f>
        <v/>
      </c>
      <c r="O174" s="2" t="str">
        <f t="shared" si="212"/>
        <v/>
      </c>
      <c r="P174" s="2" t="str">
        <f>IF($A174="","",INDEX(v_data!$B$2:$L$1000,MATCH($A174,v_data!$A$3:$A$1000,0)+1,MATCH(LOWER(P$1),v_data!$B$2:$L$2,0)))</f>
        <v/>
      </c>
      <c r="Q174" s="2" t="str">
        <f t="shared" si="213"/>
        <v/>
      </c>
      <c r="R174" s="2" t="str">
        <f>IF($A174="","",INDEX(v_data!$B$2:$L$1000,MATCH($A174,v_data!$A$3:$A$1000,0)+1,MATCH(LOWER(R$1),v_data!$B$2:$L$2,0)))</f>
        <v/>
      </c>
      <c r="S174" s="2" t="str">
        <f t="shared" si="214"/>
        <v/>
      </c>
      <c r="T174" s="2" t="str">
        <f>IF($A174="","",INDEX(v_data!$B$2:$L$1000,MATCH($A174,v_data!$A$3:$A$1000,0)+1,MATCH(LOWER(T$1),v_data!$B$2:$L$2,0)))</f>
        <v/>
      </c>
      <c r="U174" s="2" t="str">
        <f t="shared" si="215"/>
        <v/>
      </c>
      <c r="V174" s="2" t="str">
        <f>IF($A174="","",INDEX(v_data!$B$2:$L$1000,MATCH($A174,v_data!$A$3:$A$1000,0)+1,MATCH(LOWER(V$1),v_data!$B$2:$L$2,0)))</f>
        <v/>
      </c>
      <c r="W174" s="2" t="str">
        <f t="shared" si="216"/>
        <v/>
      </c>
      <c r="X174" s="2" t="str">
        <f>IF($A174="","",INDEX(v_data!$B$2:$L$1000,MATCH($A174,v_data!$A$3:$A$1000,0)+1,MATCH(LOWER(X$1),v_data!$B$2:$L$2,0)))</f>
        <v/>
      </c>
      <c r="Y174" s="2" t="str">
        <f t="shared" si="217"/>
        <v/>
      </c>
      <c r="Z174" s="2" t="str">
        <f>IF($A174="","",INDEX(v_data!$B$2:$L$1000,MATCH($A174,v_data!$A$3:$A$1000,0)+1,MATCH(LOWER(Z$1),v_data!$B$2:$L$2,0)))</f>
        <v/>
      </c>
      <c r="AA174" s="2" t="str">
        <f t="shared" si="218"/>
        <v/>
      </c>
      <c r="AB174" s="2" t="str">
        <f t="shared" si="219"/>
        <v/>
      </c>
      <c r="AC174" s="2">
        <f>(SUM(G174,I174,K174,M174,O174,Q174,S174,U174,W174,Y174,AA174)+IF(AND(G174&gt;0,I174&gt;0,K174&gt;0),100,0))*VLOOKUP(B174,variables!$A$2:$B$6,2,FALSE)</f>
        <v>80</v>
      </c>
      <c r="AD174" s="16" t="str">
        <f>IF($A174="","",INDEX(v_data!$B$2:$X$1000,MATCH($A174,v_data!$A$3:$A$1000,0)+1,MATCH(LOWER("hours"),v_data!$B$2:$X$2,0)))</f>
        <v/>
      </c>
    </row>
    <row r="175" spans="1:30" hidden="1" x14ac:dyDescent="0.25">
      <c r="A175" s="2" t="str">
        <f>IF(ISBLANK(v_data!A174),"",v_data!A174)</f>
        <v/>
      </c>
      <c r="B175" s="2" t="s">
        <v>22</v>
      </c>
      <c r="C175" s="2">
        <f>VLOOKUP(B175,variables!$A$2:$B$6,2,FALSE)</f>
        <v>0.8</v>
      </c>
      <c r="D175" s="4">
        <v>43826</v>
      </c>
      <c r="E175" s="4">
        <v>43431</v>
      </c>
      <c r="F175" s="2" t="str">
        <f>IF($A175="","",INDEX(v_data!$B$2:$L$1000,MATCH($A175,v_data!$A$3:$A$1000,0)+1,MATCH(LOWER(F$1),v_data!$B$2:$L$2,0)))</f>
        <v/>
      </c>
      <c r="G175" s="2" t="str">
        <f t="shared" si="208"/>
        <v/>
      </c>
      <c r="H175" s="2" t="str">
        <f>IF($A175="","",INDEX(v_data!$B$2:$L$1000,MATCH($A175,v_data!$A$3:$A$1000,0)+1,MATCH(LOWER(H$1),v_data!$B$2:$L$2,0)))</f>
        <v/>
      </c>
      <c r="I175" s="2" t="str">
        <f t="shared" si="209"/>
        <v/>
      </c>
      <c r="J175" s="2" t="str">
        <f>IF($A175="","",INDEX(v_data!$B$2:$L$1000,MATCH($A175,v_data!$A$3:$A$1000,0)+1,MATCH(LOWER(J$1),v_data!$B$2:$L$2,0)))</f>
        <v/>
      </c>
      <c r="K175" s="2" t="str">
        <f t="shared" si="210"/>
        <v/>
      </c>
      <c r="L175" s="2" t="str">
        <f>IF($A175="","",INDEX(v_data!$B$2:$L$1000,MATCH($A175,v_data!$A$3:$A$1000,0)+1,MATCH(LOWER(L$1),v_data!$B$2:$L$2,0)))</f>
        <v/>
      </c>
      <c r="M175" s="2" t="str">
        <f t="shared" si="211"/>
        <v/>
      </c>
      <c r="N175" s="2" t="str">
        <f>IF($A175="","",INDEX(v_data!$B$2:$L$1000,MATCH($A175,v_data!$A$3:$A$1000,0)+1,MATCH(LOWER(N$1),v_data!$B$2:$L$2,0)))</f>
        <v/>
      </c>
      <c r="O175" s="2" t="str">
        <f t="shared" si="212"/>
        <v/>
      </c>
      <c r="P175" s="2" t="str">
        <f>IF($A175="","",INDEX(v_data!$B$2:$L$1000,MATCH($A175,v_data!$A$3:$A$1000,0)+1,MATCH(LOWER(P$1),v_data!$B$2:$L$2,0)))</f>
        <v/>
      </c>
      <c r="Q175" s="2" t="str">
        <f t="shared" si="213"/>
        <v/>
      </c>
      <c r="R175" s="2" t="str">
        <f>IF($A175="","",INDEX(v_data!$B$2:$L$1000,MATCH($A175,v_data!$A$3:$A$1000,0)+1,MATCH(LOWER(R$1),v_data!$B$2:$L$2,0)))</f>
        <v/>
      </c>
      <c r="S175" s="2" t="str">
        <f t="shared" si="214"/>
        <v/>
      </c>
      <c r="T175" s="2" t="str">
        <f>IF($A175="","",INDEX(v_data!$B$2:$L$1000,MATCH($A175,v_data!$A$3:$A$1000,0)+1,MATCH(LOWER(T$1),v_data!$B$2:$L$2,0)))</f>
        <v/>
      </c>
      <c r="U175" s="2" t="str">
        <f t="shared" si="215"/>
        <v/>
      </c>
      <c r="V175" s="2" t="str">
        <f>IF($A175="","",INDEX(v_data!$B$2:$L$1000,MATCH($A175,v_data!$A$3:$A$1000,0)+1,MATCH(LOWER(V$1),v_data!$B$2:$L$2,0)))</f>
        <v/>
      </c>
      <c r="W175" s="2" t="str">
        <f t="shared" si="216"/>
        <v/>
      </c>
      <c r="X175" s="2" t="str">
        <f>IF($A175="","",INDEX(v_data!$B$2:$L$1000,MATCH($A175,v_data!$A$3:$A$1000,0)+1,MATCH(LOWER(X$1),v_data!$B$2:$L$2,0)))</f>
        <v/>
      </c>
      <c r="Y175" s="2" t="str">
        <f t="shared" si="217"/>
        <v/>
      </c>
      <c r="Z175" s="2" t="str">
        <f>IF($A175="","",INDEX(v_data!$B$2:$L$1000,MATCH($A175,v_data!$A$3:$A$1000,0)+1,MATCH(LOWER(Z$1),v_data!$B$2:$L$2,0)))</f>
        <v/>
      </c>
      <c r="AA175" s="2" t="str">
        <f t="shared" si="218"/>
        <v/>
      </c>
      <c r="AB175" s="2" t="str">
        <f t="shared" si="219"/>
        <v/>
      </c>
      <c r="AC175" s="2">
        <f>(SUM(G175,I175,K175,M175,O175,Q175,S175,U175,W175,Y175,AA175)+IF(AND(G175&gt;0,I175&gt;0,K175&gt;0),100,0))*VLOOKUP(B175,variables!$A$2:$B$6,2,FALSE)</f>
        <v>80</v>
      </c>
      <c r="AD175" s="16" t="str">
        <f>IF($A175="","",INDEX(v_data!$B$2:$X$1000,MATCH($A175,v_data!$A$3:$A$1000,0)+1,MATCH(LOWER("hours"),v_data!$B$2:$X$2,0)))</f>
        <v/>
      </c>
    </row>
    <row r="176" spans="1:30" hidden="1" x14ac:dyDescent="0.25">
      <c r="A176" s="2" t="str">
        <f>IF(ISBLANK(v_data!A175),"",v_data!A175)</f>
        <v/>
      </c>
      <c r="B176" s="2" t="s">
        <v>22</v>
      </c>
      <c r="C176" s="2">
        <f>VLOOKUP(B176,variables!$A$2:$B$6,2,FALSE)</f>
        <v>0.8</v>
      </c>
      <c r="D176" s="4">
        <v>43826</v>
      </c>
      <c r="E176" s="4">
        <v>43431</v>
      </c>
      <c r="F176" s="2" t="str">
        <f>IF($A176="","",INDEX(v_data!$B$2:$L$1000,MATCH($A176,v_data!$A$3:$A$1000,0)+1,MATCH(LOWER(F$1),v_data!$B$2:$L$2,0)))</f>
        <v/>
      </c>
      <c r="G176" s="2" t="str">
        <f t="shared" si="208"/>
        <v/>
      </c>
      <c r="H176" s="2" t="str">
        <f>IF($A176="","",INDEX(v_data!$B$2:$L$1000,MATCH($A176,v_data!$A$3:$A$1000,0)+1,MATCH(LOWER(H$1),v_data!$B$2:$L$2,0)))</f>
        <v/>
      </c>
      <c r="I176" s="2" t="str">
        <f t="shared" si="209"/>
        <v/>
      </c>
      <c r="J176" s="2" t="str">
        <f>IF($A176="","",INDEX(v_data!$B$2:$L$1000,MATCH($A176,v_data!$A$3:$A$1000,0)+1,MATCH(LOWER(J$1),v_data!$B$2:$L$2,0)))</f>
        <v/>
      </c>
      <c r="K176" s="2" t="str">
        <f t="shared" si="210"/>
        <v/>
      </c>
      <c r="L176" s="2" t="str">
        <f>IF($A176="","",INDEX(v_data!$B$2:$L$1000,MATCH($A176,v_data!$A$3:$A$1000,0)+1,MATCH(LOWER(L$1),v_data!$B$2:$L$2,0)))</f>
        <v/>
      </c>
      <c r="M176" s="2" t="str">
        <f t="shared" si="211"/>
        <v/>
      </c>
      <c r="N176" s="2" t="str">
        <f>IF($A176="","",INDEX(v_data!$B$2:$L$1000,MATCH($A176,v_data!$A$3:$A$1000,0)+1,MATCH(LOWER(N$1),v_data!$B$2:$L$2,0)))</f>
        <v/>
      </c>
      <c r="O176" s="2" t="str">
        <f t="shared" si="212"/>
        <v/>
      </c>
      <c r="P176" s="2" t="str">
        <f>IF($A176="","",INDEX(v_data!$B$2:$L$1000,MATCH($A176,v_data!$A$3:$A$1000,0)+1,MATCH(LOWER(P$1),v_data!$B$2:$L$2,0)))</f>
        <v/>
      </c>
      <c r="Q176" s="2" t="str">
        <f t="shared" si="213"/>
        <v/>
      </c>
      <c r="R176" s="2" t="str">
        <f>IF($A176="","",INDEX(v_data!$B$2:$L$1000,MATCH($A176,v_data!$A$3:$A$1000,0)+1,MATCH(LOWER(R$1),v_data!$B$2:$L$2,0)))</f>
        <v/>
      </c>
      <c r="S176" s="2" t="str">
        <f t="shared" si="214"/>
        <v/>
      </c>
      <c r="T176" s="2" t="str">
        <f>IF($A176="","",INDEX(v_data!$B$2:$L$1000,MATCH($A176,v_data!$A$3:$A$1000,0)+1,MATCH(LOWER(T$1),v_data!$B$2:$L$2,0)))</f>
        <v/>
      </c>
      <c r="U176" s="2" t="str">
        <f t="shared" si="215"/>
        <v/>
      </c>
      <c r="V176" s="2" t="str">
        <f>IF($A176="","",INDEX(v_data!$B$2:$L$1000,MATCH($A176,v_data!$A$3:$A$1000,0)+1,MATCH(LOWER(V$1),v_data!$B$2:$L$2,0)))</f>
        <v/>
      </c>
      <c r="W176" s="2" t="str">
        <f t="shared" si="216"/>
        <v/>
      </c>
      <c r="X176" s="2" t="str">
        <f>IF($A176="","",INDEX(v_data!$B$2:$L$1000,MATCH($A176,v_data!$A$3:$A$1000,0)+1,MATCH(LOWER(X$1),v_data!$B$2:$L$2,0)))</f>
        <v/>
      </c>
      <c r="Y176" s="2" t="str">
        <f t="shared" si="217"/>
        <v/>
      </c>
      <c r="Z176" s="2" t="str">
        <f>IF($A176="","",INDEX(v_data!$B$2:$L$1000,MATCH($A176,v_data!$A$3:$A$1000,0)+1,MATCH(LOWER(Z$1),v_data!$B$2:$L$2,0)))</f>
        <v/>
      </c>
      <c r="AA176" s="2" t="str">
        <f t="shared" si="218"/>
        <v/>
      </c>
      <c r="AB176" s="2" t="str">
        <f t="shared" si="219"/>
        <v/>
      </c>
      <c r="AC176" s="2">
        <f>(SUM(G176,I176,K176,M176,O176,Q176,S176,U176,W176,Y176,AA176)+IF(AND(G176&gt;0,I176&gt;0,K176&gt;0),100,0))*VLOOKUP(B176,variables!$A$2:$B$6,2,FALSE)</f>
        <v>80</v>
      </c>
      <c r="AD176" s="16" t="str">
        <f>IF($A176="","",INDEX(v_data!$B$2:$X$1000,MATCH($A176,v_data!$A$3:$A$1000,0)+1,MATCH(LOWER("hours"),v_data!$B$2:$X$2,0)))</f>
        <v/>
      </c>
    </row>
    <row r="177" spans="1:30" hidden="1" x14ac:dyDescent="0.25">
      <c r="A177" s="2" t="str">
        <f>IF(ISBLANK(v_data!A176),"",v_data!A176)</f>
        <v/>
      </c>
      <c r="B177" s="2" t="s">
        <v>22</v>
      </c>
      <c r="C177" s="2">
        <f>VLOOKUP(B177,variables!$A$2:$B$6,2,FALSE)</f>
        <v>0.8</v>
      </c>
      <c r="D177" s="4">
        <v>43826</v>
      </c>
      <c r="E177" s="4">
        <v>43431</v>
      </c>
      <c r="F177" s="2" t="str">
        <f>IF($A177="","",INDEX(v_data!$B$2:$L$1000,MATCH($A177,v_data!$A$3:$A$1000,0)+1,MATCH(LOWER(F$1),v_data!$B$2:$L$2,0)))</f>
        <v/>
      </c>
      <c r="G177" s="2" t="str">
        <f t="shared" si="208"/>
        <v/>
      </c>
      <c r="H177" s="2" t="str">
        <f>IF($A177="","",INDEX(v_data!$B$2:$L$1000,MATCH($A177,v_data!$A$3:$A$1000,0)+1,MATCH(LOWER(H$1),v_data!$B$2:$L$2,0)))</f>
        <v/>
      </c>
      <c r="I177" s="2" t="str">
        <f t="shared" si="209"/>
        <v/>
      </c>
      <c r="J177" s="2" t="str">
        <f>IF($A177="","",INDEX(v_data!$B$2:$L$1000,MATCH($A177,v_data!$A$3:$A$1000,0)+1,MATCH(LOWER(J$1),v_data!$B$2:$L$2,0)))</f>
        <v/>
      </c>
      <c r="K177" s="2" t="str">
        <f t="shared" si="210"/>
        <v/>
      </c>
      <c r="L177" s="2" t="str">
        <f>IF($A177="","",INDEX(v_data!$B$2:$L$1000,MATCH($A177,v_data!$A$3:$A$1000,0)+1,MATCH(LOWER(L$1),v_data!$B$2:$L$2,0)))</f>
        <v/>
      </c>
      <c r="M177" s="2" t="str">
        <f t="shared" si="211"/>
        <v/>
      </c>
      <c r="N177" s="2" t="str">
        <f>IF($A177="","",INDEX(v_data!$B$2:$L$1000,MATCH($A177,v_data!$A$3:$A$1000,0)+1,MATCH(LOWER(N$1),v_data!$B$2:$L$2,0)))</f>
        <v/>
      </c>
      <c r="O177" s="2" t="str">
        <f t="shared" si="212"/>
        <v/>
      </c>
      <c r="P177" s="2" t="str">
        <f>IF($A177="","",INDEX(v_data!$B$2:$L$1000,MATCH($A177,v_data!$A$3:$A$1000,0)+1,MATCH(LOWER(P$1),v_data!$B$2:$L$2,0)))</f>
        <v/>
      </c>
      <c r="Q177" s="2" t="str">
        <f t="shared" si="213"/>
        <v/>
      </c>
      <c r="R177" s="2" t="str">
        <f>IF($A177="","",INDEX(v_data!$B$2:$L$1000,MATCH($A177,v_data!$A$3:$A$1000,0)+1,MATCH(LOWER(R$1),v_data!$B$2:$L$2,0)))</f>
        <v/>
      </c>
      <c r="S177" s="2" t="str">
        <f t="shared" si="214"/>
        <v/>
      </c>
      <c r="T177" s="2" t="str">
        <f>IF($A177="","",INDEX(v_data!$B$2:$L$1000,MATCH($A177,v_data!$A$3:$A$1000,0)+1,MATCH(LOWER(T$1),v_data!$B$2:$L$2,0)))</f>
        <v/>
      </c>
      <c r="U177" s="2" t="str">
        <f t="shared" si="215"/>
        <v/>
      </c>
      <c r="V177" s="2" t="str">
        <f>IF($A177="","",INDEX(v_data!$B$2:$L$1000,MATCH($A177,v_data!$A$3:$A$1000,0)+1,MATCH(LOWER(V$1),v_data!$B$2:$L$2,0)))</f>
        <v/>
      </c>
      <c r="W177" s="2" t="str">
        <f t="shared" si="216"/>
        <v/>
      </c>
      <c r="X177" s="2" t="str">
        <f>IF($A177="","",INDEX(v_data!$B$2:$L$1000,MATCH($A177,v_data!$A$3:$A$1000,0)+1,MATCH(LOWER(X$1),v_data!$B$2:$L$2,0)))</f>
        <v/>
      </c>
      <c r="Y177" s="2" t="str">
        <f t="shared" si="217"/>
        <v/>
      </c>
      <c r="Z177" s="2" t="str">
        <f>IF($A177="","",INDEX(v_data!$B$2:$L$1000,MATCH($A177,v_data!$A$3:$A$1000,0)+1,MATCH(LOWER(Z$1),v_data!$B$2:$L$2,0)))</f>
        <v/>
      </c>
      <c r="AA177" s="2" t="str">
        <f t="shared" si="218"/>
        <v/>
      </c>
      <c r="AB177" s="2" t="str">
        <f t="shared" si="219"/>
        <v/>
      </c>
      <c r="AC177" s="2">
        <f>(SUM(G177,I177,K177,M177,O177,Q177,S177,U177,W177,Y177,AA177)+IF(AND(G177&gt;0,I177&gt;0,K177&gt;0),100,0))*VLOOKUP(B177,variables!$A$2:$B$6,2,FALSE)</f>
        <v>80</v>
      </c>
      <c r="AD177" s="16" t="str">
        <f>IF($A177="","",INDEX(v_data!$B$2:$X$1000,MATCH($A177,v_data!$A$3:$A$1000,0)+1,MATCH(LOWER("hours"),v_data!$B$2:$X$2,0)))</f>
        <v/>
      </c>
    </row>
    <row r="178" spans="1:30" hidden="1" x14ac:dyDescent="0.25">
      <c r="A178" s="2" t="str">
        <f>IF(ISBLANK(v_data!A177),"",v_data!A177)</f>
        <v/>
      </c>
      <c r="B178" s="2" t="s">
        <v>22</v>
      </c>
      <c r="C178" s="2">
        <f>VLOOKUP(B178,variables!$A$2:$B$6,2,FALSE)</f>
        <v>0.8</v>
      </c>
      <c r="D178" s="4">
        <v>43826</v>
      </c>
      <c r="E178" s="4">
        <v>43431</v>
      </c>
      <c r="F178" s="2" t="str">
        <f>IF($A178="","",INDEX(v_data!$B$2:$L$1000,MATCH($A178,v_data!$A$3:$A$1000,0)+1,MATCH(LOWER(F$1),v_data!$B$2:$L$2,0)))</f>
        <v/>
      </c>
      <c r="G178" s="2" t="str">
        <f t="shared" si="208"/>
        <v/>
      </c>
      <c r="H178" s="2" t="str">
        <f>IF($A178="","",INDEX(v_data!$B$2:$L$1000,MATCH($A178,v_data!$A$3:$A$1000,0)+1,MATCH(LOWER(H$1),v_data!$B$2:$L$2,0)))</f>
        <v/>
      </c>
      <c r="I178" s="2" t="str">
        <f t="shared" si="209"/>
        <v/>
      </c>
      <c r="J178" s="2" t="str">
        <f>IF($A178="","",INDEX(v_data!$B$2:$L$1000,MATCH($A178,v_data!$A$3:$A$1000,0)+1,MATCH(LOWER(J$1),v_data!$B$2:$L$2,0)))</f>
        <v/>
      </c>
      <c r="K178" s="2" t="str">
        <f t="shared" si="210"/>
        <v/>
      </c>
      <c r="L178" s="2" t="str">
        <f>IF($A178="","",INDEX(v_data!$B$2:$L$1000,MATCH($A178,v_data!$A$3:$A$1000,0)+1,MATCH(LOWER(L$1),v_data!$B$2:$L$2,0)))</f>
        <v/>
      </c>
      <c r="M178" s="2" t="str">
        <f t="shared" si="211"/>
        <v/>
      </c>
      <c r="N178" s="2" t="str">
        <f>IF($A178="","",INDEX(v_data!$B$2:$L$1000,MATCH($A178,v_data!$A$3:$A$1000,0)+1,MATCH(LOWER(N$1),v_data!$B$2:$L$2,0)))</f>
        <v/>
      </c>
      <c r="O178" s="2" t="str">
        <f t="shared" si="212"/>
        <v/>
      </c>
      <c r="P178" s="2" t="str">
        <f>IF($A178="","",INDEX(v_data!$B$2:$L$1000,MATCH($A178,v_data!$A$3:$A$1000,0)+1,MATCH(LOWER(P$1),v_data!$B$2:$L$2,0)))</f>
        <v/>
      </c>
      <c r="Q178" s="2" t="str">
        <f t="shared" si="213"/>
        <v/>
      </c>
      <c r="R178" s="2" t="str">
        <f>IF($A178="","",INDEX(v_data!$B$2:$L$1000,MATCH($A178,v_data!$A$3:$A$1000,0)+1,MATCH(LOWER(R$1),v_data!$B$2:$L$2,0)))</f>
        <v/>
      </c>
      <c r="S178" s="2" t="str">
        <f t="shared" si="214"/>
        <v/>
      </c>
      <c r="T178" s="2" t="str">
        <f>IF($A178="","",INDEX(v_data!$B$2:$L$1000,MATCH($A178,v_data!$A$3:$A$1000,0)+1,MATCH(LOWER(T$1),v_data!$B$2:$L$2,0)))</f>
        <v/>
      </c>
      <c r="U178" s="2" t="str">
        <f t="shared" si="215"/>
        <v/>
      </c>
      <c r="V178" s="2" t="str">
        <f>IF($A178="","",INDEX(v_data!$B$2:$L$1000,MATCH($A178,v_data!$A$3:$A$1000,0)+1,MATCH(LOWER(V$1),v_data!$B$2:$L$2,0)))</f>
        <v/>
      </c>
      <c r="W178" s="2" t="str">
        <f t="shared" si="216"/>
        <v/>
      </c>
      <c r="X178" s="2" t="str">
        <f>IF($A178="","",INDEX(v_data!$B$2:$L$1000,MATCH($A178,v_data!$A$3:$A$1000,0)+1,MATCH(LOWER(X$1),v_data!$B$2:$L$2,0)))</f>
        <v/>
      </c>
      <c r="Y178" s="2" t="str">
        <f t="shared" si="217"/>
        <v/>
      </c>
      <c r="Z178" s="2" t="str">
        <f>IF($A178="","",INDEX(v_data!$B$2:$L$1000,MATCH($A178,v_data!$A$3:$A$1000,0)+1,MATCH(LOWER(Z$1),v_data!$B$2:$L$2,0)))</f>
        <v/>
      </c>
      <c r="AA178" s="2" t="str">
        <f t="shared" si="218"/>
        <v/>
      </c>
      <c r="AB178" s="2" t="str">
        <f t="shared" si="219"/>
        <v/>
      </c>
      <c r="AC178" s="2">
        <f>(SUM(G178,I178,K178,M178,O178,Q178,S178,U178,W178,Y178,AA178)+IF(AND(G178&gt;0,I178&gt;0,K178&gt;0),100,0))*VLOOKUP(B178,variables!$A$2:$B$6,2,FALSE)</f>
        <v>80</v>
      </c>
      <c r="AD178" s="16" t="str">
        <f>IF($A178="","",INDEX(v_data!$B$2:$X$1000,MATCH($A178,v_data!$A$3:$A$1000,0)+1,MATCH(LOWER("hours"),v_data!$B$2:$X$2,0)))</f>
        <v/>
      </c>
    </row>
    <row r="179" spans="1:30" hidden="1" x14ac:dyDescent="0.25">
      <c r="A179" s="2" t="str">
        <f>IF(ISBLANK(v_data!A178),"",v_data!A178)</f>
        <v/>
      </c>
      <c r="B179" s="2" t="s">
        <v>22</v>
      </c>
      <c r="C179" s="2">
        <f>VLOOKUP(B179,variables!$A$2:$B$6,2,FALSE)</f>
        <v>0.8</v>
      </c>
      <c r="D179" s="4">
        <v>43826</v>
      </c>
      <c r="E179" s="4">
        <v>43431</v>
      </c>
      <c r="F179" s="2" t="str">
        <f>IF($A179="","",INDEX(v_data!$B$2:$L$1000,MATCH($A179,v_data!$A$3:$A$1000,0)+1,MATCH(LOWER(F$1),v_data!$B$2:$L$2,0)))</f>
        <v/>
      </c>
      <c r="G179" s="2" t="str">
        <f t="shared" si="208"/>
        <v/>
      </c>
      <c r="H179" s="2" t="str">
        <f>IF($A179="","",INDEX(v_data!$B$2:$L$1000,MATCH($A179,v_data!$A$3:$A$1000,0)+1,MATCH(LOWER(H$1),v_data!$B$2:$L$2,0)))</f>
        <v/>
      </c>
      <c r="I179" s="2" t="str">
        <f t="shared" si="209"/>
        <v/>
      </c>
      <c r="J179" s="2" t="str">
        <f>IF($A179="","",INDEX(v_data!$B$2:$L$1000,MATCH($A179,v_data!$A$3:$A$1000,0)+1,MATCH(LOWER(J$1),v_data!$B$2:$L$2,0)))</f>
        <v/>
      </c>
      <c r="K179" s="2" t="str">
        <f t="shared" si="210"/>
        <v/>
      </c>
      <c r="L179" s="2" t="str">
        <f>IF($A179="","",INDEX(v_data!$B$2:$L$1000,MATCH($A179,v_data!$A$3:$A$1000,0)+1,MATCH(LOWER(L$1),v_data!$B$2:$L$2,0)))</f>
        <v/>
      </c>
      <c r="M179" s="2" t="str">
        <f t="shared" si="211"/>
        <v/>
      </c>
      <c r="N179" s="2" t="str">
        <f>IF($A179="","",INDEX(v_data!$B$2:$L$1000,MATCH($A179,v_data!$A$3:$A$1000,0)+1,MATCH(LOWER(N$1),v_data!$B$2:$L$2,0)))</f>
        <v/>
      </c>
      <c r="O179" s="2" t="str">
        <f t="shared" si="212"/>
        <v/>
      </c>
      <c r="P179" s="2" t="str">
        <f>IF($A179="","",INDEX(v_data!$B$2:$L$1000,MATCH($A179,v_data!$A$3:$A$1000,0)+1,MATCH(LOWER(P$1),v_data!$B$2:$L$2,0)))</f>
        <v/>
      </c>
      <c r="Q179" s="2" t="str">
        <f t="shared" si="213"/>
        <v/>
      </c>
      <c r="R179" s="2" t="str">
        <f>IF($A179="","",INDEX(v_data!$B$2:$L$1000,MATCH($A179,v_data!$A$3:$A$1000,0)+1,MATCH(LOWER(R$1),v_data!$B$2:$L$2,0)))</f>
        <v/>
      </c>
      <c r="S179" s="2" t="str">
        <f t="shared" si="214"/>
        <v/>
      </c>
      <c r="T179" s="2" t="str">
        <f>IF($A179="","",INDEX(v_data!$B$2:$L$1000,MATCH($A179,v_data!$A$3:$A$1000,0)+1,MATCH(LOWER(T$1),v_data!$B$2:$L$2,0)))</f>
        <v/>
      </c>
      <c r="U179" s="2" t="str">
        <f t="shared" si="215"/>
        <v/>
      </c>
      <c r="V179" s="2" t="str">
        <f>IF($A179="","",INDEX(v_data!$B$2:$L$1000,MATCH($A179,v_data!$A$3:$A$1000,0)+1,MATCH(LOWER(V$1),v_data!$B$2:$L$2,0)))</f>
        <v/>
      </c>
      <c r="W179" s="2" t="str">
        <f t="shared" si="216"/>
        <v/>
      </c>
      <c r="X179" s="2" t="str">
        <f>IF($A179="","",INDEX(v_data!$B$2:$L$1000,MATCH($A179,v_data!$A$3:$A$1000,0)+1,MATCH(LOWER(X$1),v_data!$B$2:$L$2,0)))</f>
        <v/>
      </c>
      <c r="Y179" s="2" t="str">
        <f t="shared" si="217"/>
        <v/>
      </c>
      <c r="Z179" s="2" t="str">
        <f>IF($A179="","",INDEX(v_data!$B$2:$L$1000,MATCH($A179,v_data!$A$3:$A$1000,0)+1,MATCH(LOWER(Z$1),v_data!$B$2:$L$2,0)))</f>
        <v/>
      </c>
      <c r="AA179" s="2" t="str">
        <f t="shared" si="218"/>
        <v/>
      </c>
      <c r="AB179" s="2" t="str">
        <f t="shared" si="219"/>
        <v/>
      </c>
      <c r="AC179" s="2">
        <f>(SUM(G179,I179,K179,M179,O179,Q179,S179,U179,W179,Y179,AA179)+IF(AND(G179&gt;0,I179&gt;0,K179&gt;0),100,0))*VLOOKUP(B179,variables!$A$2:$B$6,2,FALSE)</f>
        <v>80</v>
      </c>
      <c r="AD179" s="16" t="str">
        <f>IF($A179="","",INDEX(v_data!$B$2:$X$1000,MATCH($A179,v_data!$A$3:$A$1000,0)+1,MATCH(LOWER("hours"),v_data!$B$2:$X$2,0)))</f>
        <v/>
      </c>
    </row>
    <row r="180" spans="1:30" hidden="1" x14ac:dyDescent="0.25">
      <c r="A180" s="2" t="str">
        <f>IF(ISBLANK(v_data!A179),"",v_data!A179)</f>
        <v/>
      </c>
      <c r="B180" s="2" t="s">
        <v>22</v>
      </c>
      <c r="C180" s="2">
        <f>VLOOKUP(B180,variables!$A$2:$B$6,2,FALSE)</f>
        <v>0.8</v>
      </c>
      <c r="D180" s="4">
        <v>43826</v>
      </c>
      <c r="E180" s="4">
        <v>43431</v>
      </c>
      <c r="F180" s="2" t="str">
        <f>IF($A180="","",INDEX(v_data!$B$2:$L$1000,MATCH($A180,v_data!$A$3:$A$1000,0)+1,MATCH(LOWER(F$1),v_data!$B$2:$L$2,0)))</f>
        <v/>
      </c>
      <c r="G180" s="2" t="str">
        <f t="shared" si="208"/>
        <v/>
      </c>
      <c r="H180" s="2" t="str">
        <f>IF($A180="","",INDEX(v_data!$B$2:$L$1000,MATCH($A180,v_data!$A$3:$A$1000,0)+1,MATCH(LOWER(H$1),v_data!$B$2:$L$2,0)))</f>
        <v/>
      </c>
      <c r="I180" s="2" t="str">
        <f t="shared" si="209"/>
        <v/>
      </c>
      <c r="J180" s="2" t="str">
        <f>IF($A180="","",INDEX(v_data!$B$2:$L$1000,MATCH($A180,v_data!$A$3:$A$1000,0)+1,MATCH(LOWER(J$1),v_data!$B$2:$L$2,0)))</f>
        <v/>
      </c>
      <c r="K180" s="2" t="str">
        <f t="shared" si="210"/>
        <v/>
      </c>
      <c r="L180" s="2" t="str">
        <f>IF($A180="","",INDEX(v_data!$B$2:$L$1000,MATCH($A180,v_data!$A$3:$A$1000,0)+1,MATCH(LOWER(L$1),v_data!$B$2:$L$2,0)))</f>
        <v/>
      </c>
      <c r="M180" s="2" t="str">
        <f t="shared" si="211"/>
        <v/>
      </c>
      <c r="N180" s="2" t="str">
        <f>IF($A180="","",INDEX(v_data!$B$2:$L$1000,MATCH($A180,v_data!$A$3:$A$1000,0)+1,MATCH(LOWER(N$1),v_data!$B$2:$L$2,0)))</f>
        <v/>
      </c>
      <c r="O180" s="2" t="str">
        <f t="shared" si="212"/>
        <v/>
      </c>
      <c r="P180" s="2" t="str">
        <f>IF($A180="","",INDEX(v_data!$B$2:$L$1000,MATCH($A180,v_data!$A$3:$A$1000,0)+1,MATCH(LOWER(P$1),v_data!$B$2:$L$2,0)))</f>
        <v/>
      </c>
      <c r="Q180" s="2" t="str">
        <f t="shared" si="213"/>
        <v/>
      </c>
      <c r="R180" s="2" t="str">
        <f>IF($A180="","",INDEX(v_data!$B$2:$L$1000,MATCH($A180,v_data!$A$3:$A$1000,0)+1,MATCH(LOWER(R$1),v_data!$B$2:$L$2,0)))</f>
        <v/>
      </c>
      <c r="S180" s="2" t="str">
        <f t="shared" si="214"/>
        <v/>
      </c>
      <c r="T180" s="2" t="str">
        <f>IF($A180="","",INDEX(v_data!$B$2:$L$1000,MATCH($A180,v_data!$A$3:$A$1000,0)+1,MATCH(LOWER(T$1),v_data!$B$2:$L$2,0)))</f>
        <v/>
      </c>
      <c r="U180" s="2" t="str">
        <f t="shared" si="215"/>
        <v/>
      </c>
      <c r="V180" s="2" t="str">
        <f>IF($A180="","",INDEX(v_data!$B$2:$L$1000,MATCH($A180,v_data!$A$3:$A$1000,0)+1,MATCH(LOWER(V$1),v_data!$B$2:$L$2,0)))</f>
        <v/>
      </c>
      <c r="W180" s="2" t="str">
        <f t="shared" si="216"/>
        <v/>
      </c>
      <c r="X180" s="2" t="str">
        <f>IF($A180="","",INDEX(v_data!$B$2:$L$1000,MATCH($A180,v_data!$A$3:$A$1000,0)+1,MATCH(LOWER(X$1),v_data!$B$2:$L$2,0)))</f>
        <v/>
      </c>
      <c r="Y180" s="2" t="str">
        <f t="shared" si="217"/>
        <v/>
      </c>
      <c r="Z180" s="2" t="str">
        <f>IF($A180="","",INDEX(v_data!$B$2:$L$1000,MATCH($A180,v_data!$A$3:$A$1000,0)+1,MATCH(LOWER(Z$1),v_data!$B$2:$L$2,0)))</f>
        <v/>
      </c>
      <c r="AA180" s="2" t="str">
        <f t="shared" si="218"/>
        <v/>
      </c>
      <c r="AB180" s="2" t="str">
        <f t="shared" si="219"/>
        <v/>
      </c>
      <c r="AC180" s="2">
        <f>(SUM(G180,I180,K180,M180,O180,Q180,S180,U180,W180,Y180,AA180)+IF(AND(G180&gt;0,I180&gt;0,K180&gt;0),100,0))*VLOOKUP(B180,variables!$A$2:$B$6,2,FALSE)</f>
        <v>80</v>
      </c>
      <c r="AD180" s="16" t="str">
        <f>IF($A180="","",INDEX(v_data!$B$2:$X$1000,MATCH($A180,v_data!$A$3:$A$1000,0)+1,MATCH(LOWER("hours"),v_data!$B$2:$X$2,0)))</f>
        <v/>
      </c>
    </row>
    <row r="181" spans="1:30" hidden="1" x14ac:dyDescent="0.25">
      <c r="A181" s="2" t="str">
        <f>IF(ISBLANK(v_data!A180),"",v_data!A180)</f>
        <v/>
      </c>
      <c r="B181" s="2" t="s">
        <v>22</v>
      </c>
      <c r="C181" s="2">
        <f>VLOOKUP(B181,variables!$A$2:$B$6,2,FALSE)</f>
        <v>0.8</v>
      </c>
      <c r="D181" s="4">
        <v>43826</v>
      </c>
      <c r="E181" s="4">
        <v>43431</v>
      </c>
      <c r="F181" s="2" t="str">
        <f>IF($A181="","",INDEX(v_data!$B$2:$L$1000,MATCH($A181,v_data!$A$3:$A$1000,0)+1,MATCH(LOWER(F$1),v_data!$B$2:$L$2,0)))</f>
        <v/>
      </c>
      <c r="G181" s="2" t="str">
        <f t="shared" si="208"/>
        <v/>
      </c>
      <c r="H181" s="2" t="str">
        <f>IF($A181="","",INDEX(v_data!$B$2:$L$1000,MATCH($A181,v_data!$A$3:$A$1000,0)+1,MATCH(LOWER(H$1),v_data!$B$2:$L$2,0)))</f>
        <v/>
      </c>
      <c r="I181" s="2" t="str">
        <f t="shared" si="209"/>
        <v/>
      </c>
      <c r="J181" s="2" t="str">
        <f>IF($A181="","",INDEX(v_data!$B$2:$L$1000,MATCH($A181,v_data!$A$3:$A$1000,0)+1,MATCH(LOWER(J$1),v_data!$B$2:$L$2,0)))</f>
        <v/>
      </c>
      <c r="K181" s="2" t="str">
        <f t="shared" si="210"/>
        <v/>
      </c>
      <c r="L181" s="2" t="str">
        <f>IF($A181="","",INDEX(v_data!$B$2:$L$1000,MATCH($A181,v_data!$A$3:$A$1000,0)+1,MATCH(LOWER(L$1),v_data!$B$2:$L$2,0)))</f>
        <v/>
      </c>
      <c r="M181" s="2" t="str">
        <f t="shared" si="211"/>
        <v/>
      </c>
      <c r="N181" s="2" t="str">
        <f>IF($A181="","",INDEX(v_data!$B$2:$L$1000,MATCH($A181,v_data!$A$3:$A$1000,0)+1,MATCH(LOWER(N$1),v_data!$B$2:$L$2,0)))</f>
        <v/>
      </c>
      <c r="O181" s="2" t="str">
        <f t="shared" si="212"/>
        <v/>
      </c>
      <c r="P181" s="2" t="str">
        <f>IF($A181="","",INDEX(v_data!$B$2:$L$1000,MATCH($A181,v_data!$A$3:$A$1000,0)+1,MATCH(LOWER(P$1),v_data!$B$2:$L$2,0)))</f>
        <v/>
      </c>
      <c r="Q181" s="2" t="str">
        <f t="shared" si="213"/>
        <v/>
      </c>
      <c r="R181" s="2" t="str">
        <f>IF($A181="","",INDEX(v_data!$B$2:$L$1000,MATCH($A181,v_data!$A$3:$A$1000,0)+1,MATCH(LOWER(R$1),v_data!$B$2:$L$2,0)))</f>
        <v/>
      </c>
      <c r="S181" s="2" t="str">
        <f t="shared" si="214"/>
        <v/>
      </c>
      <c r="T181" s="2" t="str">
        <f>IF($A181="","",INDEX(v_data!$B$2:$L$1000,MATCH($A181,v_data!$A$3:$A$1000,0)+1,MATCH(LOWER(T$1),v_data!$B$2:$L$2,0)))</f>
        <v/>
      </c>
      <c r="U181" s="2" t="str">
        <f t="shared" si="215"/>
        <v/>
      </c>
      <c r="V181" s="2" t="str">
        <f>IF($A181="","",INDEX(v_data!$B$2:$L$1000,MATCH($A181,v_data!$A$3:$A$1000,0)+1,MATCH(LOWER(V$1),v_data!$B$2:$L$2,0)))</f>
        <v/>
      </c>
      <c r="W181" s="2" t="str">
        <f t="shared" si="216"/>
        <v/>
      </c>
      <c r="X181" s="2" t="str">
        <f>IF($A181="","",INDEX(v_data!$B$2:$L$1000,MATCH($A181,v_data!$A$3:$A$1000,0)+1,MATCH(LOWER(X$1),v_data!$B$2:$L$2,0)))</f>
        <v/>
      </c>
      <c r="Y181" s="2" t="str">
        <f t="shared" si="217"/>
        <v/>
      </c>
      <c r="Z181" s="2" t="str">
        <f>IF($A181="","",INDEX(v_data!$B$2:$L$1000,MATCH($A181,v_data!$A$3:$A$1000,0)+1,MATCH(LOWER(Z$1),v_data!$B$2:$L$2,0)))</f>
        <v/>
      </c>
      <c r="AA181" s="2" t="str">
        <f t="shared" si="218"/>
        <v/>
      </c>
      <c r="AB181" s="2" t="str">
        <f t="shared" si="219"/>
        <v/>
      </c>
      <c r="AC181" s="2">
        <f>(SUM(G181,I181,K181,M181,O181,Q181,S181,U181,W181,Y181,AA181)+IF(AND(G181&gt;0,I181&gt;0,K181&gt;0),100,0))*VLOOKUP(B181,variables!$A$2:$B$6,2,FALSE)</f>
        <v>80</v>
      </c>
      <c r="AD181" s="16" t="str">
        <f>IF($A181="","",INDEX(v_data!$B$2:$X$1000,MATCH($A181,v_data!$A$3:$A$1000,0)+1,MATCH(LOWER("hours"),v_data!$B$2:$X$2,0)))</f>
        <v/>
      </c>
    </row>
    <row r="182" spans="1:30" hidden="1" x14ac:dyDescent="0.25">
      <c r="A182" s="2" t="str">
        <f>IF(ISBLANK(v_data!A181),"",v_data!A181)</f>
        <v/>
      </c>
      <c r="B182" s="2" t="s">
        <v>22</v>
      </c>
      <c r="C182" s="2">
        <f>VLOOKUP(B182,variables!$A$2:$B$6,2,FALSE)</f>
        <v>0.8</v>
      </c>
      <c r="D182" s="4">
        <v>43826</v>
      </c>
      <c r="E182" s="4">
        <v>43431</v>
      </c>
      <c r="F182" s="2" t="str">
        <f>IF($A182="","",INDEX(v_data!$B$2:$L$1000,MATCH($A182,v_data!$A$3:$A$1000,0)+1,MATCH(LOWER(F$1),v_data!$B$2:$L$2,0)))</f>
        <v/>
      </c>
      <c r="G182" s="2" t="str">
        <f t="shared" si="208"/>
        <v/>
      </c>
      <c r="H182" s="2" t="str">
        <f>IF($A182="","",INDEX(v_data!$B$2:$L$1000,MATCH($A182,v_data!$A$3:$A$1000,0)+1,MATCH(LOWER(H$1),v_data!$B$2:$L$2,0)))</f>
        <v/>
      </c>
      <c r="I182" s="2" t="str">
        <f t="shared" si="209"/>
        <v/>
      </c>
      <c r="J182" s="2" t="str">
        <f>IF($A182="","",INDEX(v_data!$B$2:$L$1000,MATCH($A182,v_data!$A$3:$A$1000,0)+1,MATCH(LOWER(J$1),v_data!$B$2:$L$2,0)))</f>
        <v/>
      </c>
      <c r="K182" s="2" t="str">
        <f t="shared" si="210"/>
        <v/>
      </c>
      <c r="L182" s="2" t="str">
        <f>IF($A182="","",INDEX(v_data!$B$2:$L$1000,MATCH($A182,v_data!$A$3:$A$1000,0)+1,MATCH(LOWER(L$1),v_data!$B$2:$L$2,0)))</f>
        <v/>
      </c>
      <c r="M182" s="2" t="str">
        <f t="shared" si="211"/>
        <v/>
      </c>
      <c r="N182" s="2" t="str">
        <f>IF($A182="","",INDEX(v_data!$B$2:$L$1000,MATCH($A182,v_data!$A$3:$A$1000,0)+1,MATCH(LOWER(N$1),v_data!$B$2:$L$2,0)))</f>
        <v/>
      </c>
      <c r="O182" s="2" t="str">
        <f t="shared" si="212"/>
        <v/>
      </c>
      <c r="P182" s="2" t="str">
        <f>IF($A182="","",INDEX(v_data!$B$2:$L$1000,MATCH($A182,v_data!$A$3:$A$1000,0)+1,MATCH(LOWER(P$1),v_data!$B$2:$L$2,0)))</f>
        <v/>
      </c>
      <c r="Q182" s="2" t="str">
        <f t="shared" si="213"/>
        <v/>
      </c>
      <c r="R182" s="2" t="str">
        <f>IF($A182="","",INDEX(v_data!$B$2:$L$1000,MATCH($A182,v_data!$A$3:$A$1000,0)+1,MATCH(LOWER(R$1),v_data!$B$2:$L$2,0)))</f>
        <v/>
      </c>
      <c r="S182" s="2" t="str">
        <f t="shared" si="214"/>
        <v/>
      </c>
      <c r="T182" s="2" t="str">
        <f>IF($A182="","",INDEX(v_data!$B$2:$L$1000,MATCH($A182,v_data!$A$3:$A$1000,0)+1,MATCH(LOWER(T$1),v_data!$B$2:$L$2,0)))</f>
        <v/>
      </c>
      <c r="U182" s="2" t="str">
        <f t="shared" si="215"/>
        <v/>
      </c>
      <c r="V182" s="2" t="str">
        <f>IF($A182="","",INDEX(v_data!$B$2:$L$1000,MATCH($A182,v_data!$A$3:$A$1000,0)+1,MATCH(LOWER(V$1),v_data!$B$2:$L$2,0)))</f>
        <v/>
      </c>
      <c r="W182" s="2" t="str">
        <f t="shared" si="216"/>
        <v/>
      </c>
      <c r="X182" s="2" t="str">
        <f>IF($A182="","",INDEX(v_data!$B$2:$L$1000,MATCH($A182,v_data!$A$3:$A$1000,0)+1,MATCH(LOWER(X$1),v_data!$B$2:$L$2,0)))</f>
        <v/>
      </c>
      <c r="Y182" s="2" t="str">
        <f t="shared" si="217"/>
        <v/>
      </c>
      <c r="Z182" s="2" t="str">
        <f>IF($A182="","",INDEX(v_data!$B$2:$L$1000,MATCH($A182,v_data!$A$3:$A$1000,0)+1,MATCH(LOWER(Z$1),v_data!$B$2:$L$2,0)))</f>
        <v/>
      </c>
      <c r="AA182" s="2" t="str">
        <f t="shared" si="218"/>
        <v/>
      </c>
      <c r="AB182" s="2" t="str">
        <f t="shared" si="219"/>
        <v/>
      </c>
      <c r="AC182" s="2">
        <f>(SUM(G182,I182,K182,M182,O182,Q182,S182,U182,W182,Y182,AA182)+IF(AND(G182&gt;0,I182&gt;0,K182&gt;0),100,0))*VLOOKUP(B182,variables!$A$2:$B$6,2,FALSE)</f>
        <v>80</v>
      </c>
      <c r="AD182" s="16" t="str">
        <f>IF($A182="","",INDEX(v_data!$B$2:$X$1000,MATCH($A182,v_data!$A$3:$A$1000,0)+1,MATCH(LOWER("hours"),v_data!$B$2:$X$2,0)))</f>
        <v/>
      </c>
    </row>
    <row r="183" spans="1:30" hidden="1" x14ac:dyDescent="0.25">
      <c r="A183" s="2" t="str">
        <f>IF(ISBLANK(v_data!A182),"",v_data!A182)</f>
        <v/>
      </c>
      <c r="B183" s="2" t="s">
        <v>22</v>
      </c>
      <c r="C183" s="2">
        <f>VLOOKUP(B183,variables!$A$2:$B$6,2,FALSE)</f>
        <v>0.8</v>
      </c>
      <c r="D183" s="4">
        <v>43826</v>
      </c>
      <c r="E183" s="4">
        <v>43431</v>
      </c>
      <c r="F183" s="2" t="str">
        <f>IF($A183="","",INDEX(v_data!$B$2:$L$1000,MATCH($A183,v_data!$A$3:$A$1000,0)+1,MATCH(LOWER(F$1),v_data!$B$2:$L$2,0)))</f>
        <v/>
      </c>
      <c r="G183" s="2" t="str">
        <f t="shared" si="208"/>
        <v/>
      </c>
      <c r="H183" s="2" t="str">
        <f>IF($A183="","",INDEX(v_data!$B$2:$L$1000,MATCH($A183,v_data!$A$3:$A$1000,0)+1,MATCH(LOWER(H$1),v_data!$B$2:$L$2,0)))</f>
        <v/>
      </c>
      <c r="I183" s="2" t="str">
        <f t="shared" si="209"/>
        <v/>
      </c>
      <c r="J183" s="2" t="str">
        <f>IF($A183="","",INDEX(v_data!$B$2:$L$1000,MATCH($A183,v_data!$A$3:$A$1000,0)+1,MATCH(LOWER(J$1),v_data!$B$2:$L$2,0)))</f>
        <v/>
      </c>
      <c r="K183" s="2" t="str">
        <f t="shared" si="210"/>
        <v/>
      </c>
      <c r="L183" s="2" t="str">
        <f>IF($A183="","",INDEX(v_data!$B$2:$L$1000,MATCH($A183,v_data!$A$3:$A$1000,0)+1,MATCH(LOWER(L$1),v_data!$B$2:$L$2,0)))</f>
        <v/>
      </c>
      <c r="M183" s="2" t="str">
        <f t="shared" si="211"/>
        <v/>
      </c>
      <c r="N183" s="2" t="str">
        <f>IF($A183="","",INDEX(v_data!$B$2:$L$1000,MATCH($A183,v_data!$A$3:$A$1000,0)+1,MATCH(LOWER(N$1),v_data!$B$2:$L$2,0)))</f>
        <v/>
      </c>
      <c r="O183" s="2" t="str">
        <f t="shared" si="212"/>
        <v/>
      </c>
      <c r="P183" s="2" t="str">
        <f>IF($A183="","",INDEX(v_data!$B$2:$L$1000,MATCH($A183,v_data!$A$3:$A$1000,0)+1,MATCH(LOWER(P$1),v_data!$B$2:$L$2,0)))</f>
        <v/>
      </c>
      <c r="Q183" s="2" t="str">
        <f t="shared" si="213"/>
        <v/>
      </c>
      <c r="R183" s="2" t="str">
        <f>IF($A183="","",INDEX(v_data!$B$2:$L$1000,MATCH($A183,v_data!$A$3:$A$1000,0)+1,MATCH(LOWER(R$1),v_data!$B$2:$L$2,0)))</f>
        <v/>
      </c>
      <c r="S183" s="2" t="str">
        <f t="shared" si="214"/>
        <v/>
      </c>
      <c r="T183" s="2" t="str">
        <f>IF($A183="","",INDEX(v_data!$B$2:$L$1000,MATCH($A183,v_data!$A$3:$A$1000,0)+1,MATCH(LOWER(T$1),v_data!$B$2:$L$2,0)))</f>
        <v/>
      </c>
      <c r="U183" s="2" t="str">
        <f t="shared" si="215"/>
        <v/>
      </c>
      <c r="V183" s="2" t="str">
        <f>IF($A183="","",INDEX(v_data!$B$2:$L$1000,MATCH($A183,v_data!$A$3:$A$1000,0)+1,MATCH(LOWER(V$1),v_data!$B$2:$L$2,0)))</f>
        <v/>
      </c>
      <c r="W183" s="2" t="str">
        <f t="shared" si="216"/>
        <v/>
      </c>
      <c r="X183" s="2" t="str">
        <f>IF($A183="","",INDEX(v_data!$B$2:$L$1000,MATCH($A183,v_data!$A$3:$A$1000,0)+1,MATCH(LOWER(X$1),v_data!$B$2:$L$2,0)))</f>
        <v/>
      </c>
      <c r="Y183" s="2" t="str">
        <f t="shared" si="217"/>
        <v/>
      </c>
      <c r="Z183" s="2" t="str">
        <f>IF($A183="","",INDEX(v_data!$B$2:$L$1000,MATCH($A183,v_data!$A$3:$A$1000,0)+1,MATCH(LOWER(Z$1),v_data!$B$2:$L$2,0)))</f>
        <v/>
      </c>
      <c r="AA183" s="2" t="str">
        <f t="shared" si="218"/>
        <v/>
      </c>
      <c r="AB183" s="2" t="str">
        <f t="shared" si="219"/>
        <v/>
      </c>
      <c r="AC183" s="2">
        <f>(SUM(G183,I183,K183,M183,O183,Q183,S183,U183,W183,Y183,AA183)+IF(AND(G183&gt;0,I183&gt;0,K183&gt;0),100,0))*VLOOKUP(B183,variables!$A$2:$B$6,2,FALSE)</f>
        <v>80</v>
      </c>
      <c r="AD183" s="16" t="str">
        <f>IF($A183="","",INDEX(v_data!$B$2:$X$1000,MATCH($A183,v_data!$A$3:$A$1000,0)+1,MATCH(LOWER("hours"),v_data!$B$2:$X$2,0)))</f>
        <v/>
      </c>
    </row>
    <row r="184" spans="1:30" hidden="1" x14ac:dyDescent="0.25">
      <c r="A184" s="2" t="str">
        <f>IF(ISBLANK(v_data!A183),"",v_data!A183)</f>
        <v/>
      </c>
      <c r="B184" s="2" t="s">
        <v>22</v>
      </c>
      <c r="C184" s="2">
        <f>VLOOKUP(B184,variables!$A$2:$B$6,2,FALSE)</f>
        <v>0.8</v>
      </c>
      <c r="D184" s="4">
        <v>43826</v>
      </c>
      <c r="E184" s="4">
        <v>43431</v>
      </c>
      <c r="F184" s="2" t="str">
        <f>IF($A184="","",INDEX(v_data!$B$2:$L$1000,MATCH($A184,v_data!$A$3:$A$1000,0)+1,MATCH(LOWER(F$1),v_data!$B$2:$L$2,0)))</f>
        <v/>
      </c>
      <c r="G184" s="2" t="str">
        <f t="shared" si="208"/>
        <v/>
      </c>
      <c r="H184" s="2" t="str">
        <f>IF($A184="","",INDEX(v_data!$B$2:$L$1000,MATCH($A184,v_data!$A$3:$A$1000,0)+1,MATCH(LOWER(H$1),v_data!$B$2:$L$2,0)))</f>
        <v/>
      </c>
      <c r="I184" s="2" t="str">
        <f t="shared" si="209"/>
        <v/>
      </c>
      <c r="J184" s="2" t="str">
        <f>IF($A184="","",INDEX(v_data!$B$2:$L$1000,MATCH($A184,v_data!$A$3:$A$1000,0)+1,MATCH(LOWER(J$1),v_data!$B$2:$L$2,0)))</f>
        <v/>
      </c>
      <c r="K184" s="2" t="str">
        <f t="shared" si="210"/>
        <v/>
      </c>
      <c r="L184" s="2" t="str">
        <f>IF($A184="","",INDEX(v_data!$B$2:$L$1000,MATCH($A184,v_data!$A$3:$A$1000,0)+1,MATCH(LOWER(L$1),v_data!$B$2:$L$2,0)))</f>
        <v/>
      </c>
      <c r="M184" s="2" t="str">
        <f t="shared" si="211"/>
        <v/>
      </c>
      <c r="N184" s="2" t="str">
        <f>IF($A184="","",INDEX(v_data!$B$2:$L$1000,MATCH($A184,v_data!$A$3:$A$1000,0)+1,MATCH(LOWER(N$1),v_data!$B$2:$L$2,0)))</f>
        <v/>
      </c>
      <c r="O184" s="2" t="str">
        <f t="shared" si="212"/>
        <v/>
      </c>
      <c r="P184" s="2" t="str">
        <f>IF($A184="","",INDEX(v_data!$B$2:$L$1000,MATCH($A184,v_data!$A$3:$A$1000,0)+1,MATCH(LOWER(P$1),v_data!$B$2:$L$2,0)))</f>
        <v/>
      </c>
      <c r="Q184" s="2" t="str">
        <f t="shared" si="213"/>
        <v/>
      </c>
      <c r="R184" s="2" t="str">
        <f>IF($A184="","",INDEX(v_data!$B$2:$L$1000,MATCH($A184,v_data!$A$3:$A$1000,0)+1,MATCH(LOWER(R$1),v_data!$B$2:$L$2,0)))</f>
        <v/>
      </c>
      <c r="S184" s="2" t="str">
        <f t="shared" si="214"/>
        <v/>
      </c>
      <c r="T184" s="2" t="str">
        <f>IF($A184="","",INDEX(v_data!$B$2:$L$1000,MATCH($A184,v_data!$A$3:$A$1000,0)+1,MATCH(LOWER(T$1),v_data!$B$2:$L$2,0)))</f>
        <v/>
      </c>
      <c r="U184" s="2" t="str">
        <f t="shared" si="215"/>
        <v/>
      </c>
      <c r="V184" s="2" t="str">
        <f>IF($A184="","",INDEX(v_data!$B$2:$L$1000,MATCH($A184,v_data!$A$3:$A$1000,0)+1,MATCH(LOWER(V$1),v_data!$B$2:$L$2,0)))</f>
        <v/>
      </c>
      <c r="W184" s="2" t="str">
        <f t="shared" si="216"/>
        <v/>
      </c>
      <c r="X184" s="2" t="str">
        <f>IF($A184="","",INDEX(v_data!$B$2:$L$1000,MATCH($A184,v_data!$A$3:$A$1000,0)+1,MATCH(LOWER(X$1),v_data!$B$2:$L$2,0)))</f>
        <v/>
      </c>
      <c r="Y184" s="2" t="str">
        <f t="shared" si="217"/>
        <v/>
      </c>
      <c r="Z184" s="2" t="str">
        <f>IF($A184="","",INDEX(v_data!$B$2:$L$1000,MATCH($A184,v_data!$A$3:$A$1000,0)+1,MATCH(LOWER(Z$1),v_data!$B$2:$L$2,0)))</f>
        <v/>
      </c>
      <c r="AA184" s="2" t="str">
        <f t="shared" si="218"/>
        <v/>
      </c>
      <c r="AB184" s="2" t="str">
        <f t="shared" si="219"/>
        <v/>
      </c>
      <c r="AC184" s="2">
        <f>(SUM(G184,I184,K184,M184,O184,Q184,S184,U184,W184,Y184,AA184)+IF(AND(G184&gt;0,I184&gt;0,K184&gt;0),100,0))*VLOOKUP(B184,variables!$A$2:$B$6,2,FALSE)</f>
        <v>80</v>
      </c>
      <c r="AD184" s="16" t="str">
        <f>IF($A184="","",INDEX(v_data!$B$2:$X$1000,MATCH($A184,v_data!$A$3:$A$1000,0)+1,MATCH(LOWER("hours"),v_data!$B$2:$X$2,0)))</f>
        <v/>
      </c>
    </row>
    <row r="185" spans="1:30" hidden="1" x14ac:dyDescent="0.25">
      <c r="A185" s="2" t="str">
        <f>IF(ISBLANK(v_data!A184),"",v_data!A184)</f>
        <v/>
      </c>
      <c r="B185" s="2" t="s">
        <v>22</v>
      </c>
      <c r="C185" s="2">
        <f>VLOOKUP(B185,variables!$A$2:$B$6,2,FALSE)</f>
        <v>0.8</v>
      </c>
      <c r="D185" s="4">
        <v>43826</v>
      </c>
      <c r="E185" s="4">
        <v>43431</v>
      </c>
      <c r="F185" s="2" t="str">
        <f>IF($A185="","",INDEX(v_data!$B$2:$L$1000,MATCH($A185,v_data!$A$3:$A$1000,0)+1,MATCH(LOWER(F$1),v_data!$B$2:$L$2,0)))</f>
        <v/>
      </c>
      <c r="G185" s="2" t="str">
        <f t="shared" si="208"/>
        <v/>
      </c>
      <c r="H185" s="2" t="str">
        <f>IF($A185="","",INDEX(v_data!$B$2:$L$1000,MATCH($A185,v_data!$A$3:$A$1000,0)+1,MATCH(LOWER(H$1),v_data!$B$2:$L$2,0)))</f>
        <v/>
      </c>
      <c r="I185" s="2" t="str">
        <f t="shared" si="209"/>
        <v/>
      </c>
      <c r="J185" s="2" t="str">
        <f>IF($A185="","",INDEX(v_data!$B$2:$L$1000,MATCH($A185,v_data!$A$3:$A$1000,0)+1,MATCH(LOWER(J$1),v_data!$B$2:$L$2,0)))</f>
        <v/>
      </c>
      <c r="K185" s="2" t="str">
        <f t="shared" si="210"/>
        <v/>
      </c>
      <c r="L185" s="2" t="str">
        <f>IF($A185="","",INDEX(v_data!$B$2:$L$1000,MATCH($A185,v_data!$A$3:$A$1000,0)+1,MATCH(LOWER(L$1),v_data!$B$2:$L$2,0)))</f>
        <v/>
      </c>
      <c r="M185" s="2" t="str">
        <f t="shared" si="211"/>
        <v/>
      </c>
      <c r="N185" s="2" t="str">
        <f>IF($A185="","",INDEX(v_data!$B$2:$L$1000,MATCH($A185,v_data!$A$3:$A$1000,0)+1,MATCH(LOWER(N$1),v_data!$B$2:$L$2,0)))</f>
        <v/>
      </c>
      <c r="O185" s="2" t="str">
        <f t="shared" si="212"/>
        <v/>
      </c>
      <c r="P185" s="2" t="str">
        <f>IF($A185="","",INDEX(v_data!$B$2:$L$1000,MATCH($A185,v_data!$A$3:$A$1000,0)+1,MATCH(LOWER(P$1),v_data!$B$2:$L$2,0)))</f>
        <v/>
      </c>
      <c r="Q185" s="2" t="str">
        <f t="shared" si="213"/>
        <v/>
      </c>
      <c r="R185" s="2" t="str">
        <f>IF($A185="","",INDEX(v_data!$B$2:$L$1000,MATCH($A185,v_data!$A$3:$A$1000,0)+1,MATCH(LOWER(R$1),v_data!$B$2:$L$2,0)))</f>
        <v/>
      </c>
      <c r="S185" s="2" t="str">
        <f t="shared" si="214"/>
        <v/>
      </c>
      <c r="T185" s="2" t="str">
        <f>IF($A185="","",INDEX(v_data!$B$2:$L$1000,MATCH($A185,v_data!$A$3:$A$1000,0)+1,MATCH(LOWER(T$1),v_data!$B$2:$L$2,0)))</f>
        <v/>
      </c>
      <c r="U185" s="2" t="str">
        <f t="shared" si="215"/>
        <v/>
      </c>
      <c r="V185" s="2" t="str">
        <f>IF($A185="","",INDEX(v_data!$B$2:$L$1000,MATCH($A185,v_data!$A$3:$A$1000,0)+1,MATCH(LOWER(V$1),v_data!$B$2:$L$2,0)))</f>
        <v/>
      </c>
      <c r="W185" s="2" t="str">
        <f t="shared" si="216"/>
        <v/>
      </c>
      <c r="X185" s="2" t="str">
        <f>IF($A185="","",INDEX(v_data!$B$2:$L$1000,MATCH($A185,v_data!$A$3:$A$1000,0)+1,MATCH(LOWER(X$1),v_data!$B$2:$L$2,0)))</f>
        <v/>
      </c>
      <c r="Y185" s="2" t="str">
        <f t="shared" si="217"/>
        <v/>
      </c>
      <c r="Z185" s="2" t="str">
        <f>IF($A185="","",INDEX(v_data!$B$2:$L$1000,MATCH($A185,v_data!$A$3:$A$1000,0)+1,MATCH(LOWER(Z$1),v_data!$B$2:$L$2,0)))</f>
        <v/>
      </c>
      <c r="AA185" s="2" t="str">
        <f t="shared" si="218"/>
        <v/>
      </c>
      <c r="AB185" s="2" t="str">
        <f t="shared" si="219"/>
        <v/>
      </c>
      <c r="AC185" s="2">
        <f>(SUM(G185,I185,K185,M185,O185,Q185,S185,U185,W185,Y185,AA185)+IF(AND(G185&gt;0,I185&gt;0,K185&gt;0),100,0))*VLOOKUP(B185,variables!$A$2:$B$6,2,FALSE)</f>
        <v>80</v>
      </c>
      <c r="AD185" s="16" t="str">
        <f>IF($A185="","",INDEX(v_data!$B$2:$X$1000,MATCH($A185,v_data!$A$3:$A$1000,0)+1,MATCH(LOWER("hours"),v_data!$B$2:$X$2,0)))</f>
        <v/>
      </c>
    </row>
    <row r="186" spans="1:30" hidden="1" x14ac:dyDescent="0.25">
      <c r="A186" s="2" t="str">
        <f>IF(ISBLANK(v_data!A185),"",v_data!A185)</f>
        <v/>
      </c>
      <c r="B186" s="2" t="s">
        <v>22</v>
      </c>
      <c r="C186" s="2">
        <f>VLOOKUP(B186,variables!$A$2:$B$6,2,FALSE)</f>
        <v>0.8</v>
      </c>
      <c r="D186" s="4">
        <v>43826</v>
      </c>
      <c r="E186" s="4">
        <v>43431</v>
      </c>
      <c r="F186" s="2" t="str">
        <f>IF($A186="","",INDEX(v_data!$B$2:$L$1000,MATCH($A186,v_data!$A$3:$A$1000,0)+1,MATCH(LOWER(F$1),v_data!$B$2:$L$2,0)))</f>
        <v/>
      </c>
      <c r="G186" s="2" t="str">
        <f t="shared" si="208"/>
        <v/>
      </c>
      <c r="H186" s="2" t="str">
        <f>IF($A186="","",INDEX(v_data!$B$2:$L$1000,MATCH($A186,v_data!$A$3:$A$1000,0)+1,MATCH(LOWER(H$1),v_data!$B$2:$L$2,0)))</f>
        <v/>
      </c>
      <c r="I186" s="2" t="str">
        <f t="shared" si="209"/>
        <v/>
      </c>
      <c r="J186" s="2" t="str">
        <f>IF($A186="","",INDEX(v_data!$B$2:$L$1000,MATCH($A186,v_data!$A$3:$A$1000,0)+1,MATCH(LOWER(J$1),v_data!$B$2:$L$2,0)))</f>
        <v/>
      </c>
      <c r="K186" s="2" t="str">
        <f t="shared" si="210"/>
        <v/>
      </c>
      <c r="L186" s="2" t="str">
        <f>IF($A186="","",INDEX(v_data!$B$2:$L$1000,MATCH($A186,v_data!$A$3:$A$1000,0)+1,MATCH(LOWER(L$1),v_data!$B$2:$L$2,0)))</f>
        <v/>
      </c>
      <c r="M186" s="2" t="str">
        <f t="shared" si="211"/>
        <v/>
      </c>
      <c r="N186" s="2" t="str">
        <f>IF($A186="","",INDEX(v_data!$B$2:$L$1000,MATCH($A186,v_data!$A$3:$A$1000,0)+1,MATCH(LOWER(N$1),v_data!$B$2:$L$2,0)))</f>
        <v/>
      </c>
      <c r="O186" s="2" t="str">
        <f t="shared" si="212"/>
        <v/>
      </c>
      <c r="P186" s="2" t="str">
        <f>IF($A186="","",INDEX(v_data!$B$2:$L$1000,MATCH($A186,v_data!$A$3:$A$1000,0)+1,MATCH(LOWER(P$1),v_data!$B$2:$L$2,0)))</f>
        <v/>
      </c>
      <c r="Q186" s="2" t="str">
        <f t="shared" si="213"/>
        <v/>
      </c>
      <c r="R186" s="2" t="str">
        <f>IF($A186="","",INDEX(v_data!$B$2:$L$1000,MATCH($A186,v_data!$A$3:$A$1000,0)+1,MATCH(LOWER(R$1),v_data!$B$2:$L$2,0)))</f>
        <v/>
      </c>
      <c r="S186" s="2" t="str">
        <f t="shared" si="214"/>
        <v/>
      </c>
      <c r="T186" s="2" t="str">
        <f>IF($A186="","",INDEX(v_data!$B$2:$L$1000,MATCH($A186,v_data!$A$3:$A$1000,0)+1,MATCH(LOWER(T$1),v_data!$B$2:$L$2,0)))</f>
        <v/>
      </c>
      <c r="U186" s="2" t="str">
        <f t="shared" si="215"/>
        <v/>
      </c>
      <c r="V186" s="2" t="str">
        <f>IF($A186="","",INDEX(v_data!$B$2:$L$1000,MATCH($A186,v_data!$A$3:$A$1000,0)+1,MATCH(LOWER(V$1),v_data!$B$2:$L$2,0)))</f>
        <v/>
      </c>
      <c r="W186" s="2" t="str">
        <f t="shared" si="216"/>
        <v/>
      </c>
      <c r="X186" s="2" t="str">
        <f>IF($A186="","",INDEX(v_data!$B$2:$L$1000,MATCH($A186,v_data!$A$3:$A$1000,0)+1,MATCH(LOWER(X$1),v_data!$B$2:$L$2,0)))</f>
        <v/>
      </c>
      <c r="Y186" s="2" t="str">
        <f t="shared" si="217"/>
        <v/>
      </c>
      <c r="Z186" s="2" t="str">
        <f>IF($A186="","",INDEX(v_data!$B$2:$L$1000,MATCH($A186,v_data!$A$3:$A$1000,0)+1,MATCH(LOWER(Z$1),v_data!$B$2:$L$2,0)))</f>
        <v/>
      </c>
      <c r="AA186" s="2" t="str">
        <f t="shared" si="218"/>
        <v/>
      </c>
      <c r="AB186" s="2" t="str">
        <f t="shared" si="219"/>
        <v/>
      </c>
      <c r="AC186" s="2">
        <f>(SUM(G186,I186,K186,M186,O186,Q186,S186,U186,W186,Y186,AA186)+IF(AND(G186&gt;0,I186&gt;0,K186&gt;0),100,0))*VLOOKUP(B186,variables!$A$2:$B$6,2,FALSE)</f>
        <v>80</v>
      </c>
      <c r="AD186" s="16" t="str">
        <f>IF($A186="","",INDEX(v_data!$B$2:$X$1000,MATCH($A186,v_data!$A$3:$A$1000,0)+1,MATCH(LOWER("hours"),v_data!$B$2:$X$2,0)))</f>
        <v/>
      </c>
    </row>
    <row r="187" spans="1:30" hidden="1" x14ac:dyDescent="0.25">
      <c r="A187" s="2" t="str">
        <f>IF(ISBLANK(v_data!A186),"",v_data!A186)</f>
        <v/>
      </c>
      <c r="B187" s="2" t="s">
        <v>22</v>
      </c>
      <c r="C187" s="2">
        <f>VLOOKUP(B187,variables!$A$2:$B$6,2,FALSE)</f>
        <v>0.8</v>
      </c>
      <c r="D187" s="4">
        <v>43826</v>
      </c>
      <c r="E187" s="4">
        <v>43431</v>
      </c>
      <c r="F187" s="2" t="str">
        <f>IF($A187="","",INDEX(v_data!$B$2:$L$1000,MATCH($A187,v_data!$A$3:$A$1000,0)+1,MATCH(LOWER(F$1),v_data!$B$2:$L$2,0)))</f>
        <v/>
      </c>
      <c r="G187" s="2" t="str">
        <f t="shared" si="208"/>
        <v/>
      </c>
      <c r="H187" s="2" t="str">
        <f>IF($A187="","",INDEX(v_data!$B$2:$L$1000,MATCH($A187,v_data!$A$3:$A$1000,0)+1,MATCH(LOWER(H$1),v_data!$B$2:$L$2,0)))</f>
        <v/>
      </c>
      <c r="I187" s="2" t="str">
        <f t="shared" si="209"/>
        <v/>
      </c>
      <c r="J187" s="2" t="str">
        <f>IF($A187="","",INDEX(v_data!$B$2:$L$1000,MATCH($A187,v_data!$A$3:$A$1000,0)+1,MATCH(LOWER(J$1),v_data!$B$2:$L$2,0)))</f>
        <v/>
      </c>
      <c r="K187" s="2" t="str">
        <f t="shared" si="210"/>
        <v/>
      </c>
      <c r="L187" s="2" t="str">
        <f>IF($A187="","",INDEX(v_data!$B$2:$L$1000,MATCH($A187,v_data!$A$3:$A$1000,0)+1,MATCH(LOWER(L$1),v_data!$B$2:$L$2,0)))</f>
        <v/>
      </c>
      <c r="M187" s="2" t="str">
        <f t="shared" si="211"/>
        <v/>
      </c>
      <c r="N187" s="2" t="str">
        <f>IF($A187="","",INDEX(v_data!$B$2:$L$1000,MATCH($A187,v_data!$A$3:$A$1000,0)+1,MATCH(LOWER(N$1),v_data!$B$2:$L$2,0)))</f>
        <v/>
      </c>
      <c r="O187" s="2" t="str">
        <f t="shared" si="212"/>
        <v/>
      </c>
      <c r="P187" s="2" t="str">
        <f>IF($A187="","",INDEX(v_data!$B$2:$L$1000,MATCH($A187,v_data!$A$3:$A$1000,0)+1,MATCH(LOWER(P$1),v_data!$B$2:$L$2,0)))</f>
        <v/>
      </c>
      <c r="Q187" s="2" t="str">
        <f t="shared" si="213"/>
        <v/>
      </c>
      <c r="R187" s="2" t="str">
        <f>IF($A187="","",INDEX(v_data!$B$2:$L$1000,MATCH($A187,v_data!$A$3:$A$1000,0)+1,MATCH(LOWER(R$1),v_data!$B$2:$L$2,0)))</f>
        <v/>
      </c>
      <c r="S187" s="2" t="str">
        <f t="shared" si="214"/>
        <v/>
      </c>
      <c r="T187" s="2" t="str">
        <f>IF($A187="","",INDEX(v_data!$B$2:$L$1000,MATCH($A187,v_data!$A$3:$A$1000,0)+1,MATCH(LOWER(T$1),v_data!$B$2:$L$2,0)))</f>
        <v/>
      </c>
      <c r="U187" s="2" t="str">
        <f t="shared" si="215"/>
        <v/>
      </c>
      <c r="V187" s="2" t="str">
        <f>IF($A187="","",INDEX(v_data!$B$2:$L$1000,MATCH($A187,v_data!$A$3:$A$1000,0)+1,MATCH(LOWER(V$1),v_data!$B$2:$L$2,0)))</f>
        <v/>
      </c>
      <c r="W187" s="2" t="str">
        <f t="shared" si="216"/>
        <v/>
      </c>
      <c r="X187" s="2" t="str">
        <f>IF($A187="","",INDEX(v_data!$B$2:$L$1000,MATCH($A187,v_data!$A$3:$A$1000,0)+1,MATCH(LOWER(X$1),v_data!$B$2:$L$2,0)))</f>
        <v/>
      </c>
      <c r="Y187" s="2" t="str">
        <f t="shared" si="217"/>
        <v/>
      </c>
      <c r="Z187" s="2" t="str">
        <f>IF($A187="","",INDEX(v_data!$B$2:$L$1000,MATCH($A187,v_data!$A$3:$A$1000,0)+1,MATCH(LOWER(Z$1),v_data!$B$2:$L$2,0)))</f>
        <v/>
      </c>
      <c r="AA187" s="2" t="str">
        <f t="shared" si="218"/>
        <v/>
      </c>
      <c r="AB187" s="2" t="str">
        <f t="shared" si="219"/>
        <v/>
      </c>
      <c r="AC187" s="2">
        <f>(SUM(G187,I187,K187,M187,O187,Q187,S187,U187,W187,Y187,AA187)+IF(AND(G187&gt;0,I187&gt;0,K187&gt;0),100,0))*VLOOKUP(B187,variables!$A$2:$B$6,2,FALSE)</f>
        <v>80</v>
      </c>
      <c r="AD187" s="16" t="str">
        <f>IF($A187="","",INDEX(v_data!$B$2:$X$1000,MATCH($A187,v_data!$A$3:$A$1000,0)+1,MATCH(LOWER("hours"),v_data!$B$2:$X$2,0)))</f>
        <v/>
      </c>
    </row>
    <row r="188" spans="1:30" hidden="1" x14ac:dyDescent="0.25">
      <c r="A188" s="2" t="str">
        <f>IF(ISBLANK(v_data!A187),"",v_data!A187)</f>
        <v/>
      </c>
      <c r="B188" s="2" t="s">
        <v>22</v>
      </c>
      <c r="C188" s="2">
        <f>VLOOKUP(B188,variables!$A$2:$B$6,2,FALSE)</f>
        <v>0.8</v>
      </c>
      <c r="D188" s="4">
        <v>43826</v>
      </c>
      <c r="E188" s="4">
        <v>43431</v>
      </c>
      <c r="F188" s="2" t="str">
        <f>IF($A188="","",INDEX(v_data!$B$2:$L$1000,MATCH($A188,v_data!$A$3:$A$1000,0)+1,MATCH(LOWER(F$1),v_data!$B$2:$L$2,0)))</f>
        <v/>
      </c>
      <c r="G188" s="2" t="str">
        <f t="shared" si="208"/>
        <v/>
      </c>
      <c r="H188" s="2" t="str">
        <f>IF($A188="","",INDEX(v_data!$B$2:$L$1000,MATCH($A188,v_data!$A$3:$A$1000,0)+1,MATCH(LOWER(H$1),v_data!$B$2:$L$2,0)))</f>
        <v/>
      </c>
      <c r="I188" s="2" t="str">
        <f t="shared" si="209"/>
        <v/>
      </c>
      <c r="J188" s="2" t="str">
        <f>IF($A188="","",INDEX(v_data!$B$2:$L$1000,MATCH($A188,v_data!$A$3:$A$1000,0)+1,MATCH(LOWER(J$1),v_data!$B$2:$L$2,0)))</f>
        <v/>
      </c>
      <c r="K188" s="2" t="str">
        <f t="shared" si="210"/>
        <v/>
      </c>
      <c r="L188" s="2" t="str">
        <f>IF($A188="","",INDEX(v_data!$B$2:$L$1000,MATCH($A188,v_data!$A$3:$A$1000,0)+1,MATCH(LOWER(L$1),v_data!$B$2:$L$2,0)))</f>
        <v/>
      </c>
      <c r="M188" s="2" t="str">
        <f t="shared" si="211"/>
        <v/>
      </c>
      <c r="N188" s="2" t="str">
        <f>IF($A188="","",INDEX(v_data!$B$2:$L$1000,MATCH($A188,v_data!$A$3:$A$1000,0)+1,MATCH(LOWER(N$1),v_data!$B$2:$L$2,0)))</f>
        <v/>
      </c>
      <c r="O188" s="2" t="str">
        <f t="shared" si="212"/>
        <v/>
      </c>
      <c r="P188" s="2" t="str">
        <f>IF($A188="","",INDEX(v_data!$B$2:$L$1000,MATCH($A188,v_data!$A$3:$A$1000,0)+1,MATCH(LOWER(P$1),v_data!$B$2:$L$2,0)))</f>
        <v/>
      </c>
      <c r="Q188" s="2" t="str">
        <f t="shared" si="213"/>
        <v/>
      </c>
      <c r="R188" s="2" t="str">
        <f>IF($A188="","",INDEX(v_data!$B$2:$L$1000,MATCH($A188,v_data!$A$3:$A$1000,0)+1,MATCH(LOWER(R$1),v_data!$B$2:$L$2,0)))</f>
        <v/>
      </c>
      <c r="S188" s="2" t="str">
        <f t="shared" si="214"/>
        <v/>
      </c>
      <c r="T188" s="2" t="str">
        <f>IF($A188="","",INDEX(v_data!$B$2:$L$1000,MATCH($A188,v_data!$A$3:$A$1000,0)+1,MATCH(LOWER(T$1),v_data!$B$2:$L$2,0)))</f>
        <v/>
      </c>
      <c r="U188" s="2" t="str">
        <f t="shared" si="215"/>
        <v/>
      </c>
      <c r="V188" s="2" t="str">
        <f>IF($A188="","",INDEX(v_data!$B$2:$L$1000,MATCH($A188,v_data!$A$3:$A$1000,0)+1,MATCH(LOWER(V$1),v_data!$B$2:$L$2,0)))</f>
        <v/>
      </c>
      <c r="W188" s="2" t="str">
        <f t="shared" si="216"/>
        <v/>
      </c>
      <c r="X188" s="2" t="str">
        <f>IF($A188="","",INDEX(v_data!$B$2:$L$1000,MATCH($A188,v_data!$A$3:$A$1000,0)+1,MATCH(LOWER(X$1),v_data!$B$2:$L$2,0)))</f>
        <v/>
      </c>
      <c r="Y188" s="2" t="str">
        <f t="shared" si="217"/>
        <v/>
      </c>
      <c r="Z188" s="2" t="str">
        <f>IF($A188="","",INDEX(v_data!$B$2:$L$1000,MATCH($A188,v_data!$A$3:$A$1000,0)+1,MATCH(LOWER(Z$1),v_data!$B$2:$L$2,0)))</f>
        <v/>
      </c>
      <c r="AA188" s="2" t="str">
        <f t="shared" si="218"/>
        <v/>
      </c>
      <c r="AB188" s="2" t="str">
        <f t="shared" si="219"/>
        <v/>
      </c>
      <c r="AC188" s="2">
        <f>(SUM(G188,I188,K188,M188,O188,Q188,S188,U188,W188,Y188,AA188)+IF(AND(G188&gt;0,I188&gt;0,K188&gt;0),100,0))*VLOOKUP(B188,variables!$A$2:$B$6,2,FALSE)</f>
        <v>80</v>
      </c>
      <c r="AD188" s="16" t="str">
        <f>IF($A188="","",INDEX(v_data!$B$2:$X$1000,MATCH($A188,v_data!$A$3:$A$1000,0)+1,MATCH(LOWER("hours"),v_data!$B$2:$X$2,0)))</f>
        <v/>
      </c>
    </row>
    <row r="189" spans="1:30" hidden="1" x14ac:dyDescent="0.25">
      <c r="A189" s="2" t="str">
        <f>IF(ISBLANK(v_data!A188),"",v_data!A188)</f>
        <v/>
      </c>
      <c r="B189" s="2" t="s">
        <v>22</v>
      </c>
      <c r="C189" s="2">
        <f>VLOOKUP(B189,variables!$A$2:$B$6,2,FALSE)</f>
        <v>0.8</v>
      </c>
      <c r="D189" s="4">
        <v>43826</v>
      </c>
      <c r="E189" s="4">
        <v>43431</v>
      </c>
      <c r="F189" s="2" t="str">
        <f>IF($A189="","",INDEX(v_data!$B$2:$L$1000,MATCH($A189,v_data!$A$3:$A$1000,0)+1,MATCH(LOWER(F$1),v_data!$B$2:$L$2,0)))</f>
        <v/>
      </c>
      <c r="G189" s="2" t="str">
        <f t="shared" si="208"/>
        <v/>
      </c>
      <c r="H189" s="2" t="str">
        <f>IF($A189="","",INDEX(v_data!$B$2:$L$1000,MATCH($A189,v_data!$A$3:$A$1000,0)+1,MATCH(LOWER(H$1),v_data!$B$2:$L$2,0)))</f>
        <v/>
      </c>
      <c r="I189" s="2" t="str">
        <f t="shared" si="209"/>
        <v/>
      </c>
      <c r="J189" s="2" t="str">
        <f>IF($A189="","",INDEX(v_data!$B$2:$L$1000,MATCH($A189,v_data!$A$3:$A$1000,0)+1,MATCH(LOWER(J$1),v_data!$B$2:$L$2,0)))</f>
        <v/>
      </c>
      <c r="K189" s="2" t="str">
        <f t="shared" si="210"/>
        <v/>
      </c>
      <c r="L189" s="2" t="str">
        <f>IF($A189="","",INDEX(v_data!$B$2:$L$1000,MATCH($A189,v_data!$A$3:$A$1000,0)+1,MATCH(LOWER(L$1),v_data!$B$2:$L$2,0)))</f>
        <v/>
      </c>
      <c r="M189" s="2" t="str">
        <f t="shared" si="211"/>
        <v/>
      </c>
      <c r="N189" s="2" t="str">
        <f>IF($A189="","",INDEX(v_data!$B$2:$L$1000,MATCH($A189,v_data!$A$3:$A$1000,0)+1,MATCH(LOWER(N$1),v_data!$B$2:$L$2,0)))</f>
        <v/>
      </c>
      <c r="O189" s="2" t="str">
        <f t="shared" si="212"/>
        <v/>
      </c>
      <c r="P189" s="2" t="str">
        <f>IF($A189="","",INDEX(v_data!$B$2:$L$1000,MATCH($A189,v_data!$A$3:$A$1000,0)+1,MATCH(LOWER(P$1),v_data!$B$2:$L$2,0)))</f>
        <v/>
      </c>
      <c r="Q189" s="2" t="str">
        <f t="shared" si="213"/>
        <v/>
      </c>
      <c r="R189" s="2" t="str">
        <f>IF($A189="","",INDEX(v_data!$B$2:$L$1000,MATCH($A189,v_data!$A$3:$A$1000,0)+1,MATCH(LOWER(R$1),v_data!$B$2:$L$2,0)))</f>
        <v/>
      </c>
      <c r="S189" s="2" t="str">
        <f t="shared" si="214"/>
        <v/>
      </c>
      <c r="T189" s="2" t="str">
        <f>IF($A189="","",INDEX(v_data!$B$2:$L$1000,MATCH($A189,v_data!$A$3:$A$1000,0)+1,MATCH(LOWER(T$1),v_data!$B$2:$L$2,0)))</f>
        <v/>
      </c>
      <c r="U189" s="2" t="str">
        <f t="shared" si="215"/>
        <v/>
      </c>
      <c r="V189" s="2" t="str">
        <f>IF($A189="","",INDEX(v_data!$B$2:$L$1000,MATCH($A189,v_data!$A$3:$A$1000,0)+1,MATCH(LOWER(V$1),v_data!$B$2:$L$2,0)))</f>
        <v/>
      </c>
      <c r="W189" s="2" t="str">
        <f t="shared" si="216"/>
        <v/>
      </c>
      <c r="X189" s="2" t="str">
        <f>IF($A189="","",INDEX(v_data!$B$2:$L$1000,MATCH($A189,v_data!$A$3:$A$1000,0)+1,MATCH(LOWER(X$1),v_data!$B$2:$L$2,0)))</f>
        <v/>
      </c>
      <c r="Y189" s="2" t="str">
        <f t="shared" si="217"/>
        <v/>
      </c>
      <c r="Z189" s="2" t="str">
        <f>IF($A189="","",INDEX(v_data!$B$2:$L$1000,MATCH($A189,v_data!$A$3:$A$1000,0)+1,MATCH(LOWER(Z$1),v_data!$B$2:$L$2,0)))</f>
        <v/>
      </c>
      <c r="AA189" s="2" t="str">
        <f t="shared" si="218"/>
        <v/>
      </c>
      <c r="AB189" s="2" t="str">
        <f t="shared" si="219"/>
        <v/>
      </c>
      <c r="AC189" s="2">
        <f>(SUM(G189,I189,K189,M189,O189,Q189,S189,U189,W189,Y189,AA189)+IF(AND(G189&gt;0,I189&gt;0,K189&gt;0),100,0))*VLOOKUP(B189,variables!$A$2:$B$6,2,FALSE)</f>
        <v>80</v>
      </c>
      <c r="AD189" s="16" t="str">
        <f>IF($A189="","",INDEX(v_data!$B$2:$X$1000,MATCH($A189,v_data!$A$3:$A$1000,0)+1,MATCH(LOWER("hours"),v_data!$B$2:$X$2,0)))</f>
        <v/>
      </c>
    </row>
    <row r="190" spans="1:30" hidden="1" x14ac:dyDescent="0.25">
      <c r="A190" s="2" t="str">
        <f>IF(ISBLANK(v_data!A189),"",v_data!A189)</f>
        <v/>
      </c>
      <c r="B190" s="2" t="s">
        <v>22</v>
      </c>
      <c r="C190" s="2">
        <f>VLOOKUP(B190,variables!$A$2:$B$6,2,FALSE)</f>
        <v>0.8</v>
      </c>
      <c r="D190" s="4">
        <v>43826</v>
      </c>
      <c r="E190" s="4">
        <v>43431</v>
      </c>
      <c r="F190" s="2" t="str">
        <f>IF($A190="","",INDEX(v_data!$B$2:$L$1000,MATCH($A190,v_data!$A$3:$A$1000,0)+1,MATCH(LOWER(F$1),v_data!$B$2:$L$2,0)))</f>
        <v/>
      </c>
      <c r="G190" s="2" t="str">
        <f t="shared" si="208"/>
        <v/>
      </c>
      <c r="H190" s="2" t="str">
        <f>IF($A190="","",INDEX(v_data!$B$2:$L$1000,MATCH($A190,v_data!$A$3:$A$1000,0)+1,MATCH(LOWER(H$1),v_data!$B$2:$L$2,0)))</f>
        <v/>
      </c>
      <c r="I190" s="2" t="str">
        <f t="shared" si="209"/>
        <v/>
      </c>
      <c r="J190" s="2" t="str">
        <f>IF($A190="","",INDEX(v_data!$B$2:$L$1000,MATCH($A190,v_data!$A$3:$A$1000,0)+1,MATCH(LOWER(J$1),v_data!$B$2:$L$2,0)))</f>
        <v/>
      </c>
      <c r="K190" s="2" t="str">
        <f t="shared" si="210"/>
        <v/>
      </c>
      <c r="L190" s="2" t="str">
        <f>IF($A190="","",INDEX(v_data!$B$2:$L$1000,MATCH($A190,v_data!$A$3:$A$1000,0)+1,MATCH(LOWER(L$1),v_data!$B$2:$L$2,0)))</f>
        <v/>
      </c>
      <c r="M190" s="2" t="str">
        <f t="shared" si="211"/>
        <v/>
      </c>
      <c r="N190" s="2" t="str">
        <f>IF($A190="","",INDEX(v_data!$B$2:$L$1000,MATCH($A190,v_data!$A$3:$A$1000,0)+1,MATCH(LOWER(N$1),v_data!$B$2:$L$2,0)))</f>
        <v/>
      </c>
      <c r="O190" s="2" t="str">
        <f t="shared" si="212"/>
        <v/>
      </c>
      <c r="P190" s="2" t="str">
        <f>IF($A190="","",INDEX(v_data!$B$2:$L$1000,MATCH($A190,v_data!$A$3:$A$1000,0)+1,MATCH(LOWER(P$1),v_data!$B$2:$L$2,0)))</f>
        <v/>
      </c>
      <c r="Q190" s="2" t="str">
        <f t="shared" si="213"/>
        <v/>
      </c>
      <c r="R190" s="2" t="str">
        <f>IF($A190="","",INDEX(v_data!$B$2:$L$1000,MATCH($A190,v_data!$A$3:$A$1000,0)+1,MATCH(LOWER(R$1),v_data!$B$2:$L$2,0)))</f>
        <v/>
      </c>
      <c r="S190" s="2" t="str">
        <f t="shared" si="214"/>
        <v/>
      </c>
      <c r="T190" s="2" t="str">
        <f>IF($A190="","",INDEX(v_data!$B$2:$L$1000,MATCH($A190,v_data!$A$3:$A$1000,0)+1,MATCH(LOWER(T$1),v_data!$B$2:$L$2,0)))</f>
        <v/>
      </c>
      <c r="U190" s="2" t="str">
        <f t="shared" si="215"/>
        <v/>
      </c>
      <c r="V190" s="2" t="str">
        <f>IF($A190="","",INDEX(v_data!$B$2:$L$1000,MATCH($A190,v_data!$A$3:$A$1000,0)+1,MATCH(LOWER(V$1),v_data!$B$2:$L$2,0)))</f>
        <v/>
      </c>
      <c r="W190" s="2" t="str">
        <f t="shared" si="216"/>
        <v/>
      </c>
      <c r="X190" s="2" t="str">
        <f>IF($A190="","",INDEX(v_data!$B$2:$L$1000,MATCH($A190,v_data!$A$3:$A$1000,0)+1,MATCH(LOWER(X$1),v_data!$B$2:$L$2,0)))</f>
        <v/>
      </c>
      <c r="Y190" s="2" t="str">
        <f t="shared" si="217"/>
        <v/>
      </c>
      <c r="Z190" s="2" t="str">
        <f>IF($A190="","",INDEX(v_data!$B$2:$L$1000,MATCH($A190,v_data!$A$3:$A$1000,0)+1,MATCH(LOWER(Z$1),v_data!$B$2:$L$2,0)))</f>
        <v/>
      </c>
      <c r="AA190" s="2" t="str">
        <f t="shared" si="218"/>
        <v/>
      </c>
      <c r="AB190" s="2" t="str">
        <f t="shared" si="219"/>
        <v/>
      </c>
      <c r="AC190" s="2">
        <f>(SUM(G190,I190,K190,M190,O190,Q190,S190,U190,W190,Y190,AA190)+IF(AND(G190&gt;0,I190&gt;0,K190&gt;0),100,0))*VLOOKUP(B190,variables!$A$2:$B$6,2,FALSE)</f>
        <v>80</v>
      </c>
      <c r="AD190" s="16" t="str">
        <f>IF($A190="","",INDEX(v_data!$B$2:$X$1000,MATCH($A190,v_data!$A$3:$A$1000,0)+1,MATCH(LOWER("hours"),v_data!$B$2:$X$2,0)))</f>
        <v/>
      </c>
    </row>
    <row r="191" spans="1:30" hidden="1" x14ac:dyDescent="0.25">
      <c r="A191" s="2" t="str">
        <f>IF(ISBLANK(v_data!A190),"",v_data!A190)</f>
        <v/>
      </c>
      <c r="B191" s="2" t="s">
        <v>22</v>
      </c>
      <c r="C191" s="2">
        <f>VLOOKUP(B191,variables!$A$2:$B$6,2,FALSE)</f>
        <v>0.8</v>
      </c>
      <c r="D191" s="4">
        <v>43826</v>
      </c>
      <c r="E191" s="4">
        <v>43431</v>
      </c>
      <c r="F191" s="2" t="str">
        <f>IF($A191="","",INDEX(v_data!$B$2:$L$1000,MATCH($A191,v_data!$A$3:$A$1000,0)+1,MATCH(LOWER(F$1),v_data!$B$2:$L$2,0)))</f>
        <v/>
      </c>
      <c r="G191" s="2" t="str">
        <f t="shared" si="208"/>
        <v/>
      </c>
      <c r="H191" s="2" t="str">
        <f>IF($A191="","",INDEX(v_data!$B$2:$L$1000,MATCH($A191,v_data!$A$3:$A$1000,0)+1,MATCH(LOWER(H$1),v_data!$B$2:$L$2,0)))</f>
        <v/>
      </c>
      <c r="I191" s="2" t="str">
        <f t="shared" si="209"/>
        <v/>
      </c>
      <c r="J191" s="2" t="str">
        <f>IF($A191="","",INDEX(v_data!$B$2:$L$1000,MATCH($A191,v_data!$A$3:$A$1000,0)+1,MATCH(LOWER(J$1),v_data!$B$2:$L$2,0)))</f>
        <v/>
      </c>
      <c r="K191" s="2" t="str">
        <f t="shared" si="210"/>
        <v/>
      </c>
      <c r="L191" s="2" t="str">
        <f>IF($A191="","",INDEX(v_data!$B$2:$L$1000,MATCH($A191,v_data!$A$3:$A$1000,0)+1,MATCH(LOWER(L$1),v_data!$B$2:$L$2,0)))</f>
        <v/>
      </c>
      <c r="M191" s="2" t="str">
        <f t="shared" si="211"/>
        <v/>
      </c>
      <c r="N191" s="2" t="str">
        <f>IF($A191="","",INDEX(v_data!$B$2:$L$1000,MATCH($A191,v_data!$A$3:$A$1000,0)+1,MATCH(LOWER(N$1),v_data!$B$2:$L$2,0)))</f>
        <v/>
      </c>
      <c r="O191" s="2" t="str">
        <f t="shared" si="212"/>
        <v/>
      </c>
      <c r="P191" s="2" t="str">
        <f>IF($A191="","",INDEX(v_data!$B$2:$L$1000,MATCH($A191,v_data!$A$3:$A$1000,0)+1,MATCH(LOWER(P$1),v_data!$B$2:$L$2,0)))</f>
        <v/>
      </c>
      <c r="Q191" s="2" t="str">
        <f t="shared" si="213"/>
        <v/>
      </c>
      <c r="R191" s="2" t="str">
        <f>IF($A191="","",INDEX(v_data!$B$2:$L$1000,MATCH($A191,v_data!$A$3:$A$1000,0)+1,MATCH(LOWER(R$1),v_data!$B$2:$L$2,0)))</f>
        <v/>
      </c>
      <c r="S191" s="2" t="str">
        <f t="shared" si="214"/>
        <v/>
      </c>
      <c r="T191" s="2" t="str">
        <f>IF($A191="","",INDEX(v_data!$B$2:$L$1000,MATCH($A191,v_data!$A$3:$A$1000,0)+1,MATCH(LOWER(T$1),v_data!$B$2:$L$2,0)))</f>
        <v/>
      </c>
      <c r="U191" s="2" t="str">
        <f t="shared" si="215"/>
        <v/>
      </c>
      <c r="V191" s="2" t="str">
        <f>IF($A191="","",INDEX(v_data!$B$2:$L$1000,MATCH($A191,v_data!$A$3:$A$1000,0)+1,MATCH(LOWER(V$1),v_data!$B$2:$L$2,0)))</f>
        <v/>
      </c>
      <c r="W191" s="2" t="str">
        <f t="shared" si="216"/>
        <v/>
      </c>
      <c r="X191" s="2" t="str">
        <f>IF($A191="","",INDEX(v_data!$B$2:$L$1000,MATCH($A191,v_data!$A$3:$A$1000,0)+1,MATCH(LOWER(X$1),v_data!$B$2:$L$2,0)))</f>
        <v/>
      </c>
      <c r="Y191" s="2" t="str">
        <f t="shared" si="217"/>
        <v/>
      </c>
      <c r="Z191" s="2" t="str">
        <f>IF($A191="","",INDEX(v_data!$B$2:$L$1000,MATCH($A191,v_data!$A$3:$A$1000,0)+1,MATCH(LOWER(Z$1),v_data!$B$2:$L$2,0)))</f>
        <v/>
      </c>
      <c r="AA191" s="2" t="str">
        <f t="shared" si="218"/>
        <v/>
      </c>
      <c r="AB191" s="2" t="str">
        <f t="shared" si="219"/>
        <v/>
      </c>
      <c r="AC191" s="2">
        <f>(SUM(G191,I191,K191,M191,O191,Q191,S191,U191,W191,Y191,AA191)+IF(AND(G191&gt;0,I191&gt;0,K191&gt;0),100,0))*VLOOKUP(B191,variables!$A$2:$B$6,2,FALSE)</f>
        <v>80</v>
      </c>
      <c r="AD191" s="16" t="str">
        <f>IF($A191="","",INDEX(v_data!$B$2:$X$1000,MATCH($A191,v_data!$A$3:$A$1000,0)+1,MATCH(LOWER("hours"),v_data!$B$2:$X$2,0)))</f>
        <v/>
      </c>
    </row>
    <row r="192" spans="1:30" hidden="1" x14ac:dyDescent="0.25">
      <c r="A192" s="2" t="str">
        <f>IF(ISBLANK(v_data!A191),"",v_data!A191)</f>
        <v/>
      </c>
      <c r="B192" s="2" t="s">
        <v>22</v>
      </c>
      <c r="C192" s="2">
        <f>VLOOKUP(B192,variables!$A$2:$B$6,2,FALSE)</f>
        <v>0.8</v>
      </c>
      <c r="D192" s="4">
        <v>43826</v>
      </c>
      <c r="E192" s="4">
        <v>43431</v>
      </c>
      <c r="F192" s="2" t="str">
        <f>IF($A192="","",INDEX(v_data!$B$2:$L$1000,MATCH($A192,v_data!$A$3:$A$1000,0)+1,MATCH(LOWER(F$1),v_data!$B$2:$L$2,0)))</f>
        <v/>
      </c>
      <c r="G192" s="2" t="str">
        <f t="shared" si="208"/>
        <v/>
      </c>
      <c r="H192" s="2" t="str">
        <f>IF($A192="","",INDEX(v_data!$B$2:$L$1000,MATCH($A192,v_data!$A$3:$A$1000,0)+1,MATCH(LOWER(H$1),v_data!$B$2:$L$2,0)))</f>
        <v/>
      </c>
      <c r="I192" s="2" t="str">
        <f t="shared" si="209"/>
        <v/>
      </c>
      <c r="J192" s="2" t="str">
        <f>IF($A192="","",INDEX(v_data!$B$2:$L$1000,MATCH($A192,v_data!$A$3:$A$1000,0)+1,MATCH(LOWER(J$1),v_data!$B$2:$L$2,0)))</f>
        <v/>
      </c>
      <c r="K192" s="2" t="str">
        <f t="shared" si="210"/>
        <v/>
      </c>
      <c r="L192" s="2" t="str">
        <f>IF($A192="","",INDEX(v_data!$B$2:$L$1000,MATCH($A192,v_data!$A$3:$A$1000,0)+1,MATCH(LOWER(L$1),v_data!$B$2:$L$2,0)))</f>
        <v/>
      </c>
      <c r="M192" s="2" t="str">
        <f t="shared" si="211"/>
        <v/>
      </c>
      <c r="N192" s="2" t="str">
        <f>IF($A192="","",INDEX(v_data!$B$2:$L$1000,MATCH($A192,v_data!$A$3:$A$1000,0)+1,MATCH(LOWER(N$1),v_data!$B$2:$L$2,0)))</f>
        <v/>
      </c>
      <c r="O192" s="2" t="str">
        <f t="shared" si="212"/>
        <v/>
      </c>
      <c r="P192" s="2" t="str">
        <f>IF($A192="","",INDEX(v_data!$B$2:$L$1000,MATCH($A192,v_data!$A$3:$A$1000,0)+1,MATCH(LOWER(P$1),v_data!$B$2:$L$2,0)))</f>
        <v/>
      </c>
      <c r="Q192" s="2" t="str">
        <f t="shared" si="213"/>
        <v/>
      </c>
      <c r="R192" s="2" t="str">
        <f>IF($A192="","",INDEX(v_data!$B$2:$L$1000,MATCH($A192,v_data!$A$3:$A$1000,0)+1,MATCH(LOWER(R$1),v_data!$B$2:$L$2,0)))</f>
        <v/>
      </c>
      <c r="S192" s="2" t="str">
        <f t="shared" si="214"/>
        <v/>
      </c>
      <c r="T192" s="2" t="str">
        <f>IF($A192="","",INDEX(v_data!$B$2:$L$1000,MATCH($A192,v_data!$A$3:$A$1000,0)+1,MATCH(LOWER(T$1),v_data!$B$2:$L$2,0)))</f>
        <v/>
      </c>
      <c r="U192" s="2" t="str">
        <f t="shared" si="215"/>
        <v/>
      </c>
      <c r="V192" s="2" t="str">
        <f>IF($A192="","",INDEX(v_data!$B$2:$L$1000,MATCH($A192,v_data!$A$3:$A$1000,0)+1,MATCH(LOWER(V$1),v_data!$B$2:$L$2,0)))</f>
        <v/>
      </c>
      <c r="W192" s="2" t="str">
        <f t="shared" si="216"/>
        <v/>
      </c>
      <c r="X192" s="2" t="str">
        <f>IF($A192="","",INDEX(v_data!$B$2:$L$1000,MATCH($A192,v_data!$A$3:$A$1000,0)+1,MATCH(LOWER(X$1),v_data!$B$2:$L$2,0)))</f>
        <v/>
      </c>
      <c r="Y192" s="2" t="str">
        <f t="shared" si="217"/>
        <v/>
      </c>
      <c r="Z192" s="2" t="str">
        <f>IF($A192="","",INDEX(v_data!$B$2:$L$1000,MATCH($A192,v_data!$A$3:$A$1000,0)+1,MATCH(LOWER(Z$1),v_data!$B$2:$L$2,0)))</f>
        <v/>
      </c>
      <c r="AA192" s="2" t="str">
        <f t="shared" si="218"/>
        <v/>
      </c>
      <c r="AB192" s="2" t="str">
        <f t="shared" si="219"/>
        <v/>
      </c>
      <c r="AC192" s="2">
        <f>(SUM(G192,I192,K192,M192,O192,Q192,S192,U192,W192,Y192,AA192)+IF(AND(G192&gt;0,I192&gt;0,K192&gt;0),100,0))*VLOOKUP(B192,variables!$A$2:$B$6,2,FALSE)</f>
        <v>80</v>
      </c>
      <c r="AD192" s="16" t="str">
        <f>IF($A192="","",INDEX(v_data!$B$2:$X$1000,MATCH($A192,v_data!$A$3:$A$1000,0)+1,MATCH(LOWER("hours"),v_data!$B$2:$X$2,0)))</f>
        <v/>
      </c>
    </row>
    <row r="193" spans="1:30" hidden="1" x14ac:dyDescent="0.25">
      <c r="A193" s="2" t="str">
        <f>IF(ISBLANK(v_data!A192),"",v_data!A192)</f>
        <v/>
      </c>
      <c r="B193" s="2" t="s">
        <v>22</v>
      </c>
      <c r="C193" s="2">
        <f>VLOOKUP(B193,variables!$A$2:$B$6,2,FALSE)</f>
        <v>0.8</v>
      </c>
      <c r="D193" s="4">
        <v>43826</v>
      </c>
      <c r="E193" s="4">
        <v>43431</v>
      </c>
      <c r="F193" s="2" t="str">
        <f>IF($A193="","",INDEX(v_data!$B$2:$L$1000,MATCH($A193,v_data!$A$3:$A$1000,0)+1,MATCH(LOWER(F$1),v_data!$B$2:$L$2,0)))</f>
        <v/>
      </c>
      <c r="G193" s="2" t="str">
        <f t="shared" si="208"/>
        <v/>
      </c>
      <c r="H193" s="2" t="str">
        <f>IF($A193="","",INDEX(v_data!$B$2:$L$1000,MATCH($A193,v_data!$A$3:$A$1000,0)+1,MATCH(LOWER(H$1),v_data!$B$2:$L$2,0)))</f>
        <v/>
      </c>
      <c r="I193" s="2" t="str">
        <f t="shared" si="209"/>
        <v/>
      </c>
      <c r="J193" s="2" t="str">
        <f>IF($A193="","",INDEX(v_data!$B$2:$L$1000,MATCH($A193,v_data!$A$3:$A$1000,0)+1,MATCH(LOWER(J$1),v_data!$B$2:$L$2,0)))</f>
        <v/>
      </c>
      <c r="K193" s="2" t="str">
        <f t="shared" si="210"/>
        <v/>
      </c>
      <c r="L193" s="2" t="str">
        <f>IF($A193="","",INDEX(v_data!$B$2:$L$1000,MATCH($A193,v_data!$A$3:$A$1000,0)+1,MATCH(LOWER(L$1),v_data!$B$2:$L$2,0)))</f>
        <v/>
      </c>
      <c r="M193" s="2" t="str">
        <f t="shared" si="211"/>
        <v/>
      </c>
      <c r="N193" s="2" t="str">
        <f>IF($A193="","",INDEX(v_data!$B$2:$L$1000,MATCH($A193,v_data!$A$3:$A$1000,0)+1,MATCH(LOWER(N$1),v_data!$B$2:$L$2,0)))</f>
        <v/>
      </c>
      <c r="O193" s="2" t="str">
        <f t="shared" si="212"/>
        <v/>
      </c>
      <c r="P193" s="2" t="str">
        <f>IF($A193="","",INDEX(v_data!$B$2:$L$1000,MATCH($A193,v_data!$A$3:$A$1000,0)+1,MATCH(LOWER(P$1),v_data!$B$2:$L$2,0)))</f>
        <v/>
      </c>
      <c r="Q193" s="2" t="str">
        <f t="shared" si="213"/>
        <v/>
      </c>
      <c r="R193" s="2" t="str">
        <f>IF($A193="","",INDEX(v_data!$B$2:$L$1000,MATCH($A193,v_data!$A$3:$A$1000,0)+1,MATCH(LOWER(R$1),v_data!$B$2:$L$2,0)))</f>
        <v/>
      </c>
      <c r="S193" s="2" t="str">
        <f t="shared" si="214"/>
        <v/>
      </c>
      <c r="T193" s="2" t="str">
        <f>IF($A193="","",INDEX(v_data!$B$2:$L$1000,MATCH($A193,v_data!$A$3:$A$1000,0)+1,MATCH(LOWER(T$1),v_data!$B$2:$L$2,0)))</f>
        <v/>
      </c>
      <c r="U193" s="2" t="str">
        <f t="shared" si="215"/>
        <v/>
      </c>
      <c r="V193" s="2" t="str">
        <f>IF($A193="","",INDEX(v_data!$B$2:$L$1000,MATCH($A193,v_data!$A$3:$A$1000,0)+1,MATCH(LOWER(V$1),v_data!$B$2:$L$2,0)))</f>
        <v/>
      </c>
      <c r="W193" s="2" t="str">
        <f t="shared" si="216"/>
        <v/>
      </c>
      <c r="X193" s="2" t="str">
        <f>IF($A193="","",INDEX(v_data!$B$2:$L$1000,MATCH($A193,v_data!$A$3:$A$1000,0)+1,MATCH(LOWER(X$1),v_data!$B$2:$L$2,0)))</f>
        <v/>
      </c>
      <c r="Y193" s="2" t="str">
        <f t="shared" si="217"/>
        <v/>
      </c>
      <c r="Z193" s="2" t="str">
        <f>IF($A193="","",INDEX(v_data!$B$2:$L$1000,MATCH($A193,v_data!$A$3:$A$1000,0)+1,MATCH(LOWER(Z$1),v_data!$B$2:$L$2,0)))</f>
        <v/>
      </c>
      <c r="AA193" s="2" t="str">
        <f t="shared" si="218"/>
        <v/>
      </c>
      <c r="AB193" s="2" t="str">
        <f t="shared" si="219"/>
        <v/>
      </c>
      <c r="AC193" s="2">
        <f>(SUM(G193,I193,K193,M193,O193,Q193,S193,U193,W193,Y193,AA193)+IF(AND(G193&gt;0,I193&gt;0,K193&gt;0),100,0))*VLOOKUP(B193,variables!$A$2:$B$6,2,FALSE)</f>
        <v>80</v>
      </c>
      <c r="AD193" s="16" t="str">
        <f>IF($A193="","",INDEX(v_data!$B$2:$X$1000,MATCH($A193,v_data!$A$3:$A$1000,0)+1,MATCH(LOWER("hours"),v_data!$B$2:$X$2,0)))</f>
        <v/>
      </c>
    </row>
    <row r="194" spans="1:30" hidden="1" x14ac:dyDescent="0.25">
      <c r="A194" s="2" t="str">
        <f>IF(ISBLANK(v_data!A193),"",v_data!A193)</f>
        <v/>
      </c>
      <c r="B194" s="2" t="s">
        <v>22</v>
      </c>
      <c r="C194" s="2">
        <f>VLOOKUP(B194,variables!$A$2:$B$6,2,FALSE)</f>
        <v>0.8</v>
      </c>
      <c r="D194" s="4">
        <v>43826</v>
      </c>
      <c r="E194" s="4">
        <v>43431</v>
      </c>
      <c r="F194" s="2" t="str">
        <f>IF($A194="","",INDEX(v_data!$B$2:$L$1000,MATCH($A194,v_data!$A$3:$A$1000,0)+1,MATCH(LOWER(F$1),v_data!$B$2:$L$2,0)))</f>
        <v/>
      </c>
      <c r="G194" s="2" t="str">
        <f t="shared" si="208"/>
        <v/>
      </c>
      <c r="H194" s="2" t="str">
        <f>IF($A194="","",INDEX(v_data!$B$2:$L$1000,MATCH($A194,v_data!$A$3:$A$1000,0)+1,MATCH(LOWER(H$1),v_data!$B$2:$L$2,0)))</f>
        <v/>
      </c>
      <c r="I194" s="2" t="str">
        <f t="shared" si="209"/>
        <v/>
      </c>
      <c r="J194" s="2" t="str">
        <f>IF($A194="","",INDEX(v_data!$B$2:$L$1000,MATCH($A194,v_data!$A$3:$A$1000,0)+1,MATCH(LOWER(J$1),v_data!$B$2:$L$2,0)))</f>
        <v/>
      </c>
      <c r="K194" s="2" t="str">
        <f t="shared" si="210"/>
        <v/>
      </c>
      <c r="L194" s="2" t="str">
        <f>IF($A194="","",INDEX(v_data!$B$2:$L$1000,MATCH($A194,v_data!$A$3:$A$1000,0)+1,MATCH(LOWER(L$1),v_data!$B$2:$L$2,0)))</f>
        <v/>
      </c>
      <c r="M194" s="2" t="str">
        <f t="shared" si="211"/>
        <v/>
      </c>
      <c r="N194" s="2" t="str">
        <f>IF($A194="","",INDEX(v_data!$B$2:$L$1000,MATCH($A194,v_data!$A$3:$A$1000,0)+1,MATCH(LOWER(N$1),v_data!$B$2:$L$2,0)))</f>
        <v/>
      </c>
      <c r="O194" s="2" t="str">
        <f t="shared" si="212"/>
        <v/>
      </c>
      <c r="P194" s="2" t="str">
        <f>IF($A194="","",INDEX(v_data!$B$2:$L$1000,MATCH($A194,v_data!$A$3:$A$1000,0)+1,MATCH(LOWER(P$1),v_data!$B$2:$L$2,0)))</f>
        <v/>
      </c>
      <c r="Q194" s="2" t="str">
        <f t="shared" si="213"/>
        <v/>
      </c>
      <c r="R194" s="2" t="str">
        <f>IF($A194="","",INDEX(v_data!$B$2:$L$1000,MATCH($A194,v_data!$A$3:$A$1000,0)+1,MATCH(LOWER(R$1),v_data!$B$2:$L$2,0)))</f>
        <v/>
      </c>
      <c r="S194" s="2" t="str">
        <f t="shared" si="214"/>
        <v/>
      </c>
      <c r="T194" s="2" t="str">
        <f>IF($A194="","",INDEX(v_data!$B$2:$L$1000,MATCH($A194,v_data!$A$3:$A$1000,0)+1,MATCH(LOWER(T$1),v_data!$B$2:$L$2,0)))</f>
        <v/>
      </c>
      <c r="U194" s="2" t="str">
        <f t="shared" si="215"/>
        <v/>
      </c>
      <c r="V194" s="2" t="str">
        <f>IF($A194="","",INDEX(v_data!$B$2:$L$1000,MATCH($A194,v_data!$A$3:$A$1000,0)+1,MATCH(LOWER(V$1),v_data!$B$2:$L$2,0)))</f>
        <v/>
      </c>
      <c r="W194" s="2" t="str">
        <f t="shared" si="216"/>
        <v/>
      </c>
      <c r="X194" s="2" t="str">
        <f>IF($A194="","",INDEX(v_data!$B$2:$L$1000,MATCH($A194,v_data!$A$3:$A$1000,0)+1,MATCH(LOWER(X$1),v_data!$B$2:$L$2,0)))</f>
        <v/>
      </c>
      <c r="Y194" s="2" t="str">
        <f t="shared" si="217"/>
        <v/>
      </c>
      <c r="Z194" s="2" t="str">
        <f>IF($A194="","",INDEX(v_data!$B$2:$L$1000,MATCH($A194,v_data!$A$3:$A$1000,0)+1,MATCH(LOWER(Z$1),v_data!$B$2:$L$2,0)))</f>
        <v/>
      </c>
      <c r="AA194" s="2" t="str">
        <f t="shared" si="218"/>
        <v/>
      </c>
      <c r="AB194" s="2" t="str">
        <f t="shared" si="219"/>
        <v/>
      </c>
      <c r="AC194" s="2">
        <f>(SUM(G194,I194,K194,M194,O194,Q194,S194,U194,W194,Y194,AA194)+IF(AND(G194&gt;0,I194&gt;0,K194&gt;0),100,0))*VLOOKUP(B194,variables!$A$2:$B$6,2,FALSE)</f>
        <v>80</v>
      </c>
      <c r="AD194" s="16" t="str">
        <f>IF($A194="","",INDEX(v_data!$B$2:$X$1000,MATCH($A194,v_data!$A$3:$A$1000,0)+1,MATCH(LOWER("hours"),v_data!$B$2:$X$2,0)))</f>
        <v/>
      </c>
    </row>
    <row r="195" spans="1:30" hidden="1" x14ac:dyDescent="0.25">
      <c r="A195" s="2" t="str">
        <f>IF(ISBLANK(v_data!A194),"",v_data!A194)</f>
        <v/>
      </c>
      <c r="B195" s="2" t="s">
        <v>22</v>
      </c>
      <c r="C195" s="2">
        <f>VLOOKUP(B195,variables!$A$2:$B$6,2,FALSE)</f>
        <v>0.8</v>
      </c>
      <c r="D195" s="4">
        <v>43826</v>
      </c>
      <c r="E195" s="4">
        <v>43431</v>
      </c>
      <c r="F195" s="2" t="str">
        <f>IF($A195="","",INDEX(v_data!$B$2:$L$1000,MATCH($A195,v_data!$A$3:$A$1000,0)+1,MATCH(LOWER(F$1),v_data!$B$2:$L$2,0)))</f>
        <v/>
      </c>
      <c r="G195" s="2" t="str">
        <f t="shared" si="208"/>
        <v/>
      </c>
      <c r="H195" s="2" t="str">
        <f>IF($A195="","",INDEX(v_data!$B$2:$L$1000,MATCH($A195,v_data!$A$3:$A$1000,0)+1,MATCH(LOWER(H$1),v_data!$B$2:$L$2,0)))</f>
        <v/>
      </c>
      <c r="I195" s="2" t="str">
        <f t="shared" si="209"/>
        <v/>
      </c>
      <c r="J195" s="2" t="str">
        <f>IF($A195="","",INDEX(v_data!$B$2:$L$1000,MATCH($A195,v_data!$A$3:$A$1000,0)+1,MATCH(LOWER(J$1),v_data!$B$2:$L$2,0)))</f>
        <v/>
      </c>
      <c r="K195" s="2" t="str">
        <f t="shared" si="210"/>
        <v/>
      </c>
      <c r="L195" s="2" t="str">
        <f>IF($A195="","",INDEX(v_data!$B$2:$L$1000,MATCH($A195,v_data!$A$3:$A$1000,0)+1,MATCH(LOWER(L$1),v_data!$B$2:$L$2,0)))</f>
        <v/>
      </c>
      <c r="M195" s="2" t="str">
        <f t="shared" si="211"/>
        <v/>
      </c>
      <c r="N195" s="2" t="str">
        <f>IF($A195="","",INDEX(v_data!$B$2:$L$1000,MATCH($A195,v_data!$A$3:$A$1000,0)+1,MATCH(LOWER(N$1),v_data!$B$2:$L$2,0)))</f>
        <v/>
      </c>
      <c r="O195" s="2" t="str">
        <f t="shared" si="212"/>
        <v/>
      </c>
      <c r="P195" s="2" t="str">
        <f>IF($A195="","",INDEX(v_data!$B$2:$L$1000,MATCH($A195,v_data!$A$3:$A$1000,0)+1,MATCH(LOWER(P$1),v_data!$B$2:$L$2,0)))</f>
        <v/>
      </c>
      <c r="Q195" s="2" t="str">
        <f t="shared" si="213"/>
        <v/>
      </c>
      <c r="R195" s="2" t="str">
        <f>IF($A195="","",INDEX(v_data!$B$2:$L$1000,MATCH($A195,v_data!$A$3:$A$1000,0)+1,MATCH(LOWER(R$1),v_data!$B$2:$L$2,0)))</f>
        <v/>
      </c>
      <c r="S195" s="2" t="str">
        <f t="shared" si="214"/>
        <v/>
      </c>
      <c r="T195" s="2" t="str">
        <f>IF($A195="","",INDEX(v_data!$B$2:$L$1000,MATCH($A195,v_data!$A$3:$A$1000,0)+1,MATCH(LOWER(T$1),v_data!$B$2:$L$2,0)))</f>
        <v/>
      </c>
      <c r="U195" s="2" t="str">
        <f t="shared" si="215"/>
        <v/>
      </c>
      <c r="V195" s="2" t="str">
        <f>IF($A195="","",INDEX(v_data!$B$2:$L$1000,MATCH($A195,v_data!$A$3:$A$1000,0)+1,MATCH(LOWER(V$1),v_data!$B$2:$L$2,0)))</f>
        <v/>
      </c>
      <c r="W195" s="2" t="str">
        <f t="shared" si="216"/>
        <v/>
      </c>
      <c r="X195" s="2" t="str">
        <f>IF($A195="","",INDEX(v_data!$B$2:$L$1000,MATCH($A195,v_data!$A$3:$A$1000,0)+1,MATCH(LOWER(X$1),v_data!$B$2:$L$2,0)))</f>
        <v/>
      </c>
      <c r="Y195" s="2" t="str">
        <f t="shared" si="217"/>
        <v/>
      </c>
      <c r="Z195" s="2" t="str">
        <f>IF($A195="","",INDEX(v_data!$B$2:$L$1000,MATCH($A195,v_data!$A$3:$A$1000,0)+1,MATCH(LOWER(Z$1),v_data!$B$2:$L$2,0)))</f>
        <v/>
      </c>
      <c r="AA195" s="2" t="str">
        <f t="shared" si="218"/>
        <v/>
      </c>
      <c r="AB195" s="2" t="str">
        <f t="shared" si="219"/>
        <v/>
      </c>
      <c r="AC195" s="2">
        <f>(SUM(G195,I195,K195,M195,O195,Q195,S195,U195,W195,Y195,AA195)+IF(AND(G195&gt;0,I195&gt;0,K195&gt;0),100,0))*VLOOKUP(B195,variables!$A$2:$B$6,2,FALSE)</f>
        <v>80</v>
      </c>
      <c r="AD195" s="16" t="str">
        <f>IF($A195="","",INDEX(v_data!$B$2:$X$1000,MATCH($A195,v_data!$A$3:$A$1000,0)+1,MATCH(LOWER("hours"),v_data!$B$2:$X$2,0)))</f>
        <v/>
      </c>
    </row>
    <row r="196" spans="1:30" hidden="1" x14ac:dyDescent="0.25">
      <c r="A196" s="2" t="str">
        <f>IF(ISBLANK(v_data!A195),"",v_data!A195)</f>
        <v/>
      </c>
      <c r="B196" s="2" t="s">
        <v>22</v>
      </c>
      <c r="C196" s="2">
        <f>VLOOKUP(B196,variables!$A$2:$B$6,2,FALSE)</f>
        <v>0.8</v>
      </c>
      <c r="D196" s="4">
        <v>43826</v>
      </c>
      <c r="E196" s="4">
        <v>43431</v>
      </c>
      <c r="F196" s="2" t="str">
        <f>IF($A196="","",INDEX(v_data!$B$2:$L$1000,MATCH($A196,v_data!$A$3:$A$1000,0)+1,MATCH(LOWER(F$1),v_data!$B$2:$L$2,0)))</f>
        <v/>
      </c>
      <c r="G196" s="2" t="str">
        <f t="shared" si="208"/>
        <v/>
      </c>
      <c r="H196" s="2" t="str">
        <f>IF($A196="","",INDEX(v_data!$B$2:$L$1000,MATCH($A196,v_data!$A$3:$A$1000,0)+1,MATCH(LOWER(H$1),v_data!$B$2:$L$2,0)))</f>
        <v/>
      </c>
      <c r="I196" s="2" t="str">
        <f t="shared" si="209"/>
        <v/>
      </c>
      <c r="J196" s="2" t="str">
        <f>IF($A196="","",INDEX(v_data!$B$2:$L$1000,MATCH($A196,v_data!$A$3:$A$1000,0)+1,MATCH(LOWER(J$1),v_data!$B$2:$L$2,0)))</f>
        <v/>
      </c>
      <c r="K196" s="2" t="str">
        <f t="shared" si="210"/>
        <v/>
      </c>
      <c r="L196" s="2" t="str">
        <f>IF($A196="","",INDEX(v_data!$B$2:$L$1000,MATCH($A196,v_data!$A$3:$A$1000,0)+1,MATCH(LOWER(L$1),v_data!$B$2:$L$2,0)))</f>
        <v/>
      </c>
      <c r="M196" s="2" t="str">
        <f t="shared" si="211"/>
        <v/>
      </c>
      <c r="N196" s="2" t="str">
        <f>IF($A196="","",INDEX(v_data!$B$2:$L$1000,MATCH($A196,v_data!$A$3:$A$1000,0)+1,MATCH(LOWER(N$1),v_data!$B$2:$L$2,0)))</f>
        <v/>
      </c>
      <c r="O196" s="2" t="str">
        <f t="shared" si="212"/>
        <v/>
      </c>
      <c r="P196" s="2" t="str">
        <f>IF($A196="","",INDEX(v_data!$B$2:$L$1000,MATCH($A196,v_data!$A$3:$A$1000,0)+1,MATCH(LOWER(P$1),v_data!$B$2:$L$2,0)))</f>
        <v/>
      </c>
      <c r="Q196" s="2" t="str">
        <f t="shared" si="213"/>
        <v/>
      </c>
      <c r="R196" s="2" t="str">
        <f>IF($A196="","",INDEX(v_data!$B$2:$L$1000,MATCH($A196,v_data!$A$3:$A$1000,0)+1,MATCH(LOWER(R$1),v_data!$B$2:$L$2,0)))</f>
        <v/>
      </c>
      <c r="S196" s="2" t="str">
        <f t="shared" si="214"/>
        <v/>
      </c>
      <c r="T196" s="2" t="str">
        <f>IF($A196="","",INDEX(v_data!$B$2:$L$1000,MATCH($A196,v_data!$A$3:$A$1000,0)+1,MATCH(LOWER(T$1),v_data!$B$2:$L$2,0)))</f>
        <v/>
      </c>
      <c r="U196" s="2" t="str">
        <f t="shared" si="215"/>
        <v/>
      </c>
      <c r="V196" s="2" t="str">
        <f>IF($A196="","",INDEX(v_data!$B$2:$L$1000,MATCH($A196,v_data!$A$3:$A$1000,0)+1,MATCH(LOWER(V$1),v_data!$B$2:$L$2,0)))</f>
        <v/>
      </c>
      <c r="W196" s="2" t="str">
        <f t="shared" si="216"/>
        <v/>
      </c>
      <c r="X196" s="2" t="str">
        <f>IF($A196="","",INDEX(v_data!$B$2:$L$1000,MATCH($A196,v_data!$A$3:$A$1000,0)+1,MATCH(LOWER(X$1),v_data!$B$2:$L$2,0)))</f>
        <v/>
      </c>
      <c r="Y196" s="2" t="str">
        <f t="shared" si="217"/>
        <v/>
      </c>
      <c r="Z196" s="2" t="str">
        <f>IF($A196="","",INDEX(v_data!$B$2:$L$1000,MATCH($A196,v_data!$A$3:$A$1000,0)+1,MATCH(LOWER(Z$1),v_data!$B$2:$L$2,0)))</f>
        <v/>
      </c>
      <c r="AA196" s="2" t="str">
        <f t="shared" si="218"/>
        <v/>
      </c>
      <c r="AB196" s="2" t="str">
        <f t="shared" si="219"/>
        <v/>
      </c>
      <c r="AC196" s="2">
        <f>(SUM(G196,I196,K196,M196,O196,Q196,S196,U196,W196,Y196,AA196)+IF(AND(G196&gt;0,I196&gt;0,K196&gt;0),100,0))*VLOOKUP(B196,variables!$A$2:$B$6,2,FALSE)</f>
        <v>80</v>
      </c>
      <c r="AD196" s="16" t="str">
        <f>IF($A196="","",INDEX(v_data!$B$2:$X$1000,MATCH($A196,v_data!$A$3:$A$1000,0)+1,MATCH(LOWER("hours"),v_data!$B$2:$X$2,0)))</f>
        <v/>
      </c>
    </row>
    <row r="197" spans="1:30" hidden="1" x14ac:dyDescent="0.25">
      <c r="A197" s="2" t="str">
        <f>IF(ISBLANK(v_data!A196),"",v_data!A196)</f>
        <v/>
      </c>
      <c r="B197" s="2" t="s">
        <v>22</v>
      </c>
      <c r="C197" s="2">
        <f>VLOOKUP(B197,variables!$A$2:$B$6,2,FALSE)</f>
        <v>0.8</v>
      </c>
      <c r="D197" s="4">
        <v>43826</v>
      </c>
      <c r="E197" s="4">
        <v>43431</v>
      </c>
      <c r="F197" s="2" t="str">
        <f>IF($A197="","",INDEX(v_data!$B$2:$L$1000,MATCH($A197,v_data!$A$3:$A$1000,0)+1,MATCH(LOWER(F$1),v_data!$B$2:$L$2,0)))</f>
        <v/>
      </c>
      <c r="G197" s="2" t="str">
        <f t="shared" si="208"/>
        <v/>
      </c>
      <c r="H197" s="2" t="str">
        <f>IF($A197="","",INDEX(v_data!$B$2:$L$1000,MATCH($A197,v_data!$A$3:$A$1000,0)+1,MATCH(LOWER(H$1),v_data!$B$2:$L$2,0)))</f>
        <v/>
      </c>
      <c r="I197" s="2" t="str">
        <f t="shared" si="209"/>
        <v/>
      </c>
      <c r="J197" s="2" t="str">
        <f>IF($A197="","",INDEX(v_data!$B$2:$L$1000,MATCH($A197,v_data!$A$3:$A$1000,0)+1,MATCH(LOWER(J$1),v_data!$B$2:$L$2,0)))</f>
        <v/>
      </c>
      <c r="K197" s="2" t="str">
        <f t="shared" si="210"/>
        <v/>
      </c>
      <c r="L197" s="2" t="str">
        <f>IF($A197="","",INDEX(v_data!$B$2:$L$1000,MATCH($A197,v_data!$A$3:$A$1000,0)+1,MATCH(LOWER(L$1),v_data!$B$2:$L$2,0)))</f>
        <v/>
      </c>
      <c r="M197" s="2" t="str">
        <f t="shared" si="211"/>
        <v/>
      </c>
      <c r="N197" s="2" t="str">
        <f>IF($A197="","",INDEX(v_data!$B$2:$L$1000,MATCH($A197,v_data!$A$3:$A$1000,0)+1,MATCH(LOWER(N$1),v_data!$B$2:$L$2,0)))</f>
        <v/>
      </c>
      <c r="O197" s="2" t="str">
        <f t="shared" si="212"/>
        <v/>
      </c>
      <c r="P197" s="2" t="str">
        <f>IF($A197="","",INDEX(v_data!$B$2:$L$1000,MATCH($A197,v_data!$A$3:$A$1000,0)+1,MATCH(LOWER(P$1),v_data!$B$2:$L$2,0)))</f>
        <v/>
      </c>
      <c r="Q197" s="2" t="str">
        <f t="shared" si="213"/>
        <v/>
      </c>
      <c r="R197" s="2" t="str">
        <f>IF($A197="","",INDEX(v_data!$B$2:$L$1000,MATCH($A197,v_data!$A$3:$A$1000,0)+1,MATCH(LOWER(R$1),v_data!$B$2:$L$2,0)))</f>
        <v/>
      </c>
      <c r="S197" s="2" t="str">
        <f t="shared" si="214"/>
        <v/>
      </c>
      <c r="T197" s="2" t="str">
        <f>IF($A197="","",INDEX(v_data!$B$2:$L$1000,MATCH($A197,v_data!$A$3:$A$1000,0)+1,MATCH(LOWER(T$1),v_data!$B$2:$L$2,0)))</f>
        <v/>
      </c>
      <c r="U197" s="2" t="str">
        <f t="shared" si="215"/>
        <v/>
      </c>
      <c r="V197" s="2" t="str">
        <f>IF($A197="","",INDEX(v_data!$B$2:$L$1000,MATCH($A197,v_data!$A$3:$A$1000,0)+1,MATCH(LOWER(V$1),v_data!$B$2:$L$2,0)))</f>
        <v/>
      </c>
      <c r="W197" s="2" t="str">
        <f t="shared" si="216"/>
        <v/>
      </c>
      <c r="X197" s="2" t="str">
        <f>IF($A197="","",INDEX(v_data!$B$2:$L$1000,MATCH($A197,v_data!$A$3:$A$1000,0)+1,MATCH(LOWER(X$1),v_data!$B$2:$L$2,0)))</f>
        <v/>
      </c>
      <c r="Y197" s="2" t="str">
        <f t="shared" si="217"/>
        <v/>
      </c>
      <c r="Z197" s="2" t="str">
        <f>IF($A197="","",INDEX(v_data!$B$2:$L$1000,MATCH($A197,v_data!$A$3:$A$1000,0)+1,MATCH(LOWER(Z$1),v_data!$B$2:$L$2,0)))</f>
        <v/>
      </c>
      <c r="AA197" s="2" t="str">
        <f t="shared" si="218"/>
        <v/>
      </c>
      <c r="AB197" s="2" t="str">
        <f t="shared" si="219"/>
        <v/>
      </c>
      <c r="AC197" s="2">
        <f>(SUM(G197,I197,K197,M197,O197,Q197,S197,U197,W197,Y197,AA197)+IF(AND(G197&gt;0,I197&gt;0,K197&gt;0),100,0))*VLOOKUP(B197,variables!$A$2:$B$6,2,FALSE)</f>
        <v>80</v>
      </c>
      <c r="AD197" s="16" t="str">
        <f>IF($A197="","",INDEX(v_data!$B$2:$X$1000,MATCH($A197,v_data!$A$3:$A$1000,0)+1,MATCH(LOWER("hours"),v_data!$B$2:$X$2,0)))</f>
        <v/>
      </c>
    </row>
    <row r="198" spans="1:30" hidden="1" x14ac:dyDescent="0.25">
      <c r="A198" s="2" t="str">
        <f>IF(ISBLANK(v_data!A197),"",v_data!A197)</f>
        <v/>
      </c>
      <c r="B198" s="2" t="s">
        <v>22</v>
      </c>
      <c r="C198" s="2">
        <f>VLOOKUP(B198,variables!$A$2:$B$6,2,FALSE)</f>
        <v>0.8</v>
      </c>
      <c r="D198" s="4">
        <v>43826</v>
      </c>
      <c r="E198" s="4">
        <v>43431</v>
      </c>
      <c r="F198" s="2" t="str">
        <f>IF($A198="","",INDEX(v_data!$B$2:$L$1000,MATCH($A198,v_data!$A$3:$A$1000,0)+1,MATCH(LOWER(F$1),v_data!$B$2:$L$2,0)))</f>
        <v/>
      </c>
      <c r="G198" s="2" t="str">
        <f t="shared" si="208"/>
        <v/>
      </c>
      <c r="H198" s="2" t="str">
        <f>IF($A198="","",INDEX(v_data!$B$2:$L$1000,MATCH($A198,v_data!$A$3:$A$1000,0)+1,MATCH(LOWER(H$1),v_data!$B$2:$L$2,0)))</f>
        <v/>
      </c>
      <c r="I198" s="2" t="str">
        <f t="shared" si="209"/>
        <v/>
      </c>
      <c r="J198" s="2" t="str">
        <f>IF($A198="","",INDEX(v_data!$B$2:$L$1000,MATCH($A198,v_data!$A$3:$A$1000,0)+1,MATCH(LOWER(J$1),v_data!$B$2:$L$2,0)))</f>
        <v/>
      </c>
      <c r="K198" s="2" t="str">
        <f t="shared" si="210"/>
        <v/>
      </c>
      <c r="L198" s="2" t="str">
        <f>IF($A198="","",INDEX(v_data!$B$2:$L$1000,MATCH($A198,v_data!$A$3:$A$1000,0)+1,MATCH(LOWER(L$1),v_data!$B$2:$L$2,0)))</f>
        <v/>
      </c>
      <c r="M198" s="2" t="str">
        <f t="shared" si="211"/>
        <v/>
      </c>
      <c r="N198" s="2" t="str">
        <f>IF($A198="","",INDEX(v_data!$B$2:$L$1000,MATCH($A198,v_data!$A$3:$A$1000,0)+1,MATCH(LOWER(N$1),v_data!$B$2:$L$2,0)))</f>
        <v/>
      </c>
      <c r="O198" s="2" t="str">
        <f t="shared" si="212"/>
        <v/>
      </c>
      <c r="P198" s="2" t="str">
        <f>IF($A198="","",INDEX(v_data!$B$2:$L$1000,MATCH($A198,v_data!$A$3:$A$1000,0)+1,MATCH(LOWER(P$1),v_data!$B$2:$L$2,0)))</f>
        <v/>
      </c>
      <c r="Q198" s="2" t="str">
        <f t="shared" si="213"/>
        <v/>
      </c>
      <c r="R198" s="2" t="str">
        <f>IF($A198="","",INDEX(v_data!$B$2:$L$1000,MATCH($A198,v_data!$A$3:$A$1000,0)+1,MATCH(LOWER(R$1),v_data!$B$2:$L$2,0)))</f>
        <v/>
      </c>
      <c r="S198" s="2" t="str">
        <f t="shared" si="214"/>
        <v/>
      </c>
      <c r="T198" s="2" t="str">
        <f>IF($A198="","",INDEX(v_data!$B$2:$L$1000,MATCH($A198,v_data!$A$3:$A$1000,0)+1,MATCH(LOWER(T$1),v_data!$B$2:$L$2,0)))</f>
        <v/>
      </c>
      <c r="U198" s="2" t="str">
        <f t="shared" si="215"/>
        <v/>
      </c>
      <c r="V198" s="2" t="str">
        <f>IF($A198="","",INDEX(v_data!$B$2:$L$1000,MATCH($A198,v_data!$A$3:$A$1000,0)+1,MATCH(LOWER(V$1),v_data!$B$2:$L$2,0)))</f>
        <v/>
      </c>
      <c r="W198" s="2" t="str">
        <f t="shared" si="216"/>
        <v/>
      </c>
      <c r="X198" s="2" t="str">
        <f>IF($A198="","",INDEX(v_data!$B$2:$L$1000,MATCH($A198,v_data!$A$3:$A$1000,0)+1,MATCH(LOWER(X$1),v_data!$B$2:$L$2,0)))</f>
        <v/>
      </c>
      <c r="Y198" s="2" t="str">
        <f t="shared" si="217"/>
        <v/>
      </c>
      <c r="Z198" s="2" t="str">
        <f>IF($A198="","",INDEX(v_data!$B$2:$L$1000,MATCH($A198,v_data!$A$3:$A$1000,0)+1,MATCH(LOWER(Z$1),v_data!$B$2:$L$2,0)))</f>
        <v/>
      </c>
      <c r="AA198" s="2" t="str">
        <f t="shared" si="218"/>
        <v/>
      </c>
      <c r="AB198" s="2" t="str">
        <f t="shared" si="219"/>
        <v/>
      </c>
      <c r="AC198" s="2">
        <f>(SUM(G198,I198,K198,M198,O198,Q198,S198,U198,W198,Y198,AA198)+IF(AND(G198&gt;0,I198&gt;0,K198&gt;0),100,0))*VLOOKUP(B198,variables!$A$2:$B$6,2,FALSE)</f>
        <v>80</v>
      </c>
      <c r="AD198" s="16" t="str">
        <f>IF($A198="","",INDEX(v_data!$B$2:$X$1000,MATCH($A198,v_data!$A$3:$A$1000,0)+1,MATCH(LOWER("hours"),v_data!$B$2:$X$2,0)))</f>
        <v/>
      </c>
    </row>
    <row r="199" spans="1:30" hidden="1" x14ac:dyDescent="0.25">
      <c r="A199" s="2" t="str">
        <f>IF(ISBLANK(v_data!A198),"",v_data!A198)</f>
        <v/>
      </c>
      <c r="B199" s="2" t="s">
        <v>22</v>
      </c>
      <c r="C199" s="2">
        <f>VLOOKUP(B199,variables!$A$2:$B$6,2,FALSE)</f>
        <v>0.8</v>
      </c>
      <c r="D199" s="4">
        <v>43826</v>
      </c>
      <c r="E199" s="4">
        <v>43431</v>
      </c>
      <c r="F199" s="2" t="str">
        <f>IF($A199="","",INDEX(v_data!$B$2:$L$1000,MATCH($A199,v_data!$A$3:$A$1000,0)+1,MATCH(LOWER(F$1),v_data!$B$2:$L$2,0)))</f>
        <v/>
      </c>
      <c r="G199" s="2" t="str">
        <f t="shared" si="208"/>
        <v/>
      </c>
      <c r="H199" s="2" t="str">
        <f>IF($A199="","",INDEX(v_data!$B$2:$L$1000,MATCH($A199,v_data!$A$3:$A$1000,0)+1,MATCH(LOWER(H$1),v_data!$B$2:$L$2,0)))</f>
        <v/>
      </c>
      <c r="I199" s="2" t="str">
        <f t="shared" si="209"/>
        <v/>
      </c>
      <c r="J199" s="2" t="str">
        <f>IF($A199="","",INDEX(v_data!$B$2:$L$1000,MATCH($A199,v_data!$A$3:$A$1000,0)+1,MATCH(LOWER(J$1),v_data!$B$2:$L$2,0)))</f>
        <v/>
      </c>
      <c r="K199" s="2" t="str">
        <f t="shared" si="210"/>
        <v/>
      </c>
      <c r="L199" s="2" t="str">
        <f>IF($A199="","",INDEX(v_data!$B$2:$L$1000,MATCH($A199,v_data!$A$3:$A$1000,0)+1,MATCH(LOWER(L$1),v_data!$B$2:$L$2,0)))</f>
        <v/>
      </c>
      <c r="M199" s="2" t="str">
        <f t="shared" si="211"/>
        <v/>
      </c>
      <c r="N199" s="2" t="str">
        <f>IF($A199="","",INDEX(v_data!$B$2:$L$1000,MATCH($A199,v_data!$A$3:$A$1000,0)+1,MATCH(LOWER(N$1),v_data!$B$2:$L$2,0)))</f>
        <v/>
      </c>
      <c r="O199" s="2" t="str">
        <f t="shared" si="212"/>
        <v/>
      </c>
      <c r="P199" s="2" t="str">
        <f>IF($A199="","",INDEX(v_data!$B$2:$L$1000,MATCH($A199,v_data!$A$3:$A$1000,0)+1,MATCH(LOWER(P$1),v_data!$B$2:$L$2,0)))</f>
        <v/>
      </c>
      <c r="Q199" s="2" t="str">
        <f t="shared" si="213"/>
        <v/>
      </c>
      <c r="R199" s="2" t="str">
        <f>IF($A199="","",INDEX(v_data!$B$2:$L$1000,MATCH($A199,v_data!$A$3:$A$1000,0)+1,MATCH(LOWER(R$1),v_data!$B$2:$L$2,0)))</f>
        <v/>
      </c>
      <c r="S199" s="2" t="str">
        <f t="shared" si="214"/>
        <v/>
      </c>
      <c r="T199" s="2" t="str">
        <f>IF($A199="","",INDEX(v_data!$B$2:$L$1000,MATCH($A199,v_data!$A$3:$A$1000,0)+1,MATCH(LOWER(T$1),v_data!$B$2:$L$2,0)))</f>
        <v/>
      </c>
      <c r="U199" s="2" t="str">
        <f t="shared" si="215"/>
        <v/>
      </c>
      <c r="V199" s="2" t="str">
        <f>IF($A199="","",INDEX(v_data!$B$2:$L$1000,MATCH($A199,v_data!$A$3:$A$1000,0)+1,MATCH(LOWER(V$1),v_data!$B$2:$L$2,0)))</f>
        <v/>
      </c>
      <c r="W199" s="2" t="str">
        <f t="shared" si="216"/>
        <v/>
      </c>
      <c r="X199" s="2" t="str">
        <f>IF($A199="","",INDEX(v_data!$B$2:$L$1000,MATCH($A199,v_data!$A$3:$A$1000,0)+1,MATCH(LOWER(X$1),v_data!$B$2:$L$2,0)))</f>
        <v/>
      </c>
      <c r="Y199" s="2" t="str">
        <f t="shared" si="217"/>
        <v/>
      </c>
      <c r="Z199" s="2" t="str">
        <f>IF($A199="","",INDEX(v_data!$B$2:$L$1000,MATCH($A199,v_data!$A$3:$A$1000,0)+1,MATCH(LOWER(Z$1),v_data!$B$2:$L$2,0)))</f>
        <v/>
      </c>
      <c r="AA199" s="2" t="str">
        <f t="shared" si="218"/>
        <v/>
      </c>
      <c r="AB199" s="2" t="str">
        <f t="shared" si="219"/>
        <v/>
      </c>
      <c r="AC199" s="2">
        <f>(SUM(G199,I199,K199,M199,O199,Q199,S199,U199,W199,Y199,AA199)+IF(AND(G199&gt;0,I199&gt;0,K199&gt;0),100,0))*VLOOKUP(B199,variables!$A$2:$B$6,2,FALSE)</f>
        <v>80</v>
      </c>
      <c r="AD199" s="16" t="str">
        <f>IF($A199="","",INDEX(v_data!$B$2:$X$1000,MATCH($A199,v_data!$A$3:$A$1000,0)+1,MATCH(LOWER("hours"),v_data!$B$2:$X$2,0)))</f>
        <v/>
      </c>
    </row>
    <row r="200" spans="1:30" hidden="1" x14ac:dyDescent="0.25">
      <c r="A200" s="2" t="str">
        <f>IF(ISBLANK(v_data!A199),"",v_data!A199)</f>
        <v/>
      </c>
      <c r="B200" s="2" t="s">
        <v>22</v>
      </c>
      <c r="C200" s="2">
        <f>VLOOKUP(B200,variables!$A$2:$B$6,2,FALSE)</f>
        <v>0.8</v>
      </c>
      <c r="D200" s="4">
        <v>43826</v>
      </c>
      <c r="E200" s="4">
        <v>43431</v>
      </c>
      <c r="F200" s="2" t="str">
        <f>IF($A200="","",INDEX(v_data!$B$2:$L$1000,MATCH($A200,v_data!$A$3:$A$1000,0)+1,MATCH(LOWER(F$1),v_data!$B$2:$L$2,0)))</f>
        <v/>
      </c>
      <c r="G200" s="2" t="str">
        <f t="shared" si="208"/>
        <v/>
      </c>
      <c r="H200" s="2" t="str">
        <f>IF($A200="","",INDEX(v_data!$B$2:$L$1000,MATCH($A200,v_data!$A$3:$A$1000,0)+1,MATCH(LOWER(H$1),v_data!$B$2:$L$2,0)))</f>
        <v/>
      </c>
      <c r="I200" s="2" t="str">
        <f t="shared" si="209"/>
        <v/>
      </c>
      <c r="J200" s="2" t="str">
        <f>IF($A200="","",INDEX(v_data!$B$2:$L$1000,MATCH($A200,v_data!$A$3:$A$1000,0)+1,MATCH(LOWER(J$1),v_data!$B$2:$L$2,0)))</f>
        <v/>
      </c>
      <c r="K200" s="2" t="str">
        <f t="shared" si="210"/>
        <v/>
      </c>
      <c r="L200" s="2" t="str">
        <f>IF($A200="","",INDEX(v_data!$B$2:$L$1000,MATCH($A200,v_data!$A$3:$A$1000,0)+1,MATCH(LOWER(L$1),v_data!$B$2:$L$2,0)))</f>
        <v/>
      </c>
      <c r="M200" s="2" t="str">
        <f t="shared" si="211"/>
        <v/>
      </c>
      <c r="N200" s="2" t="str">
        <f>IF($A200="","",INDEX(v_data!$B$2:$L$1000,MATCH($A200,v_data!$A$3:$A$1000,0)+1,MATCH(LOWER(N$1),v_data!$B$2:$L$2,0)))</f>
        <v/>
      </c>
      <c r="O200" s="2" t="str">
        <f t="shared" si="212"/>
        <v/>
      </c>
      <c r="P200" s="2" t="str">
        <f>IF($A200="","",INDEX(v_data!$B$2:$L$1000,MATCH($A200,v_data!$A$3:$A$1000,0)+1,MATCH(LOWER(P$1),v_data!$B$2:$L$2,0)))</f>
        <v/>
      </c>
      <c r="Q200" s="2" t="str">
        <f t="shared" si="213"/>
        <v/>
      </c>
      <c r="R200" s="2" t="str">
        <f>IF($A200="","",INDEX(v_data!$B$2:$L$1000,MATCH($A200,v_data!$A$3:$A$1000,0)+1,MATCH(LOWER(R$1),v_data!$B$2:$L$2,0)))</f>
        <v/>
      </c>
      <c r="S200" s="2" t="str">
        <f t="shared" si="214"/>
        <v/>
      </c>
      <c r="T200" s="2" t="str">
        <f>IF($A200="","",INDEX(v_data!$B$2:$L$1000,MATCH($A200,v_data!$A$3:$A$1000,0)+1,MATCH(LOWER(T$1),v_data!$B$2:$L$2,0)))</f>
        <v/>
      </c>
      <c r="U200" s="2" t="str">
        <f t="shared" si="215"/>
        <v/>
      </c>
      <c r="V200" s="2" t="str">
        <f>IF($A200="","",INDEX(v_data!$B$2:$L$1000,MATCH($A200,v_data!$A$3:$A$1000,0)+1,MATCH(LOWER(V$1),v_data!$B$2:$L$2,0)))</f>
        <v/>
      </c>
      <c r="W200" s="2" t="str">
        <f t="shared" si="216"/>
        <v/>
      </c>
      <c r="X200" s="2" t="str">
        <f>IF($A200="","",INDEX(v_data!$B$2:$L$1000,MATCH($A200,v_data!$A$3:$A$1000,0)+1,MATCH(LOWER(X$1),v_data!$B$2:$L$2,0)))</f>
        <v/>
      </c>
      <c r="Y200" s="2" t="str">
        <f t="shared" si="217"/>
        <v/>
      </c>
      <c r="Z200" s="2" t="str">
        <f>IF($A200="","",INDEX(v_data!$B$2:$L$1000,MATCH($A200,v_data!$A$3:$A$1000,0)+1,MATCH(LOWER(Z$1),v_data!$B$2:$L$2,0)))</f>
        <v/>
      </c>
      <c r="AA200" s="2" t="str">
        <f t="shared" si="218"/>
        <v/>
      </c>
      <c r="AB200" s="2" t="str">
        <f t="shared" si="219"/>
        <v/>
      </c>
      <c r="AC200" s="2">
        <f>(SUM(G200,I200,K200,M200,O200,Q200,S200,U200,W200,Y200,AA200)+IF(AND(G200&gt;0,I200&gt;0,K200&gt;0),100,0))*VLOOKUP(B200,variables!$A$2:$B$6,2,FALSE)</f>
        <v>80</v>
      </c>
      <c r="AD200" s="16" t="str">
        <f>IF($A200="","",INDEX(v_data!$B$2:$X$1000,MATCH($A200,v_data!$A$3:$A$1000,0)+1,MATCH(LOWER("hours"),v_data!$B$2:$X$2,0)))</f>
        <v/>
      </c>
    </row>
    <row r="201" spans="1:30" hidden="1" x14ac:dyDescent="0.25">
      <c r="A201" s="2" t="str">
        <f>IF(ISBLANK(v_data!A200),"",v_data!A200)</f>
        <v/>
      </c>
      <c r="B201" s="2" t="s">
        <v>22</v>
      </c>
      <c r="C201" s="2">
        <f>VLOOKUP(B201,variables!$A$2:$B$6,2,FALSE)</f>
        <v>0.8</v>
      </c>
      <c r="D201" s="4">
        <v>43826</v>
      </c>
      <c r="E201" s="4">
        <v>43431</v>
      </c>
      <c r="F201" s="2" t="str">
        <f>IF($A201="","",INDEX(v_data!$B$2:$L$1000,MATCH($A201,v_data!$A$3:$A$1000,0)+1,MATCH(LOWER(F$1),v_data!$B$2:$L$2,0)))</f>
        <v/>
      </c>
      <c r="G201" s="2" t="str">
        <f t="shared" si="208"/>
        <v/>
      </c>
      <c r="H201" s="2" t="str">
        <f>IF($A201="","",INDEX(v_data!$B$2:$L$1000,MATCH($A201,v_data!$A$3:$A$1000,0)+1,MATCH(LOWER(H$1),v_data!$B$2:$L$2,0)))</f>
        <v/>
      </c>
      <c r="I201" s="2" t="str">
        <f t="shared" si="209"/>
        <v/>
      </c>
      <c r="J201" s="2" t="str">
        <f>IF($A201="","",INDEX(v_data!$B$2:$L$1000,MATCH($A201,v_data!$A$3:$A$1000,0)+1,MATCH(LOWER(J$1),v_data!$B$2:$L$2,0)))</f>
        <v/>
      </c>
      <c r="K201" s="2" t="str">
        <f t="shared" si="210"/>
        <v/>
      </c>
      <c r="L201" s="2" t="str">
        <f>IF($A201="","",INDEX(v_data!$B$2:$L$1000,MATCH($A201,v_data!$A$3:$A$1000,0)+1,MATCH(LOWER(L$1),v_data!$B$2:$L$2,0)))</f>
        <v/>
      </c>
      <c r="M201" s="2" t="str">
        <f t="shared" si="211"/>
        <v/>
      </c>
      <c r="N201" s="2" t="str">
        <f>IF($A201="","",INDEX(v_data!$B$2:$L$1000,MATCH($A201,v_data!$A$3:$A$1000,0)+1,MATCH(LOWER(N$1),v_data!$B$2:$L$2,0)))</f>
        <v/>
      </c>
      <c r="O201" s="2" t="str">
        <f t="shared" si="212"/>
        <v/>
      </c>
      <c r="P201" s="2" t="str">
        <f>IF($A201="","",INDEX(v_data!$B$2:$L$1000,MATCH($A201,v_data!$A$3:$A$1000,0)+1,MATCH(LOWER(P$1),v_data!$B$2:$L$2,0)))</f>
        <v/>
      </c>
      <c r="Q201" s="2" t="str">
        <f t="shared" si="213"/>
        <v/>
      </c>
      <c r="R201" s="2" t="str">
        <f>IF($A201="","",INDEX(v_data!$B$2:$L$1000,MATCH($A201,v_data!$A$3:$A$1000,0)+1,MATCH(LOWER(R$1),v_data!$B$2:$L$2,0)))</f>
        <v/>
      </c>
      <c r="S201" s="2" t="str">
        <f t="shared" si="214"/>
        <v/>
      </c>
      <c r="T201" s="2" t="str">
        <f>IF($A201="","",INDEX(v_data!$B$2:$L$1000,MATCH($A201,v_data!$A$3:$A$1000,0)+1,MATCH(LOWER(T$1),v_data!$B$2:$L$2,0)))</f>
        <v/>
      </c>
      <c r="U201" s="2" t="str">
        <f t="shared" si="215"/>
        <v/>
      </c>
      <c r="V201" s="2" t="str">
        <f>IF($A201="","",INDEX(v_data!$B$2:$L$1000,MATCH($A201,v_data!$A$3:$A$1000,0)+1,MATCH(LOWER(V$1),v_data!$B$2:$L$2,0)))</f>
        <v/>
      </c>
      <c r="W201" s="2" t="str">
        <f t="shared" si="216"/>
        <v/>
      </c>
      <c r="X201" s="2" t="str">
        <f>IF($A201="","",INDEX(v_data!$B$2:$L$1000,MATCH($A201,v_data!$A$3:$A$1000,0)+1,MATCH(LOWER(X$1),v_data!$B$2:$L$2,0)))</f>
        <v/>
      </c>
      <c r="Y201" s="2" t="str">
        <f t="shared" si="217"/>
        <v/>
      </c>
      <c r="Z201" s="2" t="str">
        <f>IF($A201="","",INDEX(v_data!$B$2:$L$1000,MATCH($A201,v_data!$A$3:$A$1000,0)+1,MATCH(LOWER(Z$1),v_data!$B$2:$L$2,0)))</f>
        <v/>
      </c>
      <c r="AA201" s="2" t="str">
        <f t="shared" si="218"/>
        <v/>
      </c>
      <c r="AB201" s="2" t="str">
        <f t="shared" si="219"/>
        <v/>
      </c>
      <c r="AC201" s="2">
        <f>(SUM(G201,I201,K201,M201,O201,Q201,S201,U201,W201,Y201,AA201)+IF(AND(G201&gt;0,I201&gt;0,K201&gt;0),100,0))*VLOOKUP(B201,variables!$A$2:$B$6,2,FALSE)</f>
        <v>80</v>
      </c>
      <c r="AD201" s="16" t="str">
        <f>IF($A201="","",INDEX(v_data!$B$2:$X$1000,MATCH($A201,v_data!$A$3:$A$1000,0)+1,MATCH(LOWER("hours"),v_data!$B$2:$X$2,0)))</f>
        <v/>
      </c>
    </row>
    <row r="202" spans="1:30" hidden="1" x14ac:dyDescent="0.25">
      <c r="A202" s="2" t="str">
        <f>IF(ISBLANK(v_data!A201),"",v_data!A201)</f>
        <v/>
      </c>
      <c r="B202" s="2" t="s">
        <v>22</v>
      </c>
      <c r="C202" s="2">
        <f>VLOOKUP(B202,variables!$A$2:$B$6,2,FALSE)</f>
        <v>0.8</v>
      </c>
      <c r="D202" s="4">
        <v>43826</v>
      </c>
      <c r="E202" s="4">
        <v>43431</v>
      </c>
      <c r="F202" s="2" t="str">
        <f>IF($A202="","",INDEX(v_data!$B$2:$L$1000,MATCH($A202,v_data!$A$3:$A$1000,0)+1,MATCH(LOWER(F$1),v_data!$B$2:$L$2,0)))</f>
        <v/>
      </c>
      <c r="G202" s="2" t="str">
        <f t="shared" si="208"/>
        <v/>
      </c>
      <c r="H202" s="2" t="str">
        <f>IF($A202="","",INDEX(v_data!$B$2:$L$1000,MATCH($A202,v_data!$A$3:$A$1000,0)+1,MATCH(LOWER(H$1),v_data!$B$2:$L$2,0)))</f>
        <v/>
      </c>
      <c r="I202" s="2" t="str">
        <f t="shared" si="209"/>
        <v/>
      </c>
      <c r="J202" s="2" t="str">
        <f>IF($A202="","",INDEX(v_data!$B$2:$L$1000,MATCH($A202,v_data!$A$3:$A$1000,0)+1,MATCH(LOWER(J$1),v_data!$B$2:$L$2,0)))</f>
        <v/>
      </c>
      <c r="K202" s="2" t="str">
        <f t="shared" si="210"/>
        <v/>
      </c>
      <c r="L202" s="2" t="str">
        <f>IF($A202="","",INDEX(v_data!$B$2:$L$1000,MATCH($A202,v_data!$A$3:$A$1000,0)+1,MATCH(LOWER(L$1),v_data!$B$2:$L$2,0)))</f>
        <v/>
      </c>
      <c r="M202" s="2" t="str">
        <f t="shared" si="211"/>
        <v/>
      </c>
      <c r="N202" s="2" t="str">
        <f>IF($A202="","",INDEX(v_data!$B$2:$L$1000,MATCH($A202,v_data!$A$3:$A$1000,0)+1,MATCH(LOWER(N$1),v_data!$B$2:$L$2,0)))</f>
        <v/>
      </c>
      <c r="O202" s="2" t="str">
        <f t="shared" si="212"/>
        <v/>
      </c>
      <c r="P202" s="2" t="str">
        <f>IF($A202="","",INDEX(v_data!$B$2:$L$1000,MATCH($A202,v_data!$A$3:$A$1000,0)+1,MATCH(LOWER(P$1),v_data!$B$2:$L$2,0)))</f>
        <v/>
      </c>
      <c r="Q202" s="2" t="str">
        <f t="shared" si="213"/>
        <v/>
      </c>
      <c r="R202" s="2" t="str">
        <f>IF($A202="","",INDEX(v_data!$B$2:$L$1000,MATCH($A202,v_data!$A$3:$A$1000,0)+1,MATCH(LOWER(R$1),v_data!$B$2:$L$2,0)))</f>
        <v/>
      </c>
      <c r="S202" s="2" t="str">
        <f t="shared" si="214"/>
        <v/>
      </c>
      <c r="T202" s="2" t="str">
        <f>IF($A202="","",INDEX(v_data!$B$2:$L$1000,MATCH($A202,v_data!$A$3:$A$1000,0)+1,MATCH(LOWER(T$1),v_data!$B$2:$L$2,0)))</f>
        <v/>
      </c>
      <c r="U202" s="2" t="str">
        <f t="shared" si="215"/>
        <v/>
      </c>
      <c r="V202" s="2" t="str">
        <f>IF($A202="","",INDEX(v_data!$B$2:$L$1000,MATCH($A202,v_data!$A$3:$A$1000,0)+1,MATCH(LOWER(V$1),v_data!$B$2:$L$2,0)))</f>
        <v/>
      </c>
      <c r="W202" s="2" t="str">
        <f t="shared" si="216"/>
        <v/>
      </c>
      <c r="X202" s="2" t="str">
        <f>IF($A202="","",INDEX(v_data!$B$2:$L$1000,MATCH($A202,v_data!$A$3:$A$1000,0)+1,MATCH(LOWER(X$1),v_data!$B$2:$L$2,0)))</f>
        <v/>
      </c>
      <c r="Y202" s="2" t="str">
        <f t="shared" si="217"/>
        <v/>
      </c>
      <c r="Z202" s="2" t="str">
        <f>IF($A202="","",INDEX(v_data!$B$2:$L$1000,MATCH($A202,v_data!$A$3:$A$1000,0)+1,MATCH(LOWER(Z$1),v_data!$B$2:$L$2,0)))</f>
        <v/>
      </c>
      <c r="AA202" s="2" t="str">
        <f t="shared" si="218"/>
        <v/>
      </c>
      <c r="AB202" s="2" t="str">
        <f t="shared" si="219"/>
        <v/>
      </c>
      <c r="AC202" s="2">
        <f>(SUM(G202,I202,K202,M202,O202,Q202,S202,U202,W202,Y202,AA202)+IF(AND(G202&gt;0,I202&gt;0,K202&gt;0),100,0))*VLOOKUP(B202,variables!$A$2:$B$6,2,FALSE)</f>
        <v>80</v>
      </c>
      <c r="AD202" s="16" t="str">
        <f>IF($A202="","",INDEX(v_data!$B$2:$X$1000,MATCH($A202,v_data!$A$3:$A$1000,0)+1,MATCH(LOWER("hours"),v_data!$B$2:$X$2,0)))</f>
        <v/>
      </c>
    </row>
    <row r="203" spans="1:30" hidden="1" x14ac:dyDescent="0.25">
      <c r="A203" s="2" t="str">
        <f>IF(ISBLANK(v_data!A202),"",v_data!A202)</f>
        <v/>
      </c>
      <c r="B203" s="2" t="s">
        <v>22</v>
      </c>
      <c r="C203" s="2">
        <f>VLOOKUP(B203,variables!$A$2:$B$6,2,FALSE)</f>
        <v>0.8</v>
      </c>
      <c r="D203" s="4">
        <v>43826</v>
      </c>
      <c r="E203" s="4">
        <v>43431</v>
      </c>
      <c r="F203" s="2" t="str">
        <f>IF($A203="","",INDEX(v_data!$B$2:$L$1000,MATCH($A203,v_data!$A$3:$A$1000,0)+1,MATCH(LOWER(F$1),v_data!$B$2:$L$2,0)))</f>
        <v/>
      </c>
      <c r="G203" s="2" t="str">
        <f t="shared" si="208"/>
        <v/>
      </c>
      <c r="H203" s="2" t="str">
        <f>IF($A203="","",INDEX(v_data!$B$2:$L$1000,MATCH($A203,v_data!$A$3:$A$1000,0)+1,MATCH(LOWER(H$1),v_data!$B$2:$L$2,0)))</f>
        <v/>
      </c>
      <c r="I203" s="2" t="str">
        <f t="shared" si="209"/>
        <v/>
      </c>
      <c r="J203" s="2" t="str">
        <f>IF($A203="","",INDEX(v_data!$B$2:$L$1000,MATCH($A203,v_data!$A$3:$A$1000,0)+1,MATCH(LOWER(J$1),v_data!$B$2:$L$2,0)))</f>
        <v/>
      </c>
      <c r="K203" s="2" t="str">
        <f t="shared" si="210"/>
        <v/>
      </c>
      <c r="L203" s="2" t="str">
        <f>IF($A203="","",INDEX(v_data!$B$2:$L$1000,MATCH($A203,v_data!$A$3:$A$1000,0)+1,MATCH(LOWER(L$1),v_data!$B$2:$L$2,0)))</f>
        <v/>
      </c>
      <c r="M203" s="2" t="str">
        <f t="shared" si="211"/>
        <v/>
      </c>
      <c r="N203" s="2" t="str">
        <f>IF($A203="","",INDEX(v_data!$B$2:$L$1000,MATCH($A203,v_data!$A$3:$A$1000,0)+1,MATCH(LOWER(N$1),v_data!$B$2:$L$2,0)))</f>
        <v/>
      </c>
      <c r="O203" s="2" t="str">
        <f t="shared" si="212"/>
        <v/>
      </c>
      <c r="P203" s="2" t="str">
        <f>IF($A203="","",INDEX(v_data!$B$2:$L$1000,MATCH($A203,v_data!$A$3:$A$1000,0)+1,MATCH(LOWER(P$1),v_data!$B$2:$L$2,0)))</f>
        <v/>
      </c>
      <c r="Q203" s="2" t="str">
        <f t="shared" si="213"/>
        <v/>
      </c>
      <c r="R203" s="2" t="str">
        <f>IF($A203="","",INDEX(v_data!$B$2:$L$1000,MATCH($A203,v_data!$A$3:$A$1000,0)+1,MATCH(LOWER(R$1),v_data!$B$2:$L$2,0)))</f>
        <v/>
      </c>
      <c r="S203" s="2" t="str">
        <f t="shared" si="214"/>
        <v/>
      </c>
      <c r="T203" s="2" t="str">
        <f>IF($A203="","",INDEX(v_data!$B$2:$L$1000,MATCH($A203,v_data!$A$3:$A$1000,0)+1,MATCH(LOWER(T$1),v_data!$B$2:$L$2,0)))</f>
        <v/>
      </c>
      <c r="U203" s="2" t="str">
        <f t="shared" si="215"/>
        <v/>
      </c>
      <c r="V203" s="2" t="str">
        <f>IF($A203="","",INDEX(v_data!$B$2:$L$1000,MATCH($A203,v_data!$A$3:$A$1000,0)+1,MATCH(LOWER(V$1),v_data!$B$2:$L$2,0)))</f>
        <v/>
      </c>
      <c r="W203" s="2" t="str">
        <f t="shared" si="216"/>
        <v/>
      </c>
      <c r="X203" s="2" t="str">
        <f>IF($A203="","",INDEX(v_data!$B$2:$L$1000,MATCH($A203,v_data!$A$3:$A$1000,0)+1,MATCH(LOWER(X$1),v_data!$B$2:$L$2,0)))</f>
        <v/>
      </c>
      <c r="Y203" s="2" t="str">
        <f t="shared" si="217"/>
        <v/>
      </c>
      <c r="Z203" s="2" t="str">
        <f>IF($A203="","",INDEX(v_data!$B$2:$L$1000,MATCH($A203,v_data!$A$3:$A$1000,0)+1,MATCH(LOWER(Z$1),v_data!$B$2:$L$2,0)))</f>
        <v/>
      </c>
      <c r="AA203" s="2" t="str">
        <f t="shared" si="218"/>
        <v/>
      </c>
      <c r="AB203" s="2" t="str">
        <f t="shared" si="219"/>
        <v/>
      </c>
      <c r="AC203" s="2">
        <f>(SUM(G203,I203,K203,M203,O203,Q203,S203,U203,W203,Y203,AA203)+IF(AND(G203&gt;0,I203&gt;0,K203&gt;0),100,0))*VLOOKUP(B203,variables!$A$2:$B$6,2,FALSE)</f>
        <v>80</v>
      </c>
      <c r="AD203" s="16" t="str">
        <f>IF($A203="","",INDEX(v_data!$B$2:$X$1000,MATCH($A203,v_data!$A$3:$A$1000,0)+1,MATCH(LOWER("hours"),v_data!$B$2:$X$2,0)))</f>
        <v/>
      </c>
    </row>
    <row r="204" spans="1:30" hidden="1" x14ac:dyDescent="0.25">
      <c r="A204" s="2" t="str">
        <f>IF(ISBLANK(v_data!A203),"",v_data!A203)</f>
        <v/>
      </c>
      <c r="B204" s="2" t="s">
        <v>22</v>
      </c>
      <c r="C204" s="2">
        <f>VLOOKUP(B204,variables!$A$2:$B$6,2,FALSE)</f>
        <v>0.8</v>
      </c>
      <c r="D204" s="4">
        <v>43826</v>
      </c>
      <c r="E204" s="4">
        <v>43431</v>
      </c>
      <c r="F204" s="2" t="str">
        <f>IF($A204="","",INDEX(v_data!$B$2:$L$1000,MATCH($A204,v_data!$A$3:$A$1000,0)+1,MATCH(LOWER(F$1),v_data!$B$2:$L$2,0)))</f>
        <v/>
      </c>
      <c r="G204" s="2" t="str">
        <f t="shared" si="208"/>
        <v/>
      </c>
      <c r="H204" s="2" t="str">
        <f>IF($A204="","",INDEX(v_data!$B$2:$L$1000,MATCH($A204,v_data!$A$3:$A$1000,0)+1,MATCH(LOWER(H$1),v_data!$B$2:$L$2,0)))</f>
        <v/>
      </c>
      <c r="I204" s="2" t="str">
        <f t="shared" si="209"/>
        <v/>
      </c>
      <c r="J204" s="2" t="str">
        <f>IF($A204="","",INDEX(v_data!$B$2:$L$1000,MATCH($A204,v_data!$A$3:$A$1000,0)+1,MATCH(LOWER(J$1),v_data!$B$2:$L$2,0)))</f>
        <v/>
      </c>
      <c r="K204" s="2" t="str">
        <f t="shared" si="210"/>
        <v/>
      </c>
      <c r="L204" s="2" t="str">
        <f>IF($A204="","",INDEX(v_data!$B$2:$L$1000,MATCH($A204,v_data!$A$3:$A$1000,0)+1,MATCH(LOWER(L$1),v_data!$B$2:$L$2,0)))</f>
        <v/>
      </c>
      <c r="M204" s="2" t="str">
        <f t="shared" si="211"/>
        <v/>
      </c>
      <c r="N204" s="2" t="str">
        <f>IF($A204="","",INDEX(v_data!$B$2:$L$1000,MATCH($A204,v_data!$A$3:$A$1000,0)+1,MATCH(LOWER(N$1),v_data!$B$2:$L$2,0)))</f>
        <v/>
      </c>
      <c r="O204" s="2" t="str">
        <f t="shared" si="212"/>
        <v/>
      </c>
      <c r="P204" s="2" t="str">
        <f>IF($A204="","",INDEX(v_data!$B$2:$L$1000,MATCH($A204,v_data!$A$3:$A$1000,0)+1,MATCH(LOWER(P$1),v_data!$B$2:$L$2,0)))</f>
        <v/>
      </c>
      <c r="Q204" s="2" t="str">
        <f t="shared" si="213"/>
        <v/>
      </c>
      <c r="R204" s="2" t="str">
        <f>IF($A204="","",INDEX(v_data!$B$2:$L$1000,MATCH($A204,v_data!$A$3:$A$1000,0)+1,MATCH(LOWER(R$1),v_data!$B$2:$L$2,0)))</f>
        <v/>
      </c>
      <c r="S204" s="2" t="str">
        <f t="shared" si="214"/>
        <v/>
      </c>
      <c r="T204" s="2" t="str">
        <f>IF($A204="","",INDEX(v_data!$B$2:$L$1000,MATCH($A204,v_data!$A$3:$A$1000,0)+1,MATCH(LOWER(T$1),v_data!$B$2:$L$2,0)))</f>
        <v/>
      </c>
      <c r="U204" s="2" t="str">
        <f t="shared" si="215"/>
        <v/>
      </c>
      <c r="V204" s="2" t="str">
        <f>IF($A204="","",INDEX(v_data!$B$2:$L$1000,MATCH($A204,v_data!$A$3:$A$1000,0)+1,MATCH(LOWER(V$1),v_data!$B$2:$L$2,0)))</f>
        <v/>
      </c>
      <c r="W204" s="2" t="str">
        <f t="shared" si="216"/>
        <v/>
      </c>
      <c r="X204" s="2" t="str">
        <f>IF($A204="","",INDEX(v_data!$B$2:$L$1000,MATCH($A204,v_data!$A$3:$A$1000,0)+1,MATCH(LOWER(X$1),v_data!$B$2:$L$2,0)))</f>
        <v/>
      </c>
      <c r="Y204" s="2" t="str">
        <f t="shared" si="217"/>
        <v/>
      </c>
      <c r="Z204" s="2" t="str">
        <f>IF($A204="","",INDEX(v_data!$B$2:$L$1000,MATCH($A204,v_data!$A$3:$A$1000,0)+1,MATCH(LOWER(Z$1),v_data!$B$2:$L$2,0)))</f>
        <v/>
      </c>
      <c r="AA204" s="2" t="str">
        <f t="shared" si="218"/>
        <v/>
      </c>
      <c r="AB204" s="2" t="str">
        <f t="shared" si="219"/>
        <v/>
      </c>
      <c r="AC204" s="2">
        <f>(SUM(G204,I204,K204,M204,O204,Q204,S204,U204,W204,Y204,AA204)+IF(AND(G204&gt;0,I204&gt;0,K204&gt;0),100,0))*VLOOKUP(B204,variables!$A$2:$B$6,2,FALSE)</f>
        <v>80</v>
      </c>
      <c r="AD204" s="16" t="str">
        <f>IF($A204="","",INDEX(v_data!$B$2:$X$1000,MATCH($A204,v_data!$A$3:$A$1000,0)+1,MATCH(LOWER("hours"),v_data!$B$2:$X$2,0)))</f>
        <v/>
      </c>
    </row>
    <row r="205" spans="1:30" hidden="1" x14ac:dyDescent="0.25">
      <c r="A205" s="2" t="str">
        <f>IF(ISBLANK(v_data!A204),"",v_data!A204)</f>
        <v/>
      </c>
      <c r="B205" s="2" t="s">
        <v>22</v>
      </c>
      <c r="C205" s="2">
        <f>VLOOKUP(B205,variables!$A$2:$B$6,2,FALSE)</f>
        <v>0.8</v>
      </c>
      <c r="D205" s="4">
        <v>43826</v>
      </c>
      <c r="E205" s="4">
        <v>43431</v>
      </c>
      <c r="F205" s="2" t="str">
        <f>IF($A205="","",INDEX(v_data!$B$2:$L$1000,MATCH($A205,v_data!$A$3:$A$1000,0)+1,MATCH(LOWER(F$1),v_data!$B$2:$L$2,0)))</f>
        <v/>
      </c>
      <c r="G205" s="2" t="str">
        <f t="shared" si="208"/>
        <v/>
      </c>
      <c r="H205" s="2" t="str">
        <f>IF($A205="","",INDEX(v_data!$B$2:$L$1000,MATCH($A205,v_data!$A$3:$A$1000,0)+1,MATCH(LOWER(H$1),v_data!$B$2:$L$2,0)))</f>
        <v/>
      </c>
      <c r="I205" s="2" t="str">
        <f t="shared" si="209"/>
        <v/>
      </c>
      <c r="J205" s="2" t="str">
        <f>IF($A205="","",INDEX(v_data!$B$2:$L$1000,MATCH($A205,v_data!$A$3:$A$1000,0)+1,MATCH(LOWER(J$1),v_data!$B$2:$L$2,0)))</f>
        <v/>
      </c>
      <c r="K205" s="2" t="str">
        <f t="shared" si="210"/>
        <v/>
      </c>
      <c r="L205" s="2" t="str">
        <f>IF($A205="","",INDEX(v_data!$B$2:$L$1000,MATCH($A205,v_data!$A$3:$A$1000,0)+1,MATCH(LOWER(L$1),v_data!$B$2:$L$2,0)))</f>
        <v/>
      </c>
      <c r="M205" s="2" t="str">
        <f t="shared" si="211"/>
        <v/>
      </c>
      <c r="N205" s="2" t="str">
        <f>IF($A205="","",INDEX(v_data!$B$2:$L$1000,MATCH($A205,v_data!$A$3:$A$1000,0)+1,MATCH(LOWER(N$1),v_data!$B$2:$L$2,0)))</f>
        <v/>
      </c>
      <c r="O205" s="2" t="str">
        <f t="shared" si="212"/>
        <v/>
      </c>
      <c r="P205" s="2" t="str">
        <f>IF($A205="","",INDEX(v_data!$B$2:$L$1000,MATCH($A205,v_data!$A$3:$A$1000,0)+1,MATCH(LOWER(P$1),v_data!$B$2:$L$2,0)))</f>
        <v/>
      </c>
      <c r="Q205" s="2" t="str">
        <f t="shared" si="213"/>
        <v/>
      </c>
      <c r="R205" s="2" t="str">
        <f>IF($A205="","",INDEX(v_data!$B$2:$L$1000,MATCH($A205,v_data!$A$3:$A$1000,0)+1,MATCH(LOWER(R$1),v_data!$B$2:$L$2,0)))</f>
        <v/>
      </c>
      <c r="S205" s="2" t="str">
        <f t="shared" si="214"/>
        <v/>
      </c>
      <c r="T205" s="2" t="str">
        <f>IF($A205="","",INDEX(v_data!$B$2:$L$1000,MATCH($A205,v_data!$A$3:$A$1000,0)+1,MATCH(LOWER(T$1),v_data!$B$2:$L$2,0)))</f>
        <v/>
      </c>
      <c r="U205" s="2" t="str">
        <f t="shared" si="215"/>
        <v/>
      </c>
      <c r="V205" s="2" t="str">
        <f>IF($A205="","",INDEX(v_data!$B$2:$L$1000,MATCH($A205,v_data!$A$3:$A$1000,0)+1,MATCH(LOWER(V$1),v_data!$B$2:$L$2,0)))</f>
        <v/>
      </c>
      <c r="W205" s="2" t="str">
        <f t="shared" si="216"/>
        <v/>
      </c>
      <c r="X205" s="2" t="str">
        <f>IF($A205="","",INDEX(v_data!$B$2:$L$1000,MATCH($A205,v_data!$A$3:$A$1000,0)+1,MATCH(LOWER(X$1),v_data!$B$2:$L$2,0)))</f>
        <v/>
      </c>
      <c r="Y205" s="2" t="str">
        <f t="shared" si="217"/>
        <v/>
      </c>
      <c r="Z205" s="2" t="str">
        <f>IF($A205="","",INDEX(v_data!$B$2:$L$1000,MATCH($A205,v_data!$A$3:$A$1000,0)+1,MATCH(LOWER(Z$1),v_data!$B$2:$L$2,0)))</f>
        <v/>
      </c>
      <c r="AA205" s="2" t="str">
        <f t="shared" si="218"/>
        <v/>
      </c>
      <c r="AB205" s="2" t="str">
        <f t="shared" si="219"/>
        <v/>
      </c>
      <c r="AC205" s="2">
        <f>(SUM(G205,I205,K205,M205,O205,Q205,S205,U205,W205,Y205,AA205)+IF(AND(G205&gt;0,I205&gt;0,K205&gt;0),100,0))*VLOOKUP(B205,variables!$A$2:$B$6,2,FALSE)</f>
        <v>80</v>
      </c>
      <c r="AD205" s="16" t="str">
        <f>IF($A205="","",INDEX(v_data!$B$2:$X$1000,MATCH($A205,v_data!$A$3:$A$1000,0)+1,MATCH(LOWER("hours"),v_data!$B$2:$X$2,0)))</f>
        <v/>
      </c>
    </row>
    <row r="206" spans="1:30" hidden="1" x14ac:dyDescent="0.25">
      <c r="A206" s="2" t="str">
        <f>IF(ISBLANK(v_data!A205),"",v_data!A205)</f>
        <v/>
      </c>
      <c r="B206" s="2" t="s">
        <v>22</v>
      </c>
      <c r="C206" s="2">
        <f>VLOOKUP(B206,variables!$A$2:$B$6,2,FALSE)</f>
        <v>0.8</v>
      </c>
      <c r="D206" s="4">
        <v>43826</v>
      </c>
      <c r="E206" s="4">
        <v>43431</v>
      </c>
      <c r="F206" s="2" t="str">
        <f>IF($A206="","",INDEX(v_data!$B$2:$L$1000,MATCH($A206,v_data!$A$3:$A$1000,0)+1,MATCH(LOWER(F$1),v_data!$B$2:$L$2,0)))</f>
        <v/>
      </c>
      <c r="G206" s="2" t="str">
        <f t="shared" si="208"/>
        <v/>
      </c>
      <c r="H206" s="2" t="str">
        <f>IF($A206="","",INDEX(v_data!$B$2:$L$1000,MATCH($A206,v_data!$A$3:$A$1000,0)+1,MATCH(LOWER(H$1),v_data!$B$2:$L$2,0)))</f>
        <v/>
      </c>
      <c r="I206" s="2" t="str">
        <f t="shared" si="209"/>
        <v/>
      </c>
      <c r="J206" s="2" t="str">
        <f>IF($A206="","",INDEX(v_data!$B$2:$L$1000,MATCH($A206,v_data!$A$3:$A$1000,0)+1,MATCH(LOWER(J$1),v_data!$B$2:$L$2,0)))</f>
        <v/>
      </c>
      <c r="K206" s="2" t="str">
        <f t="shared" si="210"/>
        <v/>
      </c>
      <c r="L206" s="2" t="str">
        <f>IF($A206="","",INDEX(v_data!$B$2:$L$1000,MATCH($A206,v_data!$A$3:$A$1000,0)+1,MATCH(LOWER(L$1),v_data!$B$2:$L$2,0)))</f>
        <v/>
      </c>
      <c r="M206" s="2" t="str">
        <f t="shared" si="211"/>
        <v/>
      </c>
      <c r="N206" s="2" t="str">
        <f>IF($A206="","",INDEX(v_data!$B$2:$L$1000,MATCH($A206,v_data!$A$3:$A$1000,0)+1,MATCH(LOWER(N$1),v_data!$B$2:$L$2,0)))</f>
        <v/>
      </c>
      <c r="O206" s="2" t="str">
        <f t="shared" si="212"/>
        <v/>
      </c>
      <c r="P206" s="2" t="str">
        <f>IF($A206="","",INDEX(v_data!$B$2:$L$1000,MATCH($A206,v_data!$A$3:$A$1000,0)+1,MATCH(LOWER(P$1),v_data!$B$2:$L$2,0)))</f>
        <v/>
      </c>
      <c r="Q206" s="2" t="str">
        <f t="shared" si="213"/>
        <v/>
      </c>
      <c r="R206" s="2" t="str">
        <f>IF($A206="","",INDEX(v_data!$B$2:$L$1000,MATCH($A206,v_data!$A$3:$A$1000,0)+1,MATCH(LOWER(R$1),v_data!$B$2:$L$2,0)))</f>
        <v/>
      </c>
      <c r="S206" s="2" t="str">
        <f t="shared" si="214"/>
        <v/>
      </c>
      <c r="T206" s="2" t="str">
        <f>IF($A206="","",INDEX(v_data!$B$2:$L$1000,MATCH($A206,v_data!$A$3:$A$1000,0)+1,MATCH(LOWER(T$1),v_data!$B$2:$L$2,0)))</f>
        <v/>
      </c>
      <c r="U206" s="2" t="str">
        <f t="shared" si="215"/>
        <v/>
      </c>
      <c r="V206" s="2" t="str">
        <f>IF($A206="","",INDEX(v_data!$B$2:$L$1000,MATCH($A206,v_data!$A$3:$A$1000,0)+1,MATCH(LOWER(V$1),v_data!$B$2:$L$2,0)))</f>
        <v/>
      </c>
      <c r="W206" s="2" t="str">
        <f t="shared" si="216"/>
        <v/>
      </c>
      <c r="X206" s="2" t="str">
        <f>IF($A206="","",INDEX(v_data!$B$2:$L$1000,MATCH($A206,v_data!$A$3:$A$1000,0)+1,MATCH(LOWER(X$1),v_data!$B$2:$L$2,0)))</f>
        <v/>
      </c>
      <c r="Y206" s="2" t="str">
        <f t="shared" si="217"/>
        <v/>
      </c>
      <c r="Z206" s="2" t="str">
        <f>IF($A206="","",INDEX(v_data!$B$2:$L$1000,MATCH($A206,v_data!$A$3:$A$1000,0)+1,MATCH(LOWER(Z$1),v_data!$B$2:$L$2,0)))</f>
        <v/>
      </c>
      <c r="AA206" s="2" t="str">
        <f t="shared" si="218"/>
        <v/>
      </c>
      <c r="AB206" s="2" t="str">
        <f t="shared" si="219"/>
        <v/>
      </c>
      <c r="AC206" s="2">
        <f>(SUM(G206,I206,K206,M206,O206,Q206,S206,U206,W206,Y206,AA206)+IF(AND(G206&gt;0,I206&gt;0,K206&gt;0),100,0))*VLOOKUP(B206,variables!$A$2:$B$6,2,FALSE)</f>
        <v>80</v>
      </c>
      <c r="AD206" s="16" t="str">
        <f>IF($A206="","",INDEX(v_data!$B$2:$X$1000,MATCH($A206,v_data!$A$3:$A$1000,0)+1,MATCH(LOWER("hours"),v_data!$B$2:$X$2,0)))</f>
        <v/>
      </c>
    </row>
    <row r="207" spans="1:30" hidden="1" x14ac:dyDescent="0.25">
      <c r="A207" s="2" t="str">
        <f>IF(ISBLANK(v_data!A206),"",v_data!A206)</f>
        <v/>
      </c>
      <c r="B207" s="2" t="s">
        <v>22</v>
      </c>
      <c r="C207" s="2">
        <f>VLOOKUP(B207,variables!$A$2:$B$6,2,FALSE)</f>
        <v>0.8</v>
      </c>
      <c r="D207" s="4">
        <v>43826</v>
      </c>
      <c r="E207" s="4">
        <v>43431</v>
      </c>
      <c r="F207" s="2" t="str">
        <f>IF($A207="","",INDEX(v_data!$B$2:$L$1000,MATCH($A207,v_data!$A$3:$A$1000,0)+1,MATCH(LOWER(F$1),v_data!$B$2:$L$2,0)))</f>
        <v/>
      </c>
      <c r="G207" s="2" t="str">
        <f t="shared" si="208"/>
        <v/>
      </c>
      <c r="H207" s="2" t="str">
        <f>IF($A207="","",INDEX(v_data!$B$2:$L$1000,MATCH($A207,v_data!$A$3:$A$1000,0)+1,MATCH(LOWER(H$1),v_data!$B$2:$L$2,0)))</f>
        <v/>
      </c>
      <c r="I207" s="2" t="str">
        <f t="shared" si="209"/>
        <v/>
      </c>
      <c r="J207" s="2" t="str">
        <f>IF($A207="","",INDEX(v_data!$B$2:$L$1000,MATCH($A207,v_data!$A$3:$A$1000,0)+1,MATCH(LOWER(J$1),v_data!$B$2:$L$2,0)))</f>
        <v/>
      </c>
      <c r="K207" s="2" t="str">
        <f t="shared" si="210"/>
        <v/>
      </c>
      <c r="L207" s="2" t="str">
        <f>IF($A207="","",INDEX(v_data!$B$2:$L$1000,MATCH($A207,v_data!$A$3:$A$1000,0)+1,MATCH(LOWER(L$1),v_data!$B$2:$L$2,0)))</f>
        <v/>
      </c>
      <c r="M207" s="2" t="str">
        <f t="shared" si="211"/>
        <v/>
      </c>
      <c r="N207" s="2" t="str">
        <f>IF($A207="","",INDEX(v_data!$B$2:$L$1000,MATCH($A207,v_data!$A$3:$A$1000,0)+1,MATCH(LOWER(N$1),v_data!$B$2:$L$2,0)))</f>
        <v/>
      </c>
      <c r="O207" s="2" t="str">
        <f t="shared" si="212"/>
        <v/>
      </c>
      <c r="P207" s="2" t="str">
        <f>IF($A207="","",INDEX(v_data!$B$2:$L$1000,MATCH($A207,v_data!$A$3:$A$1000,0)+1,MATCH(LOWER(P$1),v_data!$B$2:$L$2,0)))</f>
        <v/>
      </c>
      <c r="Q207" s="2" t="str">
        <f t="shared" si="213"/>
        <v/>
      </c>
      <c r="R207" s="2" t="str">
        <f>IF($A207="","",INDEX(v_data!$B$2:$L$1000,MATCH($A207,v_data!$A$3:$A$1000,0)+1,MATCH(LOWER(R$1),v_data!$B$2:$L$2,0)))</f>
        <v/>
      </c>
      <c r="S207" s="2" t="str">
        <f t="shared" si="214"/>
        <v/>
      </c>
      <c r="T207" s="2" t="str">
        <f>IF($A207="","",INDEX(v_data!$B$2:$L$1000,MATCH($A207,v_data!$A$3:$A$1000,0)+1,MATCH(LOWER(T$1),v_data!$B$2:$L$2,0)))</f>
        <v/>
      </c>
      <c r="U207" s="2" t="str">
        <f t="shared" si="215"/>
        <v/>
      </c>
      <c r="V207" s="2" t="str">
        <f>IF($A207="","",INDEX(v_data!$B$2:$L$1000,MATCH($A207,v_data!$A$3:$A$1000,0)+1,MATCH(LOWER(V$1),v_data!$B$2:$L$2,0)))</f>
        <v/>
      </c>
      <c r="W207" s="2" t="str">
        <f t="shared" si="216"/>
        <v/>
      </c>
      <c r="X207" s="2" t="str">
        <f>IF($A207="","",INDEX(v_data!$B$2:$L$1000,MATCH($A207,v_data!$A$3:$A$1000,0)+1,MATCH(LOWER(X$1),v_data!$B$2:$L$2,0)))</f>
        <v/>
      </c>
      <c r="Y207" s="2" t="str">
        <f t="shared" si="217"/>
        <v/>
      </c>
      <c r="Z207" s="2" t="str">
        <f>IF($A207="","",INDEX(v_data!$B$2:$L$1000,MATCH($A207,v_data!$A$3:$A$1000,0)+1,MATCH(LOWER(Z$1),v_data!$B$2:$L$2,0)))</f>
        <v/>
      </c>
      <c r="AA207" s="2" t="str">
        <f t="shared" si="218"/>
        <v/>
      </c>
      <c r="AB207" s="2" t="str">
        <f t="shared" si="219"/>
        <v/>
      </c>
      <c r="AC207" s="2">
        <f>(SUM(G207,I207,K207,M207,O207,Q207,S207,U207,W207,Y207,AA207)+IF(AND(G207&gt;0,I207&gt;0,K207&gt;0),100,0))*VLOOKUP(B207,variables!$A$2:$B$6,2,FALSE)</f>
        <v>80</v>
      </c>
      <c r="AD207" s="16" t="str">
        <f>IF($A207="","",INDEX(v_data!$B$2:$X$1000,MATCH($A207,v_data!$A$3:$A$1000,0)+1,MATCH(LOWER("hours"),v_data!$B$2:$X$2,0)))</f>
        <v/>
      </c>
    </row>
    <row r="208" spans="1:30" hidden="1" x14ac:dyDescent="0.25">
      <c r="A208" s="2" t="str">
        <f>IF(ISBLANK(v_data!A207),"",v_data!A207)</f>
        <v/>
      </c>
      <c r="B208" s="2" t="s">
        <v>22</v>
      </c>
      <c r="C208" s="2">
        <f>VLOOKUP(B208,variables!$A$2:$B$6,2,FALSE)</f>
        <v>0.8</v>
      </c>
      <c r="D208" s="4">
        <v>43826</v>
      </c>
      <c r="E208" s="4">
        <v>43431</v>
      </c>
      <c r="F208" s="2" t="str">
        <f>IF($A208="","",INDEX(v_data!$B$2:$L$1000,MATCH($A208,v_data!$A$3:$A$1000,0)+1,MATCH(LOWER(F$1),v_data!$B$2:$L$2,0)))</f>
        <v/>
      </c>
      <c r="G208" s="2" t="str">
        <f t="shared" si="208"/>
        <v/>
      </c>
      <c r="H208" s="2" t="str">
        <f>IF($A208="","",INDEX(v_data!$B$2:$L$1000,MATCH($A208,v_data!$A$3:$A$1000,0)+1,MATCH(LOWER(H$1),v_data!$B$2:$L$2,0)))</f>
        <v/>
      </c>
      <c r="I208" s="2" t="str">
        <f t="shared" si="209"/>
        <v/>
      </c>
      <c r="J208" s="2" t="str">
        <f>IF($A208="","",INDEX(v_data!$B$2:$L$1000,MATCH($A208,v_data!$A$3:$A$1000,0)+1,MATCH(LOWER(J$1),v_data!$B$2:$L$2,0)))</f>
        <v/>
      </c>
      <c r="K208" s="2" t="str">
        <f t="shared" si="210"/>
        <v/>
      </c>
      <c r="L208" s="2" t="str">
        <f>IF($A208="","",INDEX(v_data!$B$2:$L$1000,MATCH($A208,v_data!$A$3:$A$1000,0)+1,MATCH(LOWER(L$1),v_data!$B$2:$L$2,0)))</f>
        <v/>
      </c>
      <c r="M208" s="2" t="str">
        <f t="shared" si="211"/>
        <v/>
      </c>
      <c r="N208" s="2" t="str">
        <f>IF($A208="","",INDEX(v_data!$B$2:$L$1000,MATCH($A208,v_data!$A$3:$A$1000,0)+1,MATCH(LOWER(N$1),v_data!$B$2:$L$2,0)))</f>
        <v/>
      </c>
      <c r="O208" s="2" t="str">
        <f t="shared" si="212"/>
        <v/>
      </c>
      <c r="P208" s="2" t="str">
        <f>IF($A208="","",INDEX(v_data!$B$2:$L$1000,MATCH($A208,v_data!$A$3:$A$1000,0)+1,MATCH(LOWER(P$1),v_data!$B$2:$L$2,0)))</f>
        <v/>
      </c>
      <c r="Q208" s="2" t="str">
        <f t="shared" si="213"/>
        <v/>
      </c>
      <c r="R208" s="2" t="str">
        <f>IF($A208="","",INDEX(v_data!$B$2:$L$1000,MATCH($A208,v_data!$A$3:$A$1000,0)+1,MATCH(LOWER(R$1),v_data!$B$2:$L$2,0)))</f>
        <v/>
      </c>
      <c r="S208" s="2" t="str">
        <f t="shared" si="214"/>
        <v/>
      </c>
      <c r="T208" s="2" t="str">
        <f>IF($A208="","",INDEX(v_data!$B$2:$L$1000,MATCH($A208,v_data!$A$3:$A$1000,0)+1,MATCH(LOWER(T$1),v_data!$B$2:$L$2,0)))</f>
        <v/>
      </c>
      <c r="U208" s="2" t="str">
        <f t="shared" si="215"/>
        <v/>
      </c>
      <c r="V208" s="2" t="str">
        <f>IF($A208="","",INDEX(v_data!$B$2:$L$1000,MATCH($A208,v_data!$A$3:$A$1000,0)+1,MATCH(LOWER(V$1),v_data!$B$2:$L$2,0)))</f>
        <v/>
      </c>
      <c r="W208" s="2" t="str">
        <f t="shared" si="216"/>
        <v/>
      </c>
      <c r="X208" s="2" t="str">
        <f>IF($A208="","",INDEX(v_data!$B$2:$L$1000,MATCH($A208,v_data!$A$3:$A$1000,0)+1,MATCH(LOWER(X$1),v_data!$B$2:$L$2,0)))</f>
        <v/>
      </c>
      <c r="Y208" s="2" t="str">
        <f t="shared" si="217"/>
        <v/>
      </c>
      <c r="Z208" s="2" t="str">
        <f>IF($A208="","",INDEX(v_data!$B$2:$L$1000,MATCH($A208,v_data!$A$3:$A$1000,0)+1,MATCH(LOWER(Z$1),v_data!$B$2:$L$2,0)))</f>
        <v/>
      </c>
      <c r="AA208" s="2" t="str">
        <f t="shared" si="218"/>
        <v/>
      </c>
      <c r="AB208" s="2" t="str">
        <f t="shared" si="219"/>
        <v/>
      </c>
      <c r="AC208" s="2">
        <f>(SUM(G208,I208,K208,M208,O208,Q208,S208,U208,W208,Y208,AA208)+IF(AND(G208&gt;0,I208&gt;0,K208&gt;0),100,0))*VLOOKUP(B208,variables!$A$2:$B$6,2,FALSE)</f>
        <v>80</v>
      </c>
      <c r="AD208" s="16" t="str">
        <f>IF($A208="","",INDEX(v_data!$B$2:$X$1000,MATCH($A208,v_data!$A$3:$A$1000,0)+1,MATCH(LOWER("hours"),v_data!$B$2:$X$2,0)))</f>
        <v/>
      </c>
    </row>
    <row r="209" spans="1:30" hidden="1" x14ac:dyDescent="0.25">
      <c r="A209" s="2" t="str">
        <f>IF(ISBLANK(v_data!A208),"",v_data!A208)</f>
        <v/>
      </c>
      <c r="B209" s="2" t="s">
        <v>22</v>
      </c>
      <c r="C209" s="2">
        <f>VLOOKUP(B209,variables!$A$2:$B$6,2,FALSE)</f>
        <v>0.8</v>
      </c>
      <c r="D209" s="4">
        <v>43826</v>
      </c>
      <c r="E209" s="4">
        <v>43431</v>
      </c>
      <c r="F209" s="2" t="str">
        <f>IF($A209="","",INDEX(v_data!$B$2:$L$1000,MATCH($A209,v_data!$A$3:$A$1000,0)+1,MATCH(LOWER(F$1),v_data!$B$2:$L$2,0)))</f>
        <v/>
      </c>
      <c r="G209" s="2" t="str">
        <f t="shared" si="208"/>
        <v/>
      </c>
      <c r="H209" s="2" t="str">
        <f>IF($A209="","",INDEX(v_data!$B$2:$L$1000,MATCH($A209,v_data!$A$3:$A$1000,0)+1,MATCH(LOWER(H$1),v_data!$B$2:$L$2,0)))</f>
        <v/>
      </c>
      <c r="I209" s="2" t="str">
        <f t="shared" si="209"/>
        <v/>
      </c>
      <c r="J209" s="2" t="str">
        <f>IF($A209="","",INDEX(v_data!$B$2:$L$1000,MATCH($A209,v_data!$A$3:$A$1000,0)+1,MATCH(LOWER(J$1),v_data!$B$2:$L$2,0)))</f>
        <v/>
      </c>
      <c r="K209" s="2" t="str">
        <f t="shared" si="210"/>
        <v/>
      </c>
      <c r="L209" s="2" t="str">
        <f>IF($A209="","",INDEX(v_data!$B$2:$L$1000,MATCH($A209,v_data!$A$3:$A$1000,0)+1,MATCH(LOWER(L$1),v_data!$B$2:$L$2,0)))</f>
        <v/>
      </c>
      <c r="M209" s="2" t="str">
        <f t="shared" si="211"/>
        <v/>
      </c>
      <c r="N209" s="2" t="str">
        <f>IF($A209="","",INDEX(v_data!$B$2:$L$1000,MATCH($A209,v_data!$A$3:$A$1000,0)+1,MATCH(LOWER(N$1),v_data!$B$2:$L$2,0)))</f>
        <v/>
      </c>
      <c r="O209" s="2" t="str">
        <f t="shared" si="212"/>
        <v/>
      </c>
      <c r="P209" s="2" t="str">
        <f>IF($A209="","",INDEX(v_data!$B$2:$L$1000,MATCH($A209,v_data!$A$3:$A$1000,0)+1,MATCH(LOWER(P$1),v_data!$B$2:$L$2,0)))</f>
        <v/>
      </c>
      <c r="Q209" s="2" t="str">
        <f t="shared" si="213"/>
        <v/>
      </c>
      <c r="R209" s="2" t="str">
        <f>IF($A209="","",INDEX(v_data!$B$2:$L$1000,MATCH($A209,v_data!$A$3:$A$1000,0)+1,MATCH(LOWER(R$1),v_data!$B$2:$L$2,0)))</f>
        <v/>
      </c>
      <c r="S209" s="2" t="str">
        <f t="shared" si="214"/>
        <v/>
      </c>
      <c r="T209" s="2" t="str">
        <f>IF($A209="","",INDEX(v_data!$B$2:$L$1000,MATCH($A209,v_data!$A$3:$A$1000,0)+1,MATCH(LOWER(T$1),v_data!$B$2:$L$2,0)))</f>
        <v/>
      </c>
      <c r="U209" s="2" t="str">
        <f t="shared" si="215"/>
        <v/>
      </c>
      <c r="V209" s="2" t="str">
        <f>IF($A209="","",INDEX(v_data!$B$2:$L$1000,MATCH($A209,v_data!$A$3:$A$1000,0)+1,MATCH(LOWER(V$1),v_data!$B$2:$L$2,0)))</f>
        <v/>
      </c>
      <c r="W209" s="2" t="str">
        <f t="shared" si="216"/>
        <v/>
      </c>
      <c r="X209" s="2" t="str">
        <f>IF($A209="","",INDEX(v_data!$B$2:$L$1000,MATCH($A209,v_data!$A$3:$A$1000,0)+1,MATCH(LOWER(X$1),v_data!$B$2:$L$2,0)))</f>
        <v/>
      </c>
      <c r="Y209" s="2" t="str">
        <f t="shared" si="217"/>
        <v/>
      </c>
      <c r="Z209" s="2" t="str">
        <f>IF($A209="","",INDEX(v_data!$B$2:$L$1000,MATCH($A209,v_data!$A$3:$A$1000,0)+1,MATCH(LOWER(Z$1),v_data!$B$2:$L$2,0)))</f>
        <v/>
      </c>
      <c r="AA209" s="2" t="str">
        <f t="shared" si="218"/>
        <v/>
      </c>
      <c r="AB209" s="2" t="str">
        <f t="shared" si="219"/>
        <v/>
      </c>
      <c r="AC209" s="2">
        <f>(SUM(G209,I209,K209,M209,O209,Q209,S209,U209,W209,Y209,AA209)+IF(AND(G209&gt;0,I209&gt;0,K209&gt;0),100,0))*VLOOKUP(B209,variables!$A$2:$B$6,2,FALSE)</f>
        <v>80</v>
      </c>
      <c r="AD209" s="16" t="str">
        <f>IF($A209="","",INDEX(v_data!$B$2:$X$1000,MATCH($A209,v_data!$A$3:$A$1000,0)+1,MATCH(LOWER("hours"),v_data!$B$2:$X$2,0)))</f>
        <v/>
      </c>
    </row>
    <row r="210" spans="1:30" hidden="1" x14ac:dyDescent="0.25">
      <c r="A210" s="2" t="str">
        <f>IF(ISBLANK(v_data!A209),"",v_data!A209)</f>
        <v/>
      </c>
      <c r="B210" s="2" t="s">
        <v>22</v>
      </c>
      <c r="C210" s="2">
        <f>VLOOKUP(B210,variables!$A$2:$B$6,2,FALSE)</f>
        <v>0.8</v>
      </c>
      <c r="D210" s="4">
        <v>43826</v>
      </c>
      <c r="E210" s="4">
        <v>43431</v>
      </c>
      <c r="F210" s="2" t="str">
        <f>IF($A210="","",INDEX(v_data!$B$2:$L$1000,MATCH($A210,v_data!$A$3:$A$1000,0)+1,MATCH(LOWER(F$1),v_data!$B$2:$L$2,0)))</f>
        <v/>
      </c>
      <c r="G210" s="2" t="str">
        <f t="shared" si="208"/>
        <v/>
      </c>
      <c r="H210" s="2" t="str">
        <f>IF($A210="","",INDEX(v_data!$B$2:$L$1000,MATCH($A210,v_data!$A$3:$A$1000,0)+1,MATCH(LOWER(H$1),v_data!$B$2:$L$2,0)))</f>
        <v/>
      </c>
      <c r="I210" s="2" t="str">
        <f t="shared" si="209"/>
        <v/>
      </c>
      <c r="J210" s="2" t="str">
        <f>IF($A210="","",INDEX(v_data!$B$2:$L$1000,MATCH($A210,v_data!$A$3:$A$1000,0)+1,MATCH(LOWER(J$1),v_data!$B$2:$L$2,0)))</f>
        <v/>
      </c>
      <c r="K210" s="2" t="str">
        <f t="shared" si="210"/>
        <v/>
      </c>
      <c r="L210" s="2" t="str">
        <f>IF($A210="","",INDEX(v_data!$B$2:$L$1000,MATCH($A210,v_data!$A$3:$A$1000,0)+1,MATCH(LOWER(L$1),v_data!$B$2:$L$2,0)))</f>
        <v/>
      </c>
      <c r="M210" s="2" t="str">
        <f t="shared" si="211"/>
        <v/>
      </c>
      <c r="N210" s="2" t="str">
        <f>IF($A210="","",INDEX(v_data!$B$2:$L$1000,MATCH($A210,v_data!$A$3:$A$1000,0)+1,MATCH(LOWER(N$1),v_data!$B$2:$L$2,0)))</f>
        <v/>
      </c>
      <c r="O210" s="2" t="str">
        <f t="shared" si="212"/>
        <v/>
      </c>
      <c r="P210" s="2" t="str">
        <f>IF($A210="","",INDEX(v_data!$B$2:$L$1000,MATCH($A210,v_data!$A$3:$A$1000,0)+1,MATCH(LOWER(P$1),v_data!$B$2:$L$2,0)))</f>
        <v/>
      </c>
      <c r="Q210" s="2" t="str">
        <f t="shared" si="213"/>
        <v/>
      </c>
      <c r="R210" s="2" t="str">
        <f>IF($A210="","",INDEX(v_data!$B$2:$L$1000,MATCH($A210,v_data!$A$3:$A$1000,0)+1,MATCH(LOWER(R$1),v_data!$B$2:$L$2,0)))</f>
        <v/>
      </c>
      <c r="S210" s="2" t="str">
        <f t="shared" si="214"/>
        <v/>
      </c>
      <c r="T210" s="2" t="str">
        <f>IF($A210="","",INDEX(v_data!$B$2:$L$1000,MATCH($A210,v_data!$A$3:$A$1000,0)+1,MATCH(LOWER(T$1),v_data!$B$2:$L$2,0)))</f>
        <v/>
      </c>
      <c r="U210" s="2" t="str">
        <f t="shared" si="215"/>
        <v/>
      </c>
      <c r="V210" s="2" t="str">
        <f>IF($A210="","",INDEX(v_data!$B$2:$L$1000,MATCH($A210,v_data!$A$3:$A$1000,0)+1,MATCH(LOWER(V$1),v_data!$B$2:$L$2,0)))</f>
        <v/>
      </c>
      <c r="W210" s="2" t="str">
        <f t="shared" si="216"/>
        <v/>
      </c>
      <c r="X210" s="2" t="str">
        <f>IF($A210="","",INDEX(v_data!$B$2:$L$1000,MATCH($A210,v_data!$A$3:$A$1000,0)+1,MATCH(LOWER(X$1),v_data!$B$2:$L$2,0)))</f>
        <v/>
      </c>
      <c r="Y210" s="2" t="str">
        <f t="shared" si="217"/>
        <v/>
      </c>
      <c r="Z210" s="2" t="str">
        <f>IF($A210="","",INDEX(v_data!$B$2:$L$1000,MATCH($A210,v_data!$A$3:$A$1000,0)+1,MATCH(LOWER(Z$1),v_data!$B$2:$L$2,0)))</f>
        <v/>
      </c>
      <c r="AA210" s="2" t="str">
        <f t="shared" si="218"/>
        <v/>
      </c>
      <c r="AB210" s="2" t="str">
        <f t="shared" si="219"/>
        <v/>
      </c>
      <c r="AC210" s="2">
        <f>(SUM(G210,I210,K210,M210,O210,Q210,S210,U210,W210,Y210,AA210)+IF(AND(G210&gt;0,I210&gt;0,K210&gt;0),100,0))*VLOOKUP(B210,variables!$A$2:$B$6,2,FALSE)</f>
        <v>80</v>
      </c>
      <c r="AD210" s="16" t="str">
        <f>IF($A210="","",INDEX(v_data!$B$2:$X$1000,MATCH($A210,v_data!$A$3:$A$1000,0)+1,MATCH(LOWER("hours"),v_data!$B$2:$X$2,0)))</f>
        <v/>
      </c>
    </row>
    <row r="211" spans="1:30" hidden="1" x14ac:dyDescent="0.25">
      <c r="A211" s="2" t="str">
        <f>IF(ISBLANK(v_data!A210),"",v_data!A210)</f>
        <v/>
      </c>
      <c r="B211" s="2" t="s">
        <v>22</v>
      </c>
      <c r="C211" s="2">
        <f>VLOOKUP(B211,variables!$A$2:$B$6,2,FALSE)</f>
        <v>0.8</v>
      </c>
      <c r="D211" s="4">
        <v>43826</v>
      </c>
      <c r="E211" s="4">
        <v>43431</v>
      </c>
      <c r="F211" s="2" t="str">
        <f>IF($A211="","",INDEX(v_data!$B$2:$L$1000,MATCH($A211,v_data!$A$3:$A$1000,0)+1,MATCH(LOWER(F$1),v_data!$B$2:$L$2,0)))</f>
        <v/>
      </c>
      <c r="G211" s="2" t="str">
        <f t="shared" si="208"/>
        <v/>
      </c>
      <c r="H211" s="2" t="str">
        <f>IF($A211="","",INDEX(v_data!$B$2:$L$1000,MATCH($A211,v_data!$A$3:$A$1000,0)+1,MATCH(LOWER(H$1),v_data!$B$2:$L$2,0)))</f>
        <v/>
      </c>
      <c r="I211" s="2" t="str">
        <f t="shared" si="209"/>
        <v/>
      </c>
      <c r="J211" s="2" t="str">
        <f>IF($A211="","",INDEX(v_data!$B$2:$L$1000,MATCH($A211,v_data!$A$3:$A$1000,0)+1,MATCH(LOWER(J$1),v_data!$B$2:$L$2,0)))</f>
        <v/>
      </c>
      <c r="K211" s="2" t="str">
        <f t="shared" si="210"/>
        <v/>
      </c>
      <c r="L211" s="2" t="str">
        <f>IF($A211="","",INDEX(v_data!$B$2:$L$1000,MATCH($A211,v_data!$A$3:$A$1000,0)+1,MATCH(LOWER(L$1),v_data!$B$2:$L$2,0)))</f>
        <v/>
      </c>
      <c r="M211" s="2" t="str">
        <f t="shared" si="211"/>
        <v/>
      </c>
      <c r="N211" s="2" t="str">
        <f>IF($A211="","",INDEX(v_data!$B$2:$L$1000,MATCH($A211,v_data!$A$3:$A$1000,0)+1,MATCH(LOWER(N$1),v_data!$B$2:$L$2,0)))</f>
        <v/>
      </c>
      <c r="O211" s="2" t="str">
        <f t="shared" si="212"/>
        <v/>
      </c>
      <c r="P211" s="2" t="str">
        <f>IF($A211="","",INDEX(v_data!$B$2:$L$1000,MATCH($A211,v_data!$A$3:$A$1000,0)+1,MATCH(LOWER(P$1),v_data!$B$2:$L$2,0)))</f>
        <v/>
      </c>
      <c r="Q211" s="2" t="str">
        <f t="shared" si="213"/>
        <v/>
      </c>
      <c r="R211" s="2" t="str">
        <f>IF($A211="","",INDEX(v_data!$B$2:$L$1000,MATCH($A211,v_data!$A$3:$A$1000,0)+1,MATCH(LOWER(R$1),v_data!$B$2:$L$2,0)))</f>
        <v/>
      </c>
      <c r="S211" s="2" t="str">
        <f t="shared" si="214"/>
        <v/>
      </c>
      <c r="T211" s="2" t="str">
        <f>IF($A211="","",INDEX(v_data!$B$2:$L$1000,MATCH($A211,v_data!$A$3:$A$1000,0)+1,MATCH(LOWER(T$1),v_data!$B$2:$L$2,0)))</f>
        <v/>
      </c>
      <c r="U211" s="2" t="str">
        <f t="shared" si="215"/>
        <v/>
      </c>
      <c r="V211" s="2" t="str">
        <f>IF($A211="","",INDEX(v_data!$B$2:$L$1000,MATCH($A211,v_data!$A$3:$A$1000,0)+1,MATCH(LOWER(V$1),v_data!$B$2:$L$2,0)))</f>
        <v/>
      </c>
      <c r="W211" s="2" t="str">
        <f t="shared" si="216"/>
        <v/>
      </c>
      <c r="X211" s="2" t="str">
        <f>IF($A211="","",INDEX(v_data!$B$2:$L$1000,MATCH($A211,v_data!$A$3:$A$1000,0)+1,MATCH(LOWER(X$1),v_data!$B$2:$L$2,0)))</f>
        <v/>
      </c>
      <c r="Y211" s="2" t="str">
        <f t="shared" si="217"/>
        <v/>
      </c>
      <c r="Z211" s="2" t="str">
        <f>IF($A211="","",INDEX(v_data!$B$2:$L$1000,MATCH($A211,v_data!$A$3:$A$1000,0)+1,MATCH(LOWER(Z$1),v_data!$B$2:$L$2,0)))</f>
        <v/>
      </c>
      <c r="AA211" s="2" t="str">
        <f t="shared" si="218"/>
        <v/>
      </c>
      <c r="AB211" s="2" t="str">
        <f t="shared" si="219"/>
        <v/>
      </c>
      <c r="AC211" s="2">
        <f>(SUM(G211,I211,K211,M211,O211,Q211,S211,U211,W211,Y211,AA211)+IF(AND(G211&gt;0,I211&gt;0,K211&gt;0),100,0))*VLOOKUP(B211,variables!$A$2:$B$6,2,FALSE)</f>
        <v>80</v>
      </c>
      <c r="AD211" s="16" t="str">
        <f>IF($A211="","",INDEX(v_data!$B$2:$X$1000,MATCH($A211,v_data!$A$3:$A$1000,0)+1,MATCH(LOWER("hours"),v_data!$B$2:$X$2,0)))</f>
        <v/>
      </c>
    </row>
    <row r="212" spans="1:30" hidden="1" x14ac:dyDescent="0.25">
      <c r="A212" s="2" t="str">
        <f>IF(ISBLANK(v_data!A211),"",v_data!A211)</f>
        <v/>
      </c>
      <c r="B212" s="2" t="s">
        <v>22</v>
      </c>
      <c r="C212" s="2">
        <f>VLOOKUP(B212,variables!$A$2:$B$6,2,FALSE)</f>
        <v>0.8</v>
      </c>
      <c r="D212" s="4">
        <v>43826</v>
      </c>
      <c r="E212" s="4">
        <v>43431</v>
      </c>
      <c r="F212" s="2" t="str">
        <f>IF($A212="","",INDEX(v_data!$B$2:$L$1000,MATCH($A212,v_data!$A$3:$A$1000,0)+1,MATCH(LOWER(F$1),v_data!$B$2:$L$2,0)))</f>
        <v/>
      </c>
      <c r="G212" s="2" t="str">
        <f t="shared" si="208"/>
        <v/>
      </c>
      <c r="H212" s="2" t="str">
        <f>IF($A212="","",INDEX(v_data!$B$2:$L$1000,MATCH($A212,v_data!$A$3:$A$1000,0)+1,MATCH(LOWER(H$1),v_data!$B$2:$L$2,0)))</f>
        <v/>
      </c>
      <c r="I212" s="2" t="str">
        <f t="shared" si="209"/>
        <v/>
      </c>
      <c r="J212" s="2" t="str">
        <f>IF($A212="","",INDEX(v_data!$B$2:$L$1000,MATCH($A212,v_data!$A$3:$A$1000,0)+1,MATCH(LOWER(J$1),v_data!$B$2:$L$2,0)))</f>
        <v/>
      </c>
      <c r="K212" s="2" t="str">
        <f t="shared" si="210"/>
        <v/>
      </c>
      <c r="L212" s="2" t="str">
        <f>IF($A212="","",INDEX(v_data!$B$2:$L$1000,MATCH($A212,v_data!$A$3:$A$1000,0)+1,MATCH(LOWER(L$1),v_data!$B$2:$L$2,0)))</f>
        <v/>
      </c>
      <c r="M212" s="2" t="str">
        <f t="shared" si="211"/>
        <v/>
      </c>
      <c r="N212" s="2" t="str">
        <f>IF($A212="","",INDEX(v_data!$B$2:$L$1000,MATCH($A212,v_data!$A$3:$A$1000,0)+1,MATCH(LOWER(N$1),v_data!$B$2:$L$2,0)))</f>
        <v/>
      </c>
      <c r="O212" s="2" t="str">
        <f t="shared" si="212"/>
        <v/>
      </c>
      <c r="P212" s="2" t="str">
        <f>IF($A212="","",INDEX(v_data!$B$2:$L$1000,MATCH($A212,v_data!$A$3:$A$1000,0)+1,MATCH(LOWER(P$1),v_data!$B$2:$L$2,0)))</f>
        <v/>
      </c>
      <c r="Q212" s="2" t="str">
        <f t="shared" si="213"/>
        <v/>
      </c>
      <c r="R212" s="2" t="str">
        <f>IF($A212="","",INDEX(v_data!$B$2:$L$1000,MATCH($A212,v_data!$A$3:$A$1000,0)+1,MATCH(LOWER(R$1),v_data!$B$2:$L$2,0)))</f>
        <v/>
      </c>
      <c r="S212" s="2" t="str">
        <f t="shared" si="214"/>
        <v/>
      </c>
      <c r="T212" s="2" t="str">
        <f>IF($A212="","",INDEX(v_data!$B$2:$L$1000,MATCH($A212,v_data!$A$3:$A$1000,0)+1,MATCH(LOWER(T$1),v_data!$B$2:$L$2,0)))</f>
        <v/>
      </c>
      <c r="U212" s="2" t="str">
        <f t="shared" si="215"/>
        <v/>
      </c>
      <c r="V212" s="2" t="str">
        <f>IF($A212="","",INDEX(v_data!$B$2:$L$1000,MATCH($A212,v_data!$A$3:$A$1000,0)+1,MATCH(LOWER(V$1),v_data!$B$2:$L$2,0)))</f>
        <v/>
      </c>
      <c r="W212" s="2" t="str">
        <f t="shared" si="216"/>
        <v/>
      </c>
      <c r="X212" s="2" t="str">
        <f>IF($A212="","",INDEX(v_data!$B$2:$L$1000,MATCH($A212,v_data!$A$3:$A$1000,0)+1,MATCH(LOWER(X$1),v_data!$B$2:$L$2,0)))</f>
        <v/>
      </c>
      <c r="Y212" s="2" t="str">
        <f t="shared" si="217"/>
        <v/>
      </c>
      <c r="Z212" s="2" t="str">
        <f>IF($A212="","",INDEX(v_data!$B$2:$L$1000,MATCH($A212,v_data!$A$3:$A$1000,0)+1,MATCH(LOWER(Z$1),v_data!$B$2:$L$2,0)))</f>
        <v/>
      </c>
      <c r="AA212" s="2" t="str">
        <f t="shared" si="218"/>
        <v/>
      </c>
      <c r="AB212" s="2" t="str">
        <f t="shared" si="219"/>
        <v/>
      </c>
      <c r="AC212" s="2">
        <f>(SUM(G212,I212,K212,M212,O212,Q212,S212,U212,W212,Y212,AA212)+IF(AND(G212&gt;0,I212&gt;0,K212&gt;0),100,0))*VLOOKUP(B212,variables!$A$2:$B$6,2,FALSE)</f>
        <v>80</v>
      </c>
      <c r="AD212" s="16" t="str">
        <f>IF($A212="","",INDEX(v_data!$B$2:$X$1000,MATCH($A212,v_data!$A$3:$A$1000,0)+1,MATCH(LOWER("hours"),v_data!$B$2:$X$2,0)))</f>
        <v/>
      </c>
    </row>
    <row r="213" spans="1:30" hidden="1" x14ac:dyDescent="0.25">
      <c r="A213" s="2" t="str">
        <f>IF(ISBLANK(v_data!A212),"",v_data!A212)</f>
        <v/>
      </c>
      <c r="B213" s="2" t="s">
        <v>22</v>
      </c>
      <c r="C213" s="2">
        <f>VLOOKUP(B213,variables!$A$2:$B$6,2,FALSE)</f>
        <v>0.8</v>
      </c>
      <c r="D213" s="4">
        <v>43826</v>
      </c>
      <c r="E213" s="4">
        <v>43431</v>
      </c>
      <c r="F213" s="2" t="str">
        <f>IF($A213="","",INDEX(v_data!$B$2:$L$1000,MATCH($A213,v_data!$A$3:$A$1000,0)+1,MATCH(LOWER(F$1),v_data!$B$2:$L$2,0)))</f>
        <v/>
      </c>
      <c r="G213" s="2" t="str">
        <f t="shared" si="208"/>
        <v/>
      </c>
      <c r="H213" s="2" t="str">
        <f>IF($A213="","",INDEX(v_data!$B$2:$L$1000,MATCH($A213,v_data!$A$3:$A$1000,0)+1,MATCH(LOWER(H$1),v_data!$B$2:$L$2,0)))</f>
        <v/>
      </c>
      <c r="I213" s="2" t="str">
        <f t="shared" si="209"/>
        <v/>
      </c>
      <c r="J213" s="2" t="str">
        <f>IF($A213="","",INDEX(v_data!$B$2:$L$1000,MATCH($A213,v_data!$A$3:$A$1000,0)+1,MATCH(LOWER(J$1),v_data!$B$2:$L$2,0)))</f>
        <v/>
      </c>
      <c r="K213" s="2" t="str">
        <f t="shared" si="210"/>
        <v/>
      </c>
      <c r="L213" s="2" t="str">
        <f>IF($A213="","",INDEX(v_data!$B$2:$L$1000,MATCH($A213,v_data!$A$3:$A$1000,0)+1,MATCH(LOWER(L$1),v_data!$B$2:$L$2,0)))</f>
        <v/>
      </c>
      <c r="M213" s="2" t="str">
        <f t="shared" si="211"/>
        <v/>
      </c>
      <c r="N213" s="2" t="str">
        <f>IF($A213="","",INDEX(v_data!$B$2:$L$1000,MATCH($A213,v_data!$A$3:$A$1000,0)+1,MATCH(LOWER(N$1),v_data!$B$2:$L$2,0)))</f>
        <v/>
      </c>
      <c r="O213" s="2" t="str">
        <f t="shared" si="212"/>
        <v/>
      </c>
      <c r="P213" s="2" t="str">
        <f>IF($A213="","",INDEX(v_data!$B$2:$L$1000,MATCH($A213,v_data!$A$3:$A$1000,0)+1,MATCH(LOWER(P$1),v_data!$B$2:$L$2,0)))</f>
        <v/>
      </c>
      <c r="Q213" s="2" t="str">
        <f t="shared" si="213"/>
        <v/>
      </c>
      <c r="R213" s="2" t="str">
        <f>IF($A213="","",INDEX(v_data!$B$2:$L$1000,MATCH($A213,v_data!$A$3:$A$1000,0)+1,MATCH(LOWER(R$1),v_data!$B$2:$L$2,0)))</f>
        <v/>
      </c>
      <c r="S213" s="2" t="str">
        <f t="shared" si="214"/>
        <v/>
      </c>
      <c r="T213" s="2" t="str">
        <f>IF($A213="","",INDEX(v_data!$B$2:$L$1000,MATCH($A213,v_data!$A$3:$A$1000,0)+1,MATCH(LOWER(T$1),v_data!$B$2:$L$2,0)))</f>
        <v/>
      </c>
      <c r="U213" s="2" t="str">
        <f t="shared" si="215"/>
        <v/>
      </c>
      <c r="V213" s="2" t="str">
        <f>IF($A213="","",INDEX(v_data!$B$2:$L$1000,MATCH($A213,v_data!$A$3:$A$1000,0)+1,MATCH(LOWER(V$1),v_data!$B$2:$L$2,0)))</f>
        <v/>
      </c>
      <c r="W213" s="2" t="str">
        <f t="shared" si="216"/>
        <v/>
      </c>
      <c r="X213" s="2" t="str">
        <f>IF($A213="","",INDEX(v_data!$B$2:$L$1000,MATCH($A213,v_data!$A$3:$A$1000,0)+1,MATCH(LOWER(X$1),v_data!$B$2:$L$2,0)))</f>
        <v/>
      </c>
      <c r="Y213" s="2" t="str">
        <f t="shared" si="217"/>
        <v/>
      </c>
      <c r="Z213" s="2" t="str">
        <f>IF($A213="","",INDEX(v_data!$B$2:$L$1000,MATCH($A213,v_data!$A$3:$A$1000,0)+1,MATCH(LOWER(Z$1),v_data!$B$2:$L$2,0)))</f>
        <v/>
      </c>
      <c r="AA213" s="2" t="str">
        <f t="shared" si="218"/>
        <v/>
      </c>
      <c r="AB213" s="2" t="str">
        <f t="shared" si="219"/>
        <v/>
      </c>
      <c r="AC213" s="2">
        <f>(SUM(G213,I213,K213,M213,O213,Q213,S213,U213,W213,Y213,AA213)+IF(AND(G213&gt;0,I213&gt;0,K213&gt;0),100,0))*VLOOKUP(B213,variables!$A$2:$B$6,2,FALSE)</f>
        <v>80</v>
      </c>
      <c r="AD213" s="16" t="str">
        <f>IF($A213="","",INDEX(v_data!$B$2:$X$1000,MATCH($A213,v_data!$A$3:$A$1000,0)+1,MATCH(LOWER("hours"),v_data!$B$2:$X$2,0)))</f>
        <v/>
      </c>
    </row>
    <row r="214" spans="1:30" hidden="1" x14ac:dyDescent="0.25">
      <c r="A214" s="2" t="str">
        <f>IF(ISBLANK(v_data!A213),"",v_data!A213)</f>
        <v/>
      </c>
      <c r="B214" s="2" t="s">
        <v>22</v>
      </c>
      <c r="C214" s="2">
        <f>VLOOKUP(B214,variables!$A$2:$B$6,2,FALSE)</f>
        <v>0.8</v>
      </c>
      <c r="D214" s="4">
        <v>43826</v>
      </c>
      <c r="E214" s="4">
        <v>43431</v>
      </c>
      <c r="F214" s="2" t="str">
        <f>IF($A214="","",INDEX(v_data!$B$2:$L$1000,MATCH($A214,v_data!$A$3:$A$1000,0)+1,MATCH(LOWER(F$1),v_data!$B$2:$L$2,0)))</f>
        <v/>
      </c>
      <c r="G214" s="2" t="str">
        <f t="shared" si="208"/>
        <v/>
      </c>
      <c r="H214" s="2" t="str">
        <f>IF($A214="","",INDEX(v_data!$B$2:$L$1000,MATCH($A214,v_data!$A$3:$A$1000,0)+1,MATCH(LOWER(H$1),v_data!$B$2:$L$2,0)))</f>
        <v/>
      </c>
      <c r="I214" s="2" t="str">
        <f t="shared" si="209"/>
        <v/>
      </c>
      <c r="J214" s="2" t="str">
        <f>IF($A214="","",INDEX(v_data!$B$2:$L$1000,MATCH($A214,v_data!$A$3:$A$1000,0)+1,MATCH(LOWER(J$1),v_data!$B$2:$L$2,0)))</f>
        <v/>
      </c>
      <c r="K214" s="2" t="str">
        <f t="shared" si="210"/>
        <v/>
      </c>
      <c r="L214" s="2" t="str">
        <f>IF($A214="","",INDEX(v_data!$B$2:$L$1000,MATCH($A214,v_data!$A$3:$A$1000,0)+1,MATCH(LOWER(L$1),v_data!$B$2:$L$2,0)))</f>
        <v/>
      </c>
      <c r="M214" s="2" t="str">
        <f t="shared" si="211"/>
        <v/>
      </c>
      <c r="N214" s="2" t="str">
        <f>IF($A214="","",INDEX(v_data!$B$2:$L$1000,MATCH($A214,v_data!$A$3:$A$1000,0)+1,MATCH(LOWER(N$1),v_data!$B$2:$L$2,0)))</f>
        <v/>
      </c>
      <c r="O214" s="2" t="str">
        <f t="shared" si="212"/>
        <v/>
      </c>
      <c r="P214" s="2" t="str">
        <f>IF($A214="","",INDEX(v_data!$B$2:$L$1000,MATCH($A214,v_data!$A$3:$A$1000,0)+1,MATCH(LOWER(P$1),v_data!$B$2:$L$2,0)))</f>
        <v/>
      </c>
      <c r="Q214" s="2" t="str">
        <f t="shared" si="213"/>
        <v/>
      </c>
      <c r="R214" s="2" t="str">
        <f>IF($A214="","",INDEX(v_data!$B$2:$L$1000,MATCH($A214,v_data!$A$3:$A$1000,0)+1,MATCH(LOWER(R$1),v_data!$B$2:$L$2,0)))</f>
        <v/>
      </c>
      <c r="S214" s="2" t="str">
        <f t="shared" si="214"/>
        <v/>
      </c>
      <c r="T214" s="2" t="str">
        <f>IF($A214="","",INDEX(v_data!$B$2:$L$1000,MATCH($A214,v_data!$A$3:$A$1000,0)+1,MATCH(LOWER(T$1),v_data!$B$2:$L$2,0)))</f>
        <v/>
      </c>
      <c r="U214" s="2" t="str">
        <f t="shared" si="215"/>
        <v/>
      </c>
      <c r="V214" s="2" t="str">
        <f>IF($A214="","",INDEX(v_data!$B$2:$L$1000,MATCH($A214,v_data!$A$3:$A$1000,0)+1,MATCH(LOWER(V$1),v_data!$B$2:$L$2,0)))</f>
        <v/>
      </c>
      <c r="W214" s="2" t="str">
        <f t="shared" si="216"/>
        <v/>
      </c>
      <c r="X214" s="2" t="str">
        <f>IF($A214="","",INDEX(v_data!$B$2:$L$1000,MATCH($A214,v_data!$A$3:$A$1000,0)+1,MATCH(LOWER(X$1),v_data!$B$2:$L$2,0)))</f>
        <v/>
      </c>
      <c r="Y214" s="2" t="str">
        <f t="shared" si="217"/>
        <v/>
      </c>
      <c r="Z214" s="2" t="str">
        <f>IF($A214="","",INDEX(v_data!$B$2:$L$1000,MATCH($A214,v_data!$A$3:$A$1000,0)+1,MATCH(LOWER(Z$1),v_data!$B$2:$L$2,0)))</f>
        <v/>
      </c>
      <c r="AA214" s="2" t="str">
        <f t="shared" si="218"/>
        <v/>
      </c>
      <c r="AB214" s="2" t="str">
        <f t="shared" si="219"/>
        <v/>
      </c>
      <c r="AC214" s="2">
        <f>(SUM(G214,I214,K214,M214,O214,Q214,S214,U214,W214,Y214,AA214)+IF(AND(G214&gt;0,I214&gt;0,K214&gt;0),100,0))*VLOOKUP(B214,variables!$A$2:$B$6,2,FALSE)</f>
        <v>80</v>
      </c>
      <c r="AD214" s="16" t="str">
        <f>IF($A214="","",INDEX(v_data!$B$2:$X$1000,MATCH($A214,v_data!$A$3:$A$1000,0)+1,MATCH(LOWER("hours"),v_data!$B$2:$X$2,0)))</f>
        <v/>
      </c>
    </row>
    <row r="215" spans="1:30" hidden="1" x14ac:dyDescent="0.25">
      <c r="A215" s="2" t="str">
        <f>IF(ISBLANK(v_data!A214),"",v_data!A214)</f>
        <v/>
      </c>
      <c r="B215" s="2" t="s">
        <v>22</v>
      </c>
      <c r="C215" s="2">
        <f>VLOOKUP(B215,variables!$A$2:$B$6,2,FALSE)</f>
        <v>0.8</v>
      </c>
      <c r="D215" s="4">
        <v>43826</v>
      </c>
      <c r="E215" s="4">
        <v>43431</v>
      </c>
      <c r="F215" s="2" t="str">
        <f>IF($A215="","",INDEX(v_data!$B$2:$L$1000,MATCH($A215,v_data!$A$3:$A$1000,0)+1,MATCH(LOWER(F$1),v_data!$B$2:$L$2,0)))</f>
        <v/>
      </c>
      <c r="G215" s="2" t="str">
        <f t="shared" si="208"/>
        <v/>
      </c>
      <c r="H215" s="2" t="str">
        <f>IF($A215="","",INDEX(v_data!$B$2:$L$1000,MATCH($A215,v_data!$A$3:$A$1000,0)+1,MATCH(LOWER(H$1),v_data!$B$2:$L$2,0)))</f>
        <v/>
      </c>
      <c r="I215" s="2" t="str">
        <f t="shared" si="209"/>
        <v/>
      </c>
      <c r="J215" s="2" t="str">
        <f>IF($A215="","",INDEX(v_data!$B$2:$L$1000,MATCH($A215,v_data!$A$3:$A$1000,0)+1,MATCH(LOWER(J$1),v_data!$B$2:$L$2,0)))</f>
        <v/>
      </c>
      <c r="K215" s="2" t="str">
        <f t="shared" si="210"/>
        <v/>
      </c>
      <c r="L215" s="2" t="str">
        <f>IF($A215="","",INDEX(v_data!$B$2:$L$1000,MATCH($A215,v_data!$A$3:$A$1000,0)+1,MATCH(LOWER(L$1),v_data!$B$2:$L$2,0)))</f>
        <v/>
      </c>
      <c r="M215" s="2" t="str">
        <f t="shared" si="211"/>
        <v/>
      </c>
      <c r="N215" s="2" t="str">
        <f>IF($A215="","",INDEX(v_data!$B$2:$L$1000,MATCH($A215,v_data!$A$3:$A$1000,0)+1,MATCH(LOWER(N$1),v_data!$B$2:$L$2,0)))</f>
        <v/>
      </c>
      <c r="O215" s="2" t="str">
        <f t="shared" si="212"/>
        <v/>
      </c>
      <c r="P215" s="2" t="str">
        <f>IF($A215="","",INDEX(v_data!$B$2:$L$1000,MATCH($A215,v_data!$A$3:$A$1000,0)+1,MATCH(LOWER(P$1),v_data!$B$2:$L$2,0)))</f>
        <v/>
      </c>
      <c r="Q215" s="2" t="str">
        <f t="shared" si="213"/>
        <v/>
      </c>
      <c r="R215" s="2" t="str">
        <f>IF($A215="","",INDEX(v_data!$B$2:$L$1000,MATCH($A215,v_data!$A$3:$A$1000,0)+1,MATCH(LOWER(R$1),v_data!$B$2:$L$2,0)))</f>
        <v/>
      </c>
      <c r="S215" s="2" t="str">
        <f t="shared" si="214"/>
        <v/>
      </c>
      <c r="T215" s="2" t="str">
        <f>IF($A215="","",INDEX(v_data!$B$2:$L$1000,MATCH($A215,v_data!$A$3:$A$1000,0)+1,MATCH(LOWER(T$1),v_data!$B$2:$L$2,0)))</f>
        <v/>
      </c>
      <c r="U215" s="2" t="str">
        <f t="shared" si="215"/>
        <v/>
      </c>
      <c r="V215" s="2" t="str">
        <f>IF($A215="","",INDEX(v_data!$B$2:$L$1000,MATCH($A215,v_data!$A$3:$A$1000,0)+1,MATCH(LOWER(V$1),v_data!$B$2:$L$2,0)))</f>
        <v/>
      </c>
      <c r="W215" s="2" t="str">
        <f t="shared" si="216"/>
        <v/>
      </c>
      <c r="X215" s="2" t="str">
        <f>IF($A215="","",INDEX(v_data!$B$2:$L$1000,MATCH($A215,v_data!$A$3:$A$1000,0)+1,MATCH(LOWER(X$1),v_data!$B$2:$L$2,0)))</f>
        <v/>
      </c>
      <c r="Y215" s="2" t="str">
        <f t="shared" si="217"/>
        <v/>
      </c>
      <c r="Z215" s="2" t="str">
        <f>IF($A215="","",INDEX(v_data!$B$2:$L$1000,MATCH($A215,v_data!$A$3:$A$1000,0)+1,MATCH(LOWER(Z$1),v_data!$B$2:$L$2,0)))</f>
        <v/>
      </c>
      <c r="AA215" s="2" t="str">
        <f t="shared" si="218"/>
        <v/>
      </c>
      <c r="AB215" s="2" t="str">
        <f t="shared" si="219"/>
        <v/>
      </c>
      <c r="AC215" s="2">
        <f>(SUM(G215,I215,K215,M215,O215,Q215,S215,U215,W215,Y215,AA215)+IF(AND(G215&gt;0,I215&gt;0,K215&gt;0),100,0))*VLOOKUP(B215,variables!$A$2:$B$6,2,FALSE)</f>
        <v>80</v>
      </c>
      <c r="AD215" s="16" t="str">
        <f>IF($A215="","",INDEX(v_data!$B$2:$X$1000,MATCH($A215,v_data!$A$3:$A$1000,0)+1,MATCH(LOWER("hours"),v_data!$B$2:$X$2,0)))</f>
        <v/>
      </c>
    </row>
    <row r="216" spans="1:30" hidden="1" x14ac:dyDescent="0.25">
      <c r="A216" s="2" t="str">
        <f>IF(ISBLANK(v_data!A215),"",v_data!A215)</f>
        <v/>
      </c>
      <c r="B216" s="2" t="s">
        <v>22</v>
      </c>
      <c r="C216" s="2">
        <f>VLOOKUP(B216,variables!$A$2:$B$6,2,FALSE)</f>
        <v>0.8</v>
      </c>
      <c r="D216" s="4">
        <v>43826</v>
      </c>
      <c r="E216" s="4">
        <v>43431</v>
      </c>
      <c r="F216" s="2" t="str">
        <f>IF($A216="","",INDEX(v_data!$B$2:$L$1000,MATCH($A216,v_data!$A$3:$A$1000,0)+1,MATCH(LOWER(F$1),v_data!$B$2:$L$2,0)))</f>
        <v/>
      </c>
      <c r="G216" s="2" t="str">
        <f t="shared" ref="G216:G279" si="220">IF($A216="","",F216*G$2)</f>
        <v/>
      </c>
      <c r="H216" s="2" t="str">
        <f>IF($A216="","",INDEX(v_data!$B$2:$L$1000,MATCH($A216,v_data!$A$3:$A$1000,0)+1,MATCH(LOWER(H$1),v_data!$B$2:$L$2,0)))</f>
        <v/>
      </c>
      <c r="I216" s="2" t="str">
        <f t="shared" ref="I216:I279" si="221">IF($A216="","",H216*I$2)</f>
        <v/>
      </c>
      <c r="J216" s="2" t="str">
        <f>IF($A216="","",INDEX(v_data!$B$2:$L$1000,MATCH($A216,v_data!$A$3:$A$1000,0)+1,MATCH(LOWER(J$1),v_data!$B$2:$L$2,0)))</f>
        <v/>
      </c>
      <c r="K216" s="2" t="str">
        <f t="shared" ref="K216:K279" si="222">IF($A216="","",J216*K$2)</f>
        <v/>
      </c>
      <c r="L216" s="2" t="str">
        <f>IF($A216="","",INDEX(v_data!$B$2:$L$1000,MATCH($A216,v_data!$A$3:$A$1000,0)+1,MATCH(LOWER(L$1),v_data!$B$2:$L$2,0)))</f>
        <v/>
      </c>
      <c r="M216" s="2" t="str">
        <f t="shared" ref="M216:M279" si="223">IF($A216="","",L216*M$2)</f>
        <v/>
      </c>
      <c r="N216" s="2" t="str">
        <f>IF($A216="","",INDEX(v_data!$B$2:$L$1000,MATCH($A216,v_data!$A$3:$A$1000,0)+1,MATCH(LOWER(N$1),v_data!$B$2:$L$2,0)))</f>
        <v/>
      </c>
      <c r="O216" s="2" t="str">
        <f t="shared" ref="O216:O279" si="224">IF($A216="","",N216*O$2)</f>
        <v/>
      </c>
      <c r="P216" s="2" t="str">
        <f>IF($A216="","",INDEX(v_data!$B$2:$L$1000,MATCH($A216,v_data!$A$3:$A$1000,0)+1,MATCH(LOWER(P$1),v_data!$B$2:$L$2,0)))</f>
        <v/>
      </c>
      <c r="Q216" s="2" t="str">
        <f t="shared" ref="Q216:Q279" si="225">IF($A216="","",P216*Q$2)</f>
        <v/>
      </c>
      <c r="R216" s="2" t="str">
        <f>IF($A216="","",INDEX(v_data!$B$2:$L$1000,MATCH($A216,v_data!$A$3:$A$1000,0)+1,MATCH(LOWER(R$1),v_data!$B$2:$L$2,0)))</f>
        <v/>
      </c>
      <c r="S216" s="2" t="str">
        <f t="shared" ref="S216:S279" si="226">IF($A216="","",R216*S$2)</f>
        <v/>
      </c>
      <c r="T216" s="2" t="str">
        <f>IF($A216="","",INDEX(v_data!$B$2:$L$1000,MATCH($A216,v_data!$A$3:$A$1000,0)+1,MATCH(LOWER(T$1),v_data!$B$2:$L$2,0)))</f>
        <v/>
      </c>
      <c r="U216" s="2" t="str">
        <f t="shared" ref="U216:U279" si="227">IF($A216="","",T216*U$2)</f>
        <v/>
      </c>
      <c r="V216" s="2" t="str">
        <f>IF($A216="","",INDEX(v_data!$B$2:$L$1000,MATCH($A216,v_data!$A$3:$A$1000,0)+1,MATCH(LOWER(V$1),v_data!$B$2:$L$2,0)))</f>
        <v/>
      </c>
      <c r="W216" s="2" t="str">
        <f t="shared" ref="W216:W279" si="228">IF($A216="","",V216*W$2)</f>
        <v/>
      </c>
      <c r="X216" s="2" t="str">
        <f>IF($A216="","",INDEX(v_data!$B$2:$L$1000,MATCH($A216,v_data!$A$3:$A$1000,0)+1,MATCH(LOWER(X$1),v_data!$B$2:$L$2,0)))</f>
        <v/>
      </c>
      <c r="Y216" s="2" t="str">
        <f t="shared" ref="Y216:Y279" si="229">IF($A216="","",X216*Y$2)</f>
        <v/>
      </c>
      <c r="Z216" s="2" t="str">
        <f>IF($A216="","",INDEX(v_data!$B$2:$L$1000,MATCH($A216,v_data!$A$3:$A$1000,0)+1,MATCH(LOWER(Z$1),v_data!$B$2:$L$2,0)))</f>
        <v/>
      </c>
      <c r="AA216" s="2" t="str">
        <f t="shared" ref="AA216:AA279" si="230">IF($A216="","",Z216*AA$2)</f>
        <v/>
      </c>
      <c r="AB216" s="2" t="str">
        <f t="shared" ref="AB216:AB279" si="231">IF(A216="","",SUM(G216,I216,K216,M216,O216,Q216,S216,U216,W216,Y216,AA216))</f>
        <v/>
      </c>
      <c r="AC216" s="2">
        <f>(SUM(G216,I216,K216,M216,O216,Q216,S216,U216,W216,Y216,AA216)+IF(AND(G216&gt;0,I216&gt;0,K216&gt;0),100,0))*VLOOKUP(B216,variables!$A$2:$B$6,2,FALSE)</f>
        <v>80</v>
      </c>
      <c r="AD216" s="16" t="str">
        <f>IF($A216="","",INDEX(v_data!$B$2:$X$1000,MATCH($A216,v_data!$A$3:$A$1000,0)+1,MATCH(LOWER("hours"),v_data!$B$2:$X$2,0)))</f>
        <v/>
      </c>
    </row>
    <row r="217" spans="1:30" hidden="1" x14ac:dyDescent="0.25">
      <c r="A217" s="2" t="str">
        <f>IF(ISBLANK(v_data!A216),"",v_data!A216)</f>
        <v/>
      </c>
      <c r="B217" s="2" t="s">
        <v>22</v>
      </c>
      <c r="C217" s="2">
        <f>VLOOKUP(B217,variables!$A$2:$B$6,2,FALSE)</f>
        <v>0.8</v>
      </c>
      <c r="D217" s="4">
        <v>43826</v>
      </c>
      <c r="E217" s="4">
        <v>43431</v>
      </c>
      <c r="F217" s="2" t="str">
        <f>IF($A217="","",INDEX(v_data!$B$2:$L$1000,MATCH($A217,v_data!$A$3:$A$1000,0)+1,MATCH(LOWER(F$1),v_data!$B$2:$L$2,0)))</f>
        <v/>
      </c>
      <c r="G217" s="2" t="str">
        <f t="shared" si="220"/>
        <v/>
      </c>
      <c r="H217" s="2" t="str">
        <f>IF($A217="","",INDEX(v_data!$B$2:$L$1000,MATCH($A217,v_data!$A$3:$A$1000,0)+1,MATCH(LOWER(H$1),v_data!$B$2:$L$2,0)))</f>
        <v/>
      </c>
      <c r="I217" s="2" t="str">
        <f t="shared" si="221"/>
        <v/>
      </c>
      <c r="J217" s="2" t="str">
        <f>IF($A217="","",INDEX(v_data!$B$2:$L$1000,MATCH($A217,v_data!$A$3:$A$1000,0)+1,MATCH(LOWER(J$1),v_data!$B$2:$L$2,0)))</f>
        <v/>
      </c>
      <c r="K217" s="2" t="str">
        <f t="shared" si="222"/>
        <v/>
      </c>
      <c r="L217" s="2" t="str">
        <f>IF($A217="","",INDEX(v_data!$B$2:$L$1000,MATCH($A217,v_data!$A$3:$A$1000,0)+1,MATCH(LOWER(L$1),v_data!$B$2:$L$2,0)))</f>
        <v/>
      </c>
      <c r="M217" s="2" t="str">
        <f t="shared" si="223"/>
        <v/>
      </c>
      <c r="N217" s="2" t="str">
        <f>IF($A217="","",INDEX(v_data!$B$2:$L$1000,MATCH($A217,v_data!$A$3:$A$1000,0)+1,MATCH(LOWER(N$1),v_data!$B$2:$L$2,0)))</f>
        <v/>
      </c>
      <c r="O217" s="2" t="str">
        <f t="shared" si="224"/>
        <v/>
      </c>
      <c r="P217" s="2" t="str">
        <f>IF($A217="","",INDEX(v_data!$B$2:$L$1000,MATCH($A217,v_data!$A$3:$A$1000,0)+1,MATCH(LOWER(P$1),v_data!$B$2:$L$2,0)))</f>
        <v/>
      </c>
      <c r="Q217" s="2" t="str">
        <f t="shared" si="225"/>
        <v/>
      </c>
      <c r="R217" s="2" t="str">
        <f>IF($A217="","",INDEX(v_data!$B$2:$L$1000,MATCH($A217,v_data!$A$3:$A$1000,0)+1,MATCH(LOWER(R$1),v_data!$B$2:$L$2,0)))</f>
        <v/>
      </c>
      <c r="S217" s="2" t="str">
        <f t="shared" si="226"/>
        <v/>
      </c>
      <c r="T217" s="2" t="str">
        <f>IF($A217="","",INDEX(v_data!$B$2:$L$1000,MATCH($A217,v_data!$A$3:$A$1000,0)+1,MATCH(LOWER(T$1),v_data!$B$2:$L$2,0)))</f>
        <v/>
      </c>
      <c r="U217" s="2" t="str">
        <f t="shared" si="227"/>
        <v/>
      </c>
      <c r="V217" s="2" t="str">
        <f>IF($A217="","",INDEX(v_data!$B$2:$L$1000,MATCH($A217,v_data!$A$3:$A$1000,0)+1,MATCH(LOWER(V$1),v_data!$B$2:$L$2,0)))</f>
        <v/>
      </c>
      <c r="W217" s="2" t="str">
        <f t="shared" si="228"/>
        <v/>
      </c>
      <c r="X217" s="2" t="str">
        <f>IF($A217="","",INDEX(v_data!$B$2:$L$1000,MATCH($A217,v_data!$A$3:$A$1000,0)+1,MATCH(LOWER(X$1),v_data!$B$2:$L$2,0)))</f>
        <v/>
      </c>
      <c r="Y217" s="2" t="str">
        <f t="shared" si="229"/>
        <v/>
      </c>
      <c r="Z217" s="2" t="str">
        <f>IF($A217="","",INDEX(v_data!$B$2:$L$1000,MATCH($A217,v_data!$A$3:$A$1000,0)+1,MATCH(LOWER(Z$1),v_data!$B$2:$L$2,0)))</f>
        <v/>
      </c>
      <c r="AA217" s="2" t="str">
        <f t="shared" si="230"/>
        <v/>
      </c>
      <c r="AB217" s="2" t="str">
        <f t="shared" si="231"/>
        <v/>
      </c>
      <c r="AC217" s="2">
        <f>(SUM(G217,I217,K217,M217,O217,Q217,S217,U217,W217,Y217,AA217)+IF(AND(G217&gt;0,I217&gt;0,K217&gt;0),100,0))*VLOOKUP(B217,variables!$A$2:$B$6,2,FALSE)</f>
        <v>80</v>
      </c>
      <c r="AD217" s="16" t="str">
        <f>IF($A217="","",INDEX(v_data!$B$2:$X$1000,MATCH($A217,v_data!$A$3:$A$1000,0)+1,MATCH(LOWER("hours"),v_data!$B$2:$X$2,0)))</f>
        <v/>
      </c>
    </row>
    <row r="218" spans="1:30" hidden="1" x14ac:dyDescent="0.25">
      <c r="A218" s="2" t="str">
        <f>IF(ISBLANK(v_data!A217),"",v_data!A217)</f>
        <v/>
      </c>
      <c r="B218" s="2" t="s">
        <v>22</v>
      </c>
      <c r="C218" s="2">
        <f>VLOOKUP(B218,variables!$A$2:$B$6,2,FALSE)</f>
        <v>0.8</v>
      </c>
      <c r="D218" s="4">
        <v>43826</v>
      </c>
      <c r="E218" s="4">
        <v>43431</v>
      </c>
      <c r="F218" s="2" t="str">
        <f>IF($A218="","",INDEX(v_data!$B$2:$L$1000,MATCH($A218,v_data!$A$3:$A$1000,0)+1,MATCH(LOWER(F$1),v_data!$B$2:$L$2,0)))</f>
        <v/>
      </c>
      <c r="G218" s="2" t="str">
        <f t="shared" si="220"/>
        <v/>
      </c>
      <c r="H218" s="2" t="str">
        <f>IF($A218="","",INDEX(v_data!$B$2:$L$1000,MATCH($A218,v_data!$A$3:$A$1000,0)+1,MATCH(LOWER(H$1),v_data!$B$2:$L$2,0)))</f>
        <v/>
      </c>
      <c r="I218" s="2" t="str">
        <f t="shared" si="221"/>
        <v/>
      </c>
      <c r="J218" s="2" t="str">
        <f>IF($A218="","",INDEX(v_data!$B$2:$L$1000,MATCH($A218,v_data!$A$3:$A$1000,0)+1,MATCH(LOWER(J$1),v_data!$B$2:$L$2,0)))</f>
        <v/>
      </c>
      <c r="K218" s="2" t="str">
        <f t="shared" si="222"/>
        <v/>
      </c>
      <c r="L218" s="2" t="str">
        <f>IF($A218="","",INDEX(v_data!$B$2:$L$1000,MATCH($A218,v_data!$A$3:$A$1000,0)+1,MATCH(LOWER(L$1),v_data!$B$2:$L$2,0)))</f>
        <v/>
      </c>
      <c r="M218" s="2" t="str">
        <f t="shared" si="223"/>
        <v/>
      </c>
      <c r="N218" s="2" t="str">
        <f>IF($A218="","",INDEX(v_data!$B$2:$L$1000,MATCH($A218,v_data!$A$3:$A$1000,0)+1,MATCH(LOWER(N$1),v_data!$B$2:$L$2,0)))</f>
        <v/>
      </c>
      <c r="O218" s="2" t="str">
        <f t="shared" si="224"/>
        <v/>
      </c>
      <c r="P218" s="2" t="str">
        <f>IF($A218="","",INDEX(v_data!$B$2:$L$1000,MATCH($A218,v_data!$A$3:$A$1000,0)+1,MATCH(LOWER(P$1),v_data!$B$2:$L$2,0)))</f>
        <v/>
      </c>
      <c r="Q218" s="2" t="str">
        <f t="shared" si="225"/>
        <v/>
      </c>
      <c r="R218" s="2" t="str">
        <f>IF($A218="","",INDEX(v_data!$B$2:$L$1000,MATCH($A218,v_data!$A$3:$A$1000,0)+1,MATCH(LOWER(R$1),v_data!$B$2:$L$2,0)))</f>
        <v/>
      </c>
      <c r="S218" s="2" t="str">
        <f t="shared" si="226"/>
        <v/>
      </c>
      <c r="T218" s="2" t="str">
        <f>IF($A218="","",INDEX(v_data!$B$2:$L$1000,MATCH($A218,v_data!$A$3:$A$1000,0)+1,MATCH(LOWER(T$1),v_data!$B$2:$L$2,0)))</f>
        <v/>
      </c>
      <c r="U218" s="2" t="str">
        <f t="shared" si="227"/>
        <v/>
      </c>
      <c r="V218" s="2" t="str">
        <f>IF($A218="","",INDEX(v_data!$B$2:$L$1000,MATCH($A218,v_data!$A$3:$A$1000,0)+1,MATCH(LOWER(V$1),v_data!$B$2:$L$2,0)))</f>
        <v/>
      </c>
      <c r="W218" s="2" t="str">
        <f t="shared" si="228"/>
        <v/>
      </c>
      <c r="X218" s="2" t="str">
        <f>IF($A218="","",INDEX(v_data!$B$2:$L$1000,MATCH($A218,v_data!$A$3:$A$1000,0)+1,MATCH(LOWER(X$1),v_data!$B$2:$L$2,0)))</f>
        <v/>
      </c>
      <c r="Y218" s="2" t="str">
        <f t="shared" si="229"/>
        <v/>
      </c>
      <c r="Z218" s="2" t="str">
        <f>IF($A218="","",INDEX(v_data!$B$2:$L$1000,MATCH($A218,v_data!$A$3:$A$1000,0)+1,MATCH(LOWER(Z$1),v_data!$B$2:$L$2,0)))</f>
        <v/>
      </c>
      <c r="AA218" s="2" t="str">
        <f t="shared" si="230"/>
        <v/>
      </c>
      <c r="AB218" s="2" t="str">
        <f t="shared" si="231"/>
        <v/>
      </c>
      <c r="AC218" s="2">
        <f>(SUM(G218,I218,K218,M218,O218,Q218,S218,U218,W218,Y218,AA218)+IF(AND(G218&gt;0,I218&gt;0,K218&gt;0),100,0))*VLOOKUP(B218,variables!$A$2:$B$6,2,FALSE)</f>
        <v>80</v>
      </c>
      <c r="AD218" s="16" t="str">
        <f>IF($A218="","",INDEX(v_data!$B$2:$X$1000,MATCH($A218,v_data!$A$3:$A$1000,0)+1,MATCH(LOWER("hours"),v_data!$B$2:$X$2,0)))</f>
        <v/>
      </c>
    </row>
    <row r="219" spans="1:30" hidden="1" x14ac:dyDescent="0.25">
      <c r="A219" s="2" t="str">
        <f>IF(ISBLANK(v_data!A218),"",v_data!A218)</f>
        <v/>
      </c>
      <c r="B219" s="2" t="s">
        <v>22</v>
      </c>
      <c r="C219" s="2">
        <f>VLOOKUP(B219,variables!$A$2:$B$6,2,FALSE)</f>
        <v>0.8</v>
      </c>
      <c r="D219" s="4">
        <v>43826</v>
      </c>
      <c r="E219" s="4">
        <v>43431</v>
      </c>
      <c r="F219" s="2" t="str">
        <f>IF($A219="","",INDEX(v_data!$B$2:$L$1000,MATCH($A219,v_data!$A$3:$A$1000,0)+1,MATCH(LOWER(F$1),v_data!$B$2:$L$2,0)))</f>
        <v/>
      </c>
      <c r="G219" s="2" t="str">
        <f t="shared" si="220"/>
        <v/>
      </c>
      <c r="H219" s="2" t="str">
        <f>IF($A219="","",INDEX(v_data!$B$2:$L$1000,MATCH($A219,v_data!$A$3:$A$1000,0)+1,MATCH(LOWER(H$1),v_data!$B$2:$L$2,0)))</f>
        <v/>
      </c>
      <c r="I219" s="2" t="str">
        <f t="shared" si="221"/>
        <v/>
      </c>
      <c r="J219" s="2" t="str">
        <f>IF($A219="","",INDEX(v_data!$B$2:$L$1000,MATCH($A219,v_data!$A$3:$A$1000,0)+1,MATCH(LOWER(J$1),v_data!$B$2:$L$2,0)))</f>
        <v/>
      </c>
      <c r="K219" s="2" t="str">
        <f t="shared" si="222"/>
        <v/>
      </c>
      <c r="L219" s="2" t="str">
        <f>IF($A219="","",INDEX(v_data!$B$2:$L$1000,MATCH($A219,v_data!$A$3:$A$1000,0)+1,MATCH(LOWER(L$1),v_data!$B$2:$L$2,0)))</f>
        <v/>
      </c>
      <c r="M219" s="2" t="str">
        <f t="shared" si="223"/>
        <v/>
      </c>
      <c r="N219" s="2" t="str">
        <f>IF($A219="","",INDEX(v_data!$B$2:$L$1000,MATCH($A219,v_data!$A$3:$A$1000,0)+1,MATCH(LOWER(N$1),v_data!$B$2:$L$2,0)))</f>
        <v/>
      </c>
      <c r="O219" s="2" t="str">
        <f t="shared" si="224"/>
        <v/>
      </c>
      <c r="P219" s="2" t="str">
        <f>IF($A219="","",INDEX(v_data!$B$2:$L$1000,MATCH($A219,v_data!$A$3:$A$1000,0)+1,MATCH(LOWER(P$1),v_data!$B$2:$L$2,0)))</f>
        <v/>
      </c>
      <c r="Q219" s="2" t="str">
        <f t="shared" si="225"/>
        <v/>
      </c>
      <c r="R219" s="2" t="str">
        <f>IF($A219="","",INDEX(v_data!$B$2:$L$1000,MATCH($A219,v_data!$A$3:$A$1000,0)+1,MATCH(LOWER(R$1),v_data!$B$2:$L$2,0)))</f>
        <v/>
      </c>
      <c r="S219" s="2" t="str">
        <f t="shared" si="226"/>
        <v/>
      </c>
      <c r="T219" s="2" t="str">
        <f>IF($A219="","",INDEX(v_data!$B$2:$L$1000,MATCH($A219,v_data!$A$3:$A$1000,0)+1,MATCH(LOWER(T$1),v_data!$B$2:$L$2,0)))</f>
        <v/>
      </c>
      <c r="U219" s="2" t="str">
        <f t="shared" si="227"/>
        <v/>
      </c>
      <c r="V219" s="2" t="str">
        <f>IF($A219="","",INDEX(v_data!$B$2:$L$1000,MATCH($A219,v_data!$A$3:$A$1000,0)+1,MATCH(LOWER(V$1),v_data!$B$2:$L$2,0)))</f>
        <v/>
      </c>
      <c r="W219" s="2" t="str">
        <f t="shared" si="228"/>
        <v/>
      </c>
      <c r="X219" s="2" t="str">
        <f>IF($A219="","",INDEX(v_data!$B$2:$L$1000,MATCH($A219,v_data!$A$3:$A$1000,0)+1,MATCH(LOWER(X$1),v_data!$B$2:$L$2,0)))</f>
        <v/>
      </c>
      <c r="Y219" s="2" t="str">
        <f t="shared" si="229"/>
        <v/>
      </c>
      <c r="Z219" s="2" t="str">
        <f>IF($A219="","",INDEX(v_data!$B$2:$L$1000,MATCH($A219,v_data!$A$3:$A$1000,0)+1,MATCH(LOWER(Z$1),v_data!$B$2:$L$2,0)))</f>
        <v/>
      </c>
      <c r="AA219" s="2" t="str">
        <f t="shared" si="230"/>
        <v/>
      </c>
      <c r="AB219" s="2" t="str">
        <f t="shared" si="231"/>
        <v/>
      </c>
      <c r="AC219" s="2">
        <f>(SUM(G219,I219,K219,M219,O219,Q219,S219,U219,W219,Y219,AA219)+IF(AND(G219&gt;0,I219&gt;0,K219&gt;0),100,0))*VLOOKUP(B219,variables!$A$2:$B$6,2,FALSE)</f>
        <v>80</v>
      </c>
      <c r="AD219" s="16" t="str">
        <f>IF($A219="","",INDEX(v_data!$B$2:$X$1000,MATCH($A219,v_data!$A$3:$A$1000,0)+1,MATCH(LOWER("hours"),v_data!$B$2:$X$2,0)))</f>
        <v/>
      </c>
    </row>
    <row r="220" spans="1:30" hidden="1" x14ac:dyDescent="0.25">
      <c r="A220" s="2" t="str">
        <f>IF(ISBLANK(v_data!A219),"",v_data!A219)</f>
        <v/>
      </c>
      <c r="B220" s="2" t="s">
        <v>22</v>
      </c>
      <c r="C220" s="2">
        <f>VLOOKUP(B220,variables!$A$2:$B$6,2,FALSE)</f>
        <v>0.8</v>
      </c>
      <c r="D220" s="4">
        <v>43826</v>
      </c>
      <c r="E220" s="4">
        <v>43431</v>
      </c>
      <c r="F220" s="2" t="str">
        <f>IF($A220="","",INDEX(v_data!$B$2:$L$1000,MATCH($A220,v_data!$A$3:$A$1000,0)+1,MATCH(LOWER(F$1),v_data!$B$2:$L$2,0)))</f>
        <v/>
      </c>
      <c r="G220" s="2" t="str">
        <f t="shared" si="220"/>
        <v/>
      </c>
      <c r="H220" s="2" t="str">
        <f>IF($A220="","",INDEX(v_data!$B$2:$L$1000,MATCH($A220,v_data!$A$3:$A$1000,0)+1,MATCH(LOWER(H$1),v_data!$B$2:$L$2,0)))</f>
        <v/>
      </c>
      <c r="I220" s="2" t="str">
        <f t="shared" si="221"/>
        <v/>
      </c>
      <c r="J220" s="2" t="str">
        <f>IF($A220="","",INDEX(v_data!$B$2:$L$1000,MATCH($A220,v_data!$A$3:$A$1000,0)+1,MATCH(LOWER(J$1),v_data!$B$2:$L$2,0)))</f>
        <v/>
      </c>
      <c r="K220" s="2" t="str">
        <f t="shared" si="222"/>
        <v/>
      </c>
      <c r="L220" s="2" t="str">
        <f>IF($A220="","",INDEX(v_data!$B$2:$L$1000,MATCH($A220,v_data!$A$3:$A$1000,0)+1,MATCH(LOWER(L$1),v_data!$B$2:$L$2,0)))</f>
        <v/>
      </c>
      <c r="M220" s="2" t="str">
        <f t="shared" si="223"/>
        <v/>
      </c>
      <c r="N220" s="2" t="str">
        <f>IF($A220="","",INDEX(v_data!$B$2:$L$1000,MATCH($A220,v_data!$A$3:$A$1000,0)+1,MATCH(LOWER(N$1),v_data!$B$2:$L$2,0)))</f>
        <v/>
      </c>
      <c r="O220" s="2" t="str">
        <f t="shared" si="224"/>
        <v/>
      </c>
      <c r="P220" s="2" t="str">
        <f>IF($A220="","",INDEX(v_data!$B$2:$L$1000,MATCH($A220,v_data!$A$3:$A$1000,0)+1,MATCH(LOWER(P$1),v_data!$B$2:$L$2,0)))</f>
        <v/>
      </c>
      <c r="Q220" s="2" t="str">
        <f t="shared" si="225"/>
        <v/>
      </c>
      <c r="R220" s="2" t="str">
        <f>IF($A220="","",INDEX(v_data!$B$2:$L$1000,MATCH($A220,v_data!$A$3:$A$1000,0)+1,MATCH(LOWER(R$1),v_data!$B$2:$L$2,0)))</f>
        <v/>
      </c>
      <c r="S220" s="2" t="str">
        <f t="shared" si="226"/>
        <v/>
      </c>
      <c r="T220" s="2" t="str">
        <f>IF($A220="","",INDEX(v_data!$B$2:$L$1000,MATCH($A220,v_data!$A$3:$A$1000,0)+1,MATCH(LOWER(T$1),v_data!$B$2:$L$2,0)))</f>
        <v/>
      </c>
      <c r="U220" s="2" t="str">
        <f t="shared" si="227"/>
        <v/>
      </c>
      <c r="V220" s="2" t="str">
        <f>IF($A220="","",INDEX(v_data!$B$2:$L$1000,MATCH($A220,v_data!$A$3:$A$1000,0)+1,MATCH(LOWER(V$1),v_data!$B$2:$L$2,0)))</f>
        <v/>
      </c>
      <c r="W220" s="2" t="str">
        <f t="shared" si="228"/>
        <v/>
      </c>
      <c r="X220" s="2" t="str">
        <f>IF($A220="","",INDEX(v_data!$B$2:$L$1000,MATCH($A220,v_data!$A$3:$A$1000,0)+1,MATCH(LOWER(X$1),v_data!$B$2:$L$2,0)))</f>
        <v/>
      </c>
      <c r="Y220" s="2" t="str">
        <f t="shared" si="229"/>
        <v/>
      </c>
      <c r="Z220" s="2" t="str">
        <f>IF($A220="","",INDEX(v_data!$B$2:$L$1000,MATCH($A220,v_data!$A$3:$A$1000,0)+1,MATCH(LOWER(Z$1),v_data!$B$2:$L$2,0)))</f>
        <v/>
      </c>
      <c r="AA220" s="2" t="str">
        <f t="shared" si="230"/>
        <v/>
      </c>
      <c r="AB220" s="2" t="str">
        <f t="shared" si="231"/>
        <v/>
      </c>
      <c r="AC220" s="2">
        <f>(SUM(G220,I220,K220,M220,O220,Q220,S220,U220,W220,Y220,AA220)+IF(AND(G220&gt;0,I220&gt;0,K220&gt;0),100,0))*VLOOKUP(B220,variables!$A$2:$B$6,2,FALSE)</f>
        <v>80</v>
      </c>
      <c r="AD220" s="16" t="str">
        <f>IF($A220="","",INDEX(v_data!$B$2:$X$1000,MATCH($A220,v_data!$A$3:$A$1000,0)+1,MATCH(LOWER("hours"),v_data!$B$2:$X$2,0)))</f>
        <v/>
      </c>
    </row>
    <row r="221" spans="1:30" hidden="1" x14ac:dyDescent="0.25">
      <c r="A221" s="2" t="str">
        <f>IF(ISBLANK(v_data!A220),"",v_data!A220)</f>
        <v/>
      </c>
      <c r="B221" s="2" t="s">
        <v>22</v>
      </c>
      <c r="C221" s="2">
        <f>VLOOKUP(B221,variables!$A$2:$B$6,2,FALSE)</f>
        <v>0.8</v>
      </c>
      <c r="D221" s="4">
        <v>43826</v>
      </c>
      <c r="E221" s="4">
        <v>43431</v>
      </c>
      <c r="F221" s="2" t="str">
        <f>IF($A221="","",INDEX(v_data!$B$2:$L$1000,MATCH($A221,v_data!$A$3:$A$1000,0)+1,MATCH(LOWER(F$1),v_data!$B$2:$L$2,0)))</f>
        <v/>
      </c>
      <c r="G221" s="2" t="str">
        <f t="shared" si="220"/>
        <v/>
      </c>
      <c r="H221" s="2" t="str">
        <f>IF($A221="","",INDEX(v_data!$B$2:$L$1000,MATCH($A221,v_data!$A$3:$A$1000,0)+1,MATCH(LOWER(H$1),v_data!$B$2:$L$2,0)))</f>
        <v/>
      </c>
      <c r="I221" s="2" t="str">
        <f t="shared" si="221"/>
        <v/>
      </c>
      <c r="J221" s="2" t="str">
        <f>IF($A221="","",INDEX(v_data!$B$2:$L$1000,MATCH($A221,v_data!$A$3:$A$1000,0)+1,MATCH(LOWER(J$1),v_data!$B$2:$L$2,0)))</f>
        <v/>
      </c>
      <c r="K221" s="2" t="str">
        <f t="shared" si="222"/>
        <v/>
      </c>
      <c r="L221" s="2" t="str">
        <f>IF($A221="","",INDEX(v_data!$B$2:$L$1000,MATCH($A221,v_data!$A$3:$A$1000,0)+1,MATCH(LOWER(L$1),v_data!$B$2:$L$2,0)))</f>
        <v/>
      </c>
      <c r="M221" s="2" t="str">
        <f t="shared" si="223"/>
        <v/>
      </c>
      <c r="N221" s="2" t="str">
        <f>IF($A221="","",INDEX(v_data!$B$2:$L$1000,MATCH($A221,v_data!$A$3:$A$1000,0)+1,MATCH(LOWER(N$1),v_data!$B$2:$L$2,0)))</f>
        <v/>
      </c>
      <c r="O221" s="2" t="str">
        <f t="shared" si="224"/>
        <v/>
      </c>
      <c r="P221" s="2" t="str">
        <f>IF($A221="","",INDEX(v_data!$B$2:$L$1000,MATCH($A221,v_data!$A$3:$A$1000,0)+1,MATCH(LOWER(P$1),v_data!$B$2:$L$2,0)))</f>
        <v/>
      </c>
      <c r="Q221" s="2" t="str">
        <f t="shared" si="225"/>
        <v/>
      </c>
      <c r="R221" s="2" t="str">
        <f>IF($A221="","",INDEX(v_data!$B$2:$L$1000,MATCH($A221,v_data!$A$3:$A$1000,0)+1,MATCH(LOWER(R$1),v_data!$B$2:$L$2,0)))</f>
        <v/>
      </c>
      <c r="S221" s="2" t="str">
        <f t="shared" si="226"/>
        <v/>
      </c>
      <c r="T221" s="2" t="str">
        <f>IF($A221="","",INDEX(v_data!$B$2:$L$1000,MATCH($A221,v_data!$A$3:$A$1000,0)+1,MATCH(LOWER(T$1),v_data!$B$2:$L$2,0)))</f>
        <v/>
      </c>
      <c r="U221" s="2" t="str">
        <f t="shared" si="227"/>
        <v/>
      </c>
      <c r="V221" s="2" t="str">
        <f>IF($A221="","",INDEX(v_data!$B$2:$L$1000,MATCH($A221,v_data!$A$3:$A$1000,0)+1,MATCH(LOWER(V$1),v_data!$B$2:$L$2,0)))</f>
        <v/>
      </c>
      <c r="W221" s="2" t="str">
        <f t="shared" si="228"/>
        <v/>
      </c>
      <c r="X221" s="2" t="str">
        <f>IF($A221="","",INDEX(v_data!$B$2:$L$1000,MATCH($A221,v_data!$A$3:$A$1000,0)+1,MATCH(LOWER(X$1),v_data!$B$2:$L$2,0)))</f>
        <v/>
      </c>
      <c r="Y221" s="2" t="str">
        <f t="shared" si="229"/>
        <v/>
      </c>
      <c r="Z221" s="2" t="str">
        <f>IF($A221="","",INDEX(v_data!$B$2:$L$1000,MATCH($A221,v_data!$A$3:$A$1000,0)+1,MATCH(LOWER(Z$1),v_data!$B$2:$L$2,0)))</f>
        <v/>
      </c>
      <c r="AA221" s="2" t="str">
        <f t="shared" si="230"/>
        <v/>
      </c>
      <c r="AB221" s="2" t="str">
        <f t="shared" si="231"/>
        <v/>
      </c>
      <c r="AC221" s="2">
        <f>(SUM(G221,I221,K221,M221,O221,Q221,S221,U221,W221,Y221,AA221)+IF(AND(G221&gt;0,I221&gt;0,K221&gt;0),100,0))*VLOOKUP(B221,variables!$A$2:$B$6,2,FALSE)</f>
        <v>80</v>
      </c>
      <c r="AD221" s="16" t="str">
        <f>IF($A221="","",INDEX(v_data!$B$2:$X$1000,MATCH($A221,v_data!$A$3:$A$1000,0)+1,MATCH(LOWER("hours"),v_data!$B$2:$X$2,0)))</f>
        <v/>
      </c>
    </row>
    <row r="222" spans="1:30" hidden="1" x14ac:dyDescent="0.25">
      <c r="A222" s="2" t="str">
        <f>IF(ISBLANK(v_data!A221),"",v_data!A221)</f>
        <v/>
      </c>
      <c r="B222" s="2" t="s">
        <v>22</v>
      </c>
      <c r="C222" s="2">
        <f>VLOOKUP(B222,variables!$A$2:$B$6,2,FALSE)</f>
        <v>0.8</v>
      </c>
      <c r="D222" s="4">
        <v>43826</v>
      </c>
      <c r="E222" s="4">
        <v>43431</v>
      </c>
      <c r="F222" s="2" t="str">
        <f>IF($A222="","",INDEX(v_data!$B$2:$L$1000,MATCH($A222,v_data!$A$3:$A$1000,0)+1,MATCH(LOWER(F$1),v_data!$B$2:$L$2,0)))</f>
        <v/>
      </c>
      <c r="G222" s="2" t="str">
        <f t="shared" si="220"/>
        <v/>
      </c>
      <c r="H222" s="2" t="str">
        <f>IF($A222="","",INDEX(v_data!$B$2:$L$1000,MATCH($A222,v_data!$A$3:$A$1000,0)+1,MATCH(LOWER(H$1),v_data!$B$2:$L$2,0)))</f>
        <v/>
      </c>
      <c r="I222" s="2" t="str">
        <f t="shared" si="221"/>
        <v/>
      </c>
      <c r="J222" s="2" t="str">
        <f>IF($A222="","",INDEX(v_data!$B$2:$L$1000,MATCH($A222,v_data!$A$3:$A$1000,0)+1,MATCH(LOWER(J$1),v_data!$B$2:$L$2,0)))</f>
        <v/>
      </c>
      <c r="K222" s="2" t="str">
        <f t="shared" si="222"/>
        <v/>
      </c>
      <c r="L222" s="2" t="str">
        <f>IF($A222="","",INDEX(v_data!$B$2:$L$1000,MATCH($A222,v_data!$A$3:$A$1000,0)+1,MATCH(LOWER(L$1),v_data!$B$2:$L$2,0)))</f>
        <v/>
      </c>
      <c r="M222" s="2" t="str">
        <f t="shared" si="223"/>
        <v/>
      </c>
      <c r="N222" s="2" t="str">
        <f>IF($A222="","",INDEX(v_data!$B$2:$L$1000,MATCH($A222,v_data!$A$3:$A$1000,0)+1,MATCH(LOWER(N$1),v_data!$B$2:$L$2,0)))</f>
        <v/>
      </c>
      <c r="O222" s="2" t="str">
        <f t="shared" si="224"/>
        <v/>
      </c>
      <c r="P222" s="2" t="str">
        <f>IF($A222="","",INDEX(v_data!$B$2:$L$1000,MATCH($A222,v_data!$A$3:$A$1000,0)+1,MATCH(LOWER(P$1),v_data!$B$2:$L$2,0)))</f>
        <v/>
      </c>
      <c r="Q222" s="2" t="str">
        <f t="shared" si="225"/>
        <v/>
      </c>
      <c r="R222" s="2" t="str">
        <f>IF($A222="","",INDEX(v_data!$B$2:$L$1000,MATCH($A222,v_data!$A$3:$A$1000,0)+1,MATCH(LOWER(R$1),v_data!$B$2:$L$2,0)))</f>
        <v/>
      </c>
      <c r="S222" s="2" t="str">
        <f t="shared" si="226"/>
        <v/>
      </c>
      <c r="T222" s="2" t="str">
        <f>IF($A222="","",INDEX(v_data!$B$2:$L$1000,MATCH($A222,v_data!$A$3:$A$1000,0)+1,MATCH(LOWER(T$1),v_data!$B$2:$L$2,0)))</f>
        <v/>
      </c>
      <c r="U222" s="2" t="str">
        <f t="shared" si="227"/>
        <v/>
      </c>
      <c r="V222" s="2" t="str">
        <f>IF($A222="","",INDEX(v_data!$B$2:$L$1000,MATCH($A222,v_data!$A$3:$A$1000,0)+1,MATCH(LOWER(V$1),v_data!$B$2:$L$2,0)))</f>
        <v/>
      </c>
      <c r="W222" s="2" t="str">
        <f t="shared" si="228"/>
        <v/>
      </c>
      <c r="X222" s="2" t="str">
        <f>IF($A222="","",INDEX(v_data!$B$2:$L$1000,MATCH($A222,v_data!$A$3:$A$1000,0)+1,MATCH(LOWER(X$1),v_data!$B$2:$L$2,0)))</f>
        <v/>
      </c>
      <c r="Y222" s="2" t="str">
        <f t="shared" si="229"/>
        <v/>
      </c>
      <c r="Z222" s="2" t="str">
        <f>IF($A222="","",INDEX(v_data!$B$2:$L$1000,MATCH($A222,v_data!$A$3:$A$1000,0)+1,MATCH(LOWER(Z$1),v_data!$B$2:$L$2,0)))</f>
        <v/>
      </c>
      <c r="AA222" s="2" t="str">
        <f t="shared" si="230"/>
        <v/>
      </c>
      <c r="AB222" s="2" t="str">
        <f t="shared" si="231"/>
        <v/>
      </c>
      <c r="AC222" s="2">
        <f>(SUM(G222,I222,K222,M222,O222,Q222,S222,U222,W222,Y222,AA222)+IF(AND(G222&gt;0,I222&gt;0,K222&gt;0),100,0))*VLOOKUP(B222,variables!$A$2:$B$6,2,FALSE)</f>
        <v>80</v>
      </c>
      <c r="AD222" s="16" t="str">
        <f>IF($A222="","",INDEX(v_data!$B$2:$X$1000,MATCH($A222,v_data!$A$3:$A$1000,0)+1,MATCH(LOWER("hours"),v_data!$B$2:$X$2,0)))</f>
        <v/>
      </c>
    </row>
    <row r="223" spans="1:30" hidden="1" x14ac:dyDescent="0.25">
      <c r="A223" s="2" t="str">
        <f>IF(ISBLANK(v_data!A222),"",v_data!A222)</f>
        <v/>
      </c>
      <c r="B223" s="2" t="s">
        <v>22</v>
      </c>
      <c r="C223" s="2">
        <f>VLOOKUP(B223,variables!$A$2:$B$6,2,FALSE)</f>
        <v>0.8</v>
      </c>
      <c r="D223" s="4">
        <v>43826</v>
      </c>
      <c r="E223" s="4">
        <v>43431</v>
      </c>
      <c r="F223" s="2" t="str">
        <f>IF($A223="","",INDEX(v_data!$B$2:$L$1000,MATCH($A223,v_data!$A$3:$A$1000,0)+1,MATCH(LOWER(F$1),v_data!$B$2:$L$2,0)))</f>
        <v/>
      </c>
      <c r="G223" s="2" t="str">
        <f t="shared" si="220"/>
        <v/>
      </c>
      <c r="H223" s="2" t="str">
        <f>IF($A223="","",INDEX(v_data!$B$2:$L$1000,MATCH($A223,v_data!$A$3:$A$1000,0)+1,MATCH(LOWER(H$1),v_data!$B$2:$L$2,0)))</f>
        <v/>
      </c>
      <c r="I223" s="2" t="str">
        <f t="shared" si="221"/>
        <v/>
      </c>
      <c r="J223" s="2" t="str">
        <f>IF($A223="","",INDEX(v_data!$B$2:$L$1000,MATCH($A223,v_data!$A$3:$A$1000,0)+1,MATCH(LOWER(J$1),v_data!$B$2:$L$2,0)))</f>
        <v/>
      </c>
      <c r="K223" s="2" t="str">
        <f t="shared" si="222"/>
        <v/>
      </c>
      <c r="L223" s="2" t="str">
        <f>IF($A223="","",INDEX(v_data!$B$2:$L$1000,MATCH($A223,v_data!$A$3:$A$1000,0)+1,MATCH(LOWER(L$1),v_data!$B$2:$L$2,0)))</f>
        <v/>
      </c>
      <c r="M223" s="2" t="str">
        <f t="shared" si="223"/>
        <v/>
      </c>
      <c r="N223" s="2" t="str">
        <f>IF($A223="","",INDEX(v_data!$B$2:$L$1000,MATCH($A223,v_data!$A$3:$A$1000,0)+1,MATCH(LOWER(N$1),v_data!$B$2:$L$2,0)))</f>
        <v/>
      </c>
      <c r="O223" s="2" t="str">
        <f t="shared" si="224"/>
        <v/>
      </c>
      <c r="P223" s="2" t="str">
        <f>IF($A223="","",INDEX(v_data!$B$2:$L$1000,MATCH($A223,v_data!$A$3:$A$1000,0)+1,MATCH(LOWER(P$1),v_data!$B$2:$L$2,0)))</f>
        <v/>
      </c>
      <c r="Q223" s="2" t="str">
        <f t="shared" si="225"/>
        <v/>
      </c>
      <c r="R223" s="2" t="str">
        <f>IF($A223="","",INDEX(v_data!$B$2:$L$1000,MATCH($A223,v_data!$A$3:$A$1000,0)+1,MATCH(LOWER(R$1),v_data!$B$2:$L$2,0)))</f>
        <v/>
      </c>
      <c r="S223" s="2" t="str">
        <f t="shared" si="226"/>
        <v/>
      </c>
      <c r="T223" s="2" t="str">
        <f>IF($A223="","",INDEX(v_data!$B$2:$L$1000,MATCH($A223,v_data!$A$3:$A$1000,0)+1,MATCH(LOWER(T$1),v_data!$B$2:$L$2,0)))</f>
        <v/>
      </c>
      <c r="U223" s="2" t="str">
        <f t="shared" si="227"/>
        <v/>
      </c>
      <c r="V223" s="2" t="str">
        <f>IF($A223="","",INDEX(v_data!$B$2:$L$1000,MATCH($A223,v_data!$A$3:$A$1000,0)+1,MATCH(LOWER(V$1),v_data!$B$2:$L$2,0)))</f>
        <v/>
      </c>
      <c r="W223" s="2" t="str">
        <f t="shared" si="228"/>
        <v/>
      </c>
      <c r="X223" s="2" t="str">
        <f>IF($A223="","",INDEX(v_data!$B$2:$L$1000,MATCH($A223,v_data!$A$3:$A$1000,0)+1,MATCH(LOWER(X$1),v_data!$B$2:$L$2,0)))</f>
        <v/>
      </c>
      <c r="Y223" s="2" t="str">
        <f t="shared" si="229"/>
        <v/>
      </c>
      <c r="Z223" s="2" t="str">
        <f>IF($A223="","",INDEX(v_data!$B$2:$L$1000,MATCH($A223,v_data!$A$3:$A$1000,0)+1,MATCH(LOWER(Z$1),v_data!$B$2:$L$2,0)))</f>
        <v/>
      </c>
      <c r="AA223" s="2" t="str">
        <f t="shared" si="230"/>
        <v/>
      </c>
      <c r="AB223" s="2" t="str">
        <f t="shared" si="231"/>
        <v/>
      </c>
      <c r="AC223" s="2">
        <f>(SUM(G223,I223,K223,M223,O223,Q223,S223,U223,W223,Y223,AA223)+IF(AND(G223&gt;0,I223&gt;0,K223&gt;0),100,0))*VLOOKUP(B223,variables!$A$2:$B$6,2,FALSE)</f>
        <v>80</v>
      </c>
      <c r="AD223" s="16" t="str">
        <f>IF($A223="","",INDEX(v_data!$B$2:$X$1000,MATCH($A223,v_data!$A$3:$A$1000,0)+1,MATCH(LOWER("hours"),v_data!$B$2:$X$2,0)))</f>
        <v/>
      </c>
    </row>
    <row r="224" spans="1:30" hidden="1" x14ac:dyDescent="0.25">
      <c r="A224" s="2" t="str">
        <f>IF(ISBLANK(v_data!A223),"",v_data!A223)</f>
        <v/>
      </c>
      <c r="B224" s="2" t="s">
        <v>22</v>
      </c>
      <c r="C224" s="2">
        <f>VLOOKUP(B224,variables!$A$2:$B$6,2,FALSE)</f>
        <v>0.8</v>
      </c>
      <c r="D224" s="4">
        <v>43826</v>
      </c>
      <c r="E224" s="4">
        <v>43431</v>
      </c>
      <c r="F224" s="2" t="str">
        <f>IF($A224="","",INDEX(v_data!$B$2:$L$1000,MATCH($A224,v_data!$A$3:$A$1000,0)+1,MATCH(LOWER(F$1),v_data!$B$2:$L$2,0)))</f>
        <v/>
      </c>
      <c r="G224" s="2" t="str">
        <f t="shared" si="220"/>
        <v/>
      </c>
      <c r="H224" s="2" t="str">
        <f>IF($A224="","",INDEX(v_data!$B$2:$L$1000,MATCH($A224,v_data!$A$3:$A$1000,0)+1,MATCH(LOWER(H$1),v_data!$B$2:$L$2,0)))</f>
        <v/>
      </c>
      <c r="I224" s="2" t="str">
        <f t="shared" si="221"/>
        <v/>
      </c>
      <c r="J224" s="2" t="str">
        <f>IF($A224="","",INDEX(v_data!$B$2:$L$1000,MATCH($A224,v_data!$A$3:$A$1000,0)+1,MATCH(LOWER(J$1),v_data!$B$2:$L$2,0)))</f>
        <v/>
      </c>
      <c r="K224" s="2" t="str">
        <f t="shared" si="222"/>
        <v/>
      </c>
      <c r="L224" s="2" t="str">
        <f>IF($A224="","",INDEX(v_data!$B$2:$L$1000,MATCH($A224,v_data!$A$3:$A$1000,0)+1,MATCH(LOWER(L$1),v_data!$B$2:$L$2,0)))</f>
        <v/>
      </c>
      <c r="M224" s="2" t="str">
        <f t="shared" si="223"/>
        <v/>
      </c>
      <c r="N224" s="2" t="str">
        <f>IF($A224="","",INDEX(v_data!$B$2:$L$1000,MATCH($A224,v_data!$A$3:$A$1000,0)+1,MATCH(LOWER(N$1),v_data!$B$2:$L$2,0)))</f>
        <v/>
      </c>
      <c r="O224" s="2" t="str">
        <f t="shared" si="224"/>
        <v/>
      </c>
      <c r="P224" s="2" t="str">
        <f>IF($A224="","",INDEX(v_data!$B$2:$L$1000,MATCH($A224,v_data!$A$3:$A$1000,0)+1,MATCH(LOWER(P$1),v_data!$B$2:$L$2,0)))</f>
        <v/>
      </c>
      <c r="Q224" s="2" t="str">
        <f t="shared" si="225"/>
        <v/>
      </c>
      <c r="R224" s="2" t="str">
        <f>IF($A224="","",INDEX(v_data!$B$2:$L$1000,MATCH($A224,v_data!$A$3:$A$1000,0)+1,MATCH(LOWER(R$1),v_data!$B$2:$L$2,0)))</f>
        <v/>
      </c>
      <c r="S224" s="2" t="str">
        <f t="shared" si="226"/>
        <v/>
      </c>
      <c r="T224" s="2" t="str">
        <f>IF($A224="","",INDEX(v_data!$B$2:$L$1000,MATCH($A224,v_data!$A$3:$A$1000,0)+1,MATCH(LOWER(T$1),v_data!$B$2:$L$2,0)))</f>
        <v/>
      </c>
      <c r="U224" s="2" t="str">
        <f t="shared" si="227"/>
        <v/>
      </c>
      <c r="V224" s="2" t="str">
        <f>IF($A224="","",INDEX(v_data!$B$2:$L$1000,MATCH($A224,v_data!$A$3:$A$1000,0)+1,MATCH(LOWER(V$1),v_data!$B$2:$L$2,0)))</f>
        <v/>
      </c>
      <c r="W224" s="2" t="str">
        <f t="shared" si="228"/>
        <v/>
      </c>
      <c r="X224" s="2" t="str">
        <f>IF($A224="","",INDEX(v_data!$B$2:$L$1000,MATCH($A224,v_data!$A$3:$A$1000,0)+1,MATCH(LOWER(X$1),v_data!$B$2:$L$2,0)))</f>
        <v/>
      </c>
      <c r="Y224" s="2" t="str">
        <f t="shared" si="229"/>
        <v/>
      </c>
      <c r="Z224" s="2" t="str">
        <f>IF($A224="","",INDEX(v_data!$B$2:$L$1000,MATCH($A224,v_data!$A$3:$A$1000,0)+1,MATCH(LOWER(Z$1),v_data!$B$2:$L$2,0)))</f>
        <v/>
      </c>
      <c r="AA224" s="2" t="str">
        <f t="shared" si="230"/>
        <v/>
      </c>
      <c r="AB224" s="2" t="str">
        <f t="shared" si="231"/>
        <v/>
      </c>
      <c r="AC224" s="2">
        <f>(SUM(G224,I224,K224,M224,O224,Q224,S224,U224,W224,Y224,AA224)+IF(AND(G224&gt;0,I224&gt;0,K224&gt;0),100,0))*VLOOKUP(B224,variables!$A$2:$B$6,2,FALSE)</f>
        <v>80</v>
      </c>
      <c r="AD224" s="16" t="str">
        <f>IF($A224="","",INDEX(v_data!$B$2:$X$1000,MATCH($A224,v_data!$A$3:$A$1000,0)+1,MATCH(LOWER("hours"),v_data!$B$2:$X$2,0)))</f>
        <v/>
      </c>
    </row>
    <row r="225" spans="1:30" hidden="1" x14ac:dyDescent="0.25">
      <c r="A225" s="2" t="str">
        <f>IF(ISBLANK(v_data!A224),"",v_data!A224)</f>
        <v/>
      </c>
      <c r="B225" s="2" t="s">
        <v>22</v>
      </c>
      <c r="C225" s="2">
        <f>VLOOKUP(B225,variables!$A$2:$B$6,2,FALSE)</f>
        <v>0.8</v>
      </c>
      <c r="D225" s="4">
        <v>43826</v>
      </c>
      <c r="E225" s="4">
        <v>43431</v>
      </c>
      <c r="F225" s="2" t="str">
        <f>IF($A225="","",INDEX(v_data!$B$2:$L$1000,MATCH($A225,v_data!$A$3:$A$1000,0)+1,MATCH(LOWER(F$1),v_data!$B$2:$L$2,0)))</f>
        <v/>
      </c>
      <c r="G225" s="2" t="str">
        <f t="shared" si="220"/>
        <v/>
      </c>
      <c r="H225" s="2" t="str">
        <f>IF($A225="","",INDEX(v_data!$B$2:$L$1000,MATCH($A225,v_data!$A$3:$A$1000,0)+1,MATCH(LOWER(H$1),v_data!$B$2:$L$2,0)))</f>
        <v/>
      </c>
      <c r="I225" s="2" t="str">
        <f t="shared" si="221"/>
        <v/>
      </c>
      <c r="J225" s="2" t="str">
        <f>IF($A225="","",INDEX(v_data!$B$2:$L$1000,MATCH($A225,v_data!$A$3:$A$1000,0)+1,MATCH(LOWER(J$1),v_data!$B$2:$L$2,0)))</f>
        <v/>
      </c>
      <c r="K225" s="2" t="str">
        <f t="shared" si="222"/>
        <v/>
      </c>
      <c r="L225" s="2" t="str">
        <f>IF($A225="","",INDEX(v_data!$B$2:$L$1000,MATCH($A225,v_data!$A$3:$A$1000,0)+1,MATCH(LOWER(L$1),v_data!$B$2:$L$2,0)))</f>
        <v/>
      </c>
      <c r="M225" s="2" t="str">
        <f t="shared" si="223"/>
        <v/>
      </c>
      <c r="N225" s="2" t="str">
        <f>IF($A225="","",INDEX(v_data!$B$2:$L$1000,MATCH($A225,v_data!$A$3:$A$1000,0)+1,MATCH(LOWER(N$1),v_data!$B$2:$L$2,0)))</f>
        <v/>
      </c>
      <c r="O225" s="2" t="str">
        <f t="shared" si="224"/>
        <v/>
      </c>
      <c r="P225" s="2" t="str">
        <f>IF($A225="","",INDEX(v_data!$B$2:$L$1000,MATCH($A225,v_data!$A$3:$A$1000,0)+1,MATCH(LOWER(P$1),v_data!$B$2:$L$2,0)))</f>
        <v/>
      </c>
      <c r="Q225" s="2" t="str">
        <f t="shared" si="225"/>
        <v/>
      </c>
      <c r="R225" s="2" t="str">
        <f>IF($A225="","",INDEX(v_data!$B$2:$L$1000,MATCH($A225,v_data!$A$3:$A$1000,0)+1,MATCH(LOWER(R$1),v_data!$B$2:$L$2,0)))</f>
        <v/>
      </c>
      <c r="S225" s="2" t="str">
        <f t="shared" si="226"/>
        <v/>
      </c>
      <c r="T225" s="2" t="str">
        <f>IF($A225="","",INDEX(v_data!$B$2:$L$1000,MATCH($A225,v_data!$A$3:$A$1000,0)+1,MATCH(LOWER(T$1),v_data!$B$2:$L$2,0)))</f>
        <v/>
      </c>
      <c r="U225" s="2" t="str">
        <f t="shared" si="227"/>
        <v/>
      </c>
      <c r="V225" s="2" t="str">
        <f>IF($A225="","",INDEX(v_data!$B$2:$L$1000,MATCH($A225,v_data!$A$3:$A$1000,0)+1,MATCH(LOWER(V$1),v_data!$B$2:$L$2,0)))</f>
        <v/>
      </c>
      <c r="W225" s="2" t="str">
        <f t="shared" si="228"/>
        <v/>
      </c>
      <c r="X225" s="2" t="str">
        <f>IF($A225="","",INDEX(v_data!$B$2:$L$1000,MATCH($A225,v_data!$A$3:$A$1000,0)+1,MATCH(LOWER(X$1),v_data!$B$2:$L$2,0)))</f>
        <v/>
      </c>
      <c r="Y225" s="2" t="str">
        <f t="shared" si="229"/>
        <v/>
      </c>
      <c r="Z225" s="2" t="str">
        <f>IF($A225="","",INDEX(v_data!$B$2:$L$1000,MATCH($A225,v_data!$A$3:$A$1000,0)+1,MATCH(LOWER(Z$1),v_data!$B$2:$L$2,0)))</f>
        <v/>
      </c>
      <c r="AA225" s="2" t="str">
        <f t="shared" si="230"/>
        <v/>
      </c>
      <c r="AB225" s="2" t="str">
        <f t="shared" si="231"/>
        <v/>
      </c>
      <c r="AC225" s="2">
        <f>(SUM(G225,I225,K225,M225,O225,Q225,S225,U225,W225,Y225,AA225)+IF(AND(G225&gt;0,I225&gt;0,K225&gt;0),100,0))*VLOOKUP(B225,variables!$A$2:$B$6,2,FALSE)</f>
        <v>80</v>
      </c>
      <c r="AD225" s="16" t="str">
        <f>IF($A225="","",INDEX(v_data!$B$2:$X$1000,MATCH($A225,v_data!$A$3:$A$1000,0)+1,MATCH(LOWER("hours"),v_data!$B$2:$X$2,0)))</f>
        <v/>
      </c>
    </row>
    <row r="226" spans="1:30" hidden="1" x14ac:dyDescent="0.25">
      <c r="A226" s="2" t="str">
        <f>IF(ISBLANK(v_data!A225),"",v_data!A225)</f>
        <v/>
      </c>
      <c r="B226" s="2" t="s">
        <v>22</v>
      </c>
      <c r="C226" s="2">
        <f>VLOOKUP(B226,variables!$A$2:$B$6,2,FALSE)</f>
        <v>0.8</v>
      </c>
      <c r="D226" s="4">
        <v>43826</v>
      </c>
      <c r="E226" s="4">
        <v>43431</v>
      </c>
      <c r="F226" s="2" t="str">
        <f>IF($A226="","",INDEX(v_data!$B$2:$L$1000,MATCH($A226,v_data!$A$3:$A$1000,0)+1,MATCH(LOWER(F$1),v_data!$B$2:$L$2,0)))</f>
        <v/>
      </c>
      <c r="G226" s="2" t="str">
        <f t="shared" si="220"/>
        <v/>
      </c>
      <c r="H226" s="2" t="str">
        <f>IF($A226="","",INDEX(v_data!$B$2:$L$1000,MATCH($A226,v_data!$A$3:$A$1000,0)+1,MATCH(LOWER(H$1),v_data!$B$2:$L$2,0)))</f>
        <v/>
      </c>
      <c r="I226" s="2" t="str">
        <f t="shared" si="221"/>
        <v/>
      </c>
      <c r="J226" s="2" t="str">
        <f>IF($A226="","",INDEX(v_data!$B$2:$L$1000,MATCH($A226,v_data!$A$3:$A$1000,0)+1,MATCH(LOWER(J$1),v_data!$B$2:$L$2,0)))</f>
        <v/>
      </c>
      <c r="K226" s="2" t="str">
        <f t="shared" si="222"/>
        <v/>
      </c>
      <c r="L226" s="2" t="str">
        <f>IF($A226="","",INDEX(v_data!$B$2:$L$1000,MATCH($A226,v_data!$A$3:$A$1000,0)+1,MATCH(LOWER(L$1),v_data!$B$2:$L$2,0)))</f>
        <v/>
      </c>
      <c r="M226" s="2" t="str">
        <f t="shared" si="223"/>
        <v/>
      </c>
      <c r="N226" s="2" t="str">
        <f>IF($A226="","",INDEX(v_data!$B$2:$L$1000,MATCH($A226,v_data!$A$3:$A$1000,0)+1,MATCH(LOWER(N$1),v_data!$B$2:$L$2,0)))</f>
        <v/>
      </c>
      <c r="O226" s="2" t="str">
        <f t="shared" si="224"/>
        <v/>
      </c>
      <c r="P226" s="2" t="str">
        <f>IF($A226="","",INDEX(v_data!$B$2:$L$1000,MATCH($A226,v_data!$A$3:$A$1000,0)+1,MATCH(LOWER(P$1),v_data!$B$2:$L$2,0)))</f>
        <v/>
      </c>
      <c r="Q226" s="2" t="str">
        <f t="shared" si="225"/>
        <v/>
      </c>
      <c r="R226" s="2" t="str">
        <f>IF($A226="","",INDEX(v_data!$B$2:$L$1000,MATCH($A226,v_data!$A$3:$A$1000,0)+1,MATCH(LOWER(R$1),v_data!$B$2:$L$2,0)))</f>
        <v/>
      </c>
      <c r="S226" s="2" t="str">
        <f t="shared" si="226"/>
        <v/>
      </c>
      <c r="T226" s="2" t="str">
        <f>IF($A226="","",INDEX(v_data!$B$2:$L$1000,MATCH($A226,v_data!$A$3:$A$1000,0)+1,MATCH(LOWER(T$1),v_data!$B$2:$L$2,0)))</f>
        <v/>
      </c>
      <c r="U226" s="2" t="str">
        <f t="shared" si="227"/>
        <v/>
      </c>
      <c r="V226" s="2" t="str">
        <f>IF($A226="","",INDEX(v_data!$B$2:$L$1000,MATCH($A226,v_data!$A$3:$A$1000,0)+1,MATCH(LOWER(V$1),v_data!$B$2:$L$2,0)))</f>
        <v/>
      </c>
      <c r="W226" s="2" t="str">
        <f t="shared" si="228"/>
        <v/>
      </c>
      <c r="X226" s="2" t="str">
        <f>IF($A226="","",INDEX(v_data!$B$2:$L$1000,MATCH($A226,v_data!$A$3:$A$1000,0)+1,MATCH(LOWER(X$1),v_data!$B$2:$L$2,0)))</f>
        <v/>
      </c>
      <c r="Y226" s="2" t="str">
        <f t="shared" si="229"/>
        <v/>
      </c>
      <c r="Z226" s="2" t="str">
        <f>IF($A226="","",INDEX(v_data!$B$2:$L$1000,MATCH($A226,v_data!$A$3:$A$1000,0)+1,MATCH(LOWER(Z$1),v_data!$B$2:$L$2,0)))</f>
        <v/>
      </c>
      <c r="AA226" s="2" t="str">
        <f t="shared" si="230"/>
        <v/>
      </c>
      <c r="AB226" s="2" t="str">
        <f t="shared" si="231"/>
        <v/>
      </c>
      <c r="AC226" s="2">
        <f>(SUM(G226,I226,K226,M226,O226,Q226,S226,U226,W226,Y226,AA226)+IF(AND(G226&gt;0,I226&gt;0,K226&gt;0),100,0))*VLOOKUP(B226,variables!$A$2:$B$6,2,FALSE)</f>
        <v>80</v>
      </c>
      <c r="AD226" s="16" t="str">
        <f>IF($A226="","",INDEX(v_data!$B$2:$X$1000,MATCH($A226,v_data!$A$3:$A$1000,0)+1,MATCH(LOWER("hours"),v_data!$B$2:$X$2,0)))</f>
        <v/>
      </c>
    </row>
    <row r="227" spans="1:30" hidden="1" x14ac:dyDescent="0.25">
      <c r="A227" s="2" t="str">
        <f>IF(ISBLANK(v_data!A226),"",v_data!A226)</f>
        <v/>
      </c>
      <c r="B227" s="2" t="s">
        <v>22</v>
      </c>
      <c r="C227" s="2">
        <f>VLOOKUP(B227,variables!$A$2:$B$6,2,FALSE)</f>
        <v>0.8</v>
      </c>
      <c r="D227" s="4">
        <v>43826</v>
      </c>
      <c r="E227" s="4">
        <v>43431</v>
      </c>
      <c r="F227" s="2" t="str">
        <f>IF($A227="","",INDEX(v_data!$B$2:$L$1000,MATCH($A227,v_data!$A$3:$A$1000,0)+1,MATCH(LOWER(F$1),v_data!$B$2:$L$2,0)))</f>
        <v/>
      </c>
      <c r="G227" s="2" t="str">
        <f t="shared" si="220"/>
        <v/>
      </c>
      <c r="H227" s="2" t="str">
        <f>IF($A227="","",INDEX(v_data!$B$2:$L$1000,MATCH($A227,v_data!$A$3:$A$1000,0)+1,MATCH(LOWER(H$1),v_data!$B$2:$L$2,0)))</f>
        <v/>
      </c>
      <c r="I227" s="2" t="str">
        <f t="shared" si="221"/>
        <v/>
      </c>
      <c r="J227" s="2" t="str">
        <f>IF($A227="","",INDEX(v_data!$B$2:$L$1000,MATCH($A227,v_data!$A$3:$A$1000,0)+1,MATCH(LOWER(J$1),v_data!$B$2:$L$2,0)))</f>
        <v/>
      </c>
      <c r="K227" s="2" t="str">
        <f t="shared" si="222"/>
        <v/>
      </c>
      <c r="L227" s="2" t="str">
        <f>IF($A227="","",INDEX(v_data!$B$2:$L$1000,MATCH($A227,v_data!$A$3:$A$1000,0)+1,MATCH(LOWER(L$1),v_data!$B$2:$L$2,0)))</f>
        <v/>
      </c>
      <c r="M227" s="2" t="str">
        <f t="shared" si="223"/>
        <v/>
      </c>
      <c r="N227" s="2" t="str">
        <f>IF($A227="","",INDEX(v_data!$B$2:$L$1000,MATCH($A227,v_data!$A$3:$A$1000,0)+1,MATCH(LOWER(N$1),v_data!$B$2:$L$2,0)))</f>
        <v/>
      </c>
      <c r="O227" s="2" t="str">
        <f t="shared" si="224"/>
        <v/>
      </c>
      <c r="P227" s="2" t="str">
        <f>IF($A227="","",INDEX(v_data!$B$2:$L$1000,MATCH($A227,v_data!$A$3:$A$1000,0)+1,MATCH(LOWER(P$1),v_data!$B$2:$L$2,0)))</f>
        <v/>
      </c>
      <c r="Q227" s="2" t="str">
        <f t="shared" si="225"/>
        <v/>
      </c>
      <c r="R227" s="2" t="str">
        <f>IF($A227="","",INDEX(v_data!$B$2:$L$1000,MATCH($A227,v_data!$A$3:$A$1000,0)+1,MATCH(LOWER(R$1),v_data!$B$2:$L$2,0)))</f>
        <v/>
      </c>
      <c r="S227" s="2" t="str">
        <f t="shared" si="226"/>
        <v/>
      </c>
      <c r="T227" s="2" t="str">
        <f>IF($A227="","",INDEX(v_data!$B$2:$L$1000,MATCH($A227,v_data!$A$3:$A$1000,0)+1,MATCH(LOWER(T$1),v_data!$B$2:$L$2,0)))</f>
        <v/>
      </c>
      <c r="U227" s="2" t="str">
        <f t="shared" si="227"/>
        <v/>
      </c>
      <c r="V227" s="2" t="str">
        <f>IF($A227="","",INDEX(v_data!$B$2:$L$1000,MATCH($A227,v_data!$A$3:$A$1000,0)+1,MATCH(LOWER(V$1),v_data!$B$2:$L$2,0)))</f>
        <v/>
      </c>
      <c r="W227" s="2" t="str">
        <f t="shared" si="228"/>
        <v/>
      </c>
      <c r="X227" s="2" t="str">
        <f>IF($A227="","",INDEX(v_data!$B$2:$L$1000,MATCH($A227,v_data!$A$3:$A$1000,0)+1,MATCH(LOWER(X$1),v_data!$B$2:$L$2,0)))</f>
        <v/>
      </c>
      <c r="Y227" s="2" t="str">
        <f t="shared" si="229"/>
        <v/>
      </c>
      <c r="Z227" s="2" t="str">
        <f>IF($A227="","",INDEX(v_data!$B$2:$L$1000,MATCH($A227,v_data!$A$3:$A$1000,0)+1,MATCH(LOWER(Z$1),v_data!$B$2:$L$2,0)))</f>
        <v/>
      </c>
      <c r="AA227" s="2" t="str">
        <f t="shared" si="230"/>
        <v/>
      </c>
      <c r="AB227" s="2" t="str">
        <f t="shared" si="231"/>
        <v/>
      </c>
      <c r="AC227" s="2">
        <f>(SUM(G227,I227,K227,M227,O227,Q227,S227,U227,W227,Y227,AA227)+IF(AND(G227&gt;0,I227&gt;0,K227&gt;0),100,0))*VLOOKUP(B227,variables!$A$2:$B$6,2,FALSE)</f>
        <v>80</v>
      </c>
      <c r="AD227" s="16" t="str">
        <f>IF($A227="","",INDEX(v_data!$B$2:$X$1000,MATCH($A227,v_data!$A$3:$A$1000,0)+1,MATCH(LOWER("hours"),v_data!$B$2:$X$2,0)))</f>
        <v/>
      </c>
    </row>
    <row r="228" spans="1:30" hidden="1" x14ac:dyDescent="0.25">
      <c r="A228" s="2" t="str">
        <f>IF(ISBLANK(v_data!A227),"",v_data!A227)</f>
        <v/>
      </c>
      <c r="B228" s="2" t="s">
        <v>22</v>
      </c>
      <c r="C228" s="2">
        <f>VLOOKUP(B228,variables!$A$2:$B$6,2,FALSE)</f>
        <v>0.8</v>
      </c>
      <c r="D228" s="4">
        <v>43826</v>
      </c>
      <c r="E228" s="4">
        <v>43431</v>
      </c>
      <c r="F228" s="2" t="str">
        <f>IF($A228="","",INDEX(v_data!$B$2:$L$1000,MATCH($A228,v_data!$A$3:$A$1000,0)+1,MATCH(LOWER(F$1),v_data!$B$2:$L$2,0)))</f>
        <v/>
      </c>
      <c r="G228" s="2" t="str">
        <f t="shared" si="220"/>
        <v/>
      </c>
      <c r="H228" s="2" t="str">
        <f>IF($A228="","",INDEX(v_data!$B$2:$L$1000,MATCH($A228,v_data!$A$3:$A$1000,0)+1,MATCH(LOWER(H$1),v_data!$B$2:$L$2,0)))</f>
        <v/>
      </c>
      <c r="I228" s="2" t="str">
        <f t="shared" si="221"/>
        <v/>
      </c>
      <c r="J228" s="2" t="str">
        <f>IF($A228="","",INDEX(v_data!$B$2:$L$1000,MATCH($A228,v_data!$A$3:$A$1000,0)+1,MATCH(LOWER(J$1),v_data!$B$2:$L$2,0)))</f>
        <v/>
      </c>
      <c r="K228" s="2" t="str">
        <f t="shared" si="222"/>
        <v/>
      </c>
      <c r="L228" s="2" t="str">
        <f>IF($A228="","",INDEX(v_data!$B$2:$L$1000,MATCH($A228,v_data!$A$3:$A$1000,0)+1,MATCH(LOWER(L$1),v_data!$B$2:$L$2,0)))</f>
        <v/>
      </c>
      <c r="M228" s="2" t="str">
        <f t="shared" si="223"/>
        <v/>
      </c>
      <c r="N228" s="2" t="str">
        <f>IF($A228="","",INDEX(v_data!$B$2:$L$1000,MATCH($A228,v_data!$A$3:$A$1000,0)+1,MATCH(LOWER(N$1),v_data!$B$2:$L$2,0)))</f>
        <v/>
      </c>
      <c r="O228" s="2" t="str">
        <f t="shared" si="224"/>
        <v/>
      </c>
      <c r="P228" s="2" t="str">
        <f>IF($A228="","",INDEX(v_data!$B$2:$L$1000,MATCH($A228,v_data!$A$3:$A$1000,0)+1,MATCH(LOWER(P$1),v_data!$B$2:$L$2,0)))</f>
        <v/>
      </c>
      <c r="Q228" s="2" t="str">
        <f t="shared" si="225"/>
        <v/>
      </c>
      <c r="R228" s="2" t="str">
        <f>IF($A228="","",INDEX(v_data!$B$2:$L$1000,MATCH($A228,v_data!$A$3:$A$1000,0)+1,MATCH(LOWER(R$1),v_data!$B$2:$L$2,0)))</f>
        <v/>
      </c>
      <c r="S228" s="2" t="str">
        <f t="shared" si="226"/>
        <v/>
      </c>
      <c r="T228" s="2" t="str">
        <f>IF($A228="","",INDEX(v_data!$B$2:$L$1000,MATCH($A228,v_data!$A$3:$A$1000,0)+1,MATCH(LOWER(T$1),v_data!$B$2:$L$2,0)))</f>
        <v/>
      </c>
      <c r="U228" s="2" t="str">
        <f t="shared" si="227"/>
        <v/>
      </c>
      <c r="V228" s="2" t="str">
        <f>IF($A228="","",INDEX(v_data!$B$2:$L$1000,MATCH($A228,v_data!$A$3:$A$1000,0)+1,MATCH(LOWER(V$1),v_data!$B$2:$L$2,0)))</f>
        <v/>
      </c>
      <c r="W228" s="2" t="str">
        <f t="shared" si="228"/>
        <v/>
      </c>
      <c r="X228" s="2" t="str">
        <f>IF($A228="","",INDEX(v_data!$B$2:$L$1000,MATCH($A228,v_data!$A$3:$A$1000,0)+1,MATCH(LOWER(X$1),v_data!$B$2:$L$2,0)))</f>
        <v/>
      </c>
      <c r="Y228" s="2" t="str">
        <f t="shared" si="229"/>
        <v/>
      </c>
      <c r="Z228" s="2" t="str">
        <f>IF($A228="","",INDEX(v_data!$B$2:$L$1000,MATCH($A228,v_data!$A$3:$A$1000,0)+1,MATCH(LOWER(Z$1),v_data!$B$2:$L$2,0)))</f>
        <v/>
      </c>
      <c r="AA228" s="2" t="str">
        <f t="shared" si="230"/>
        <v/>
      </c>
      <c r="AB228" s="2" t="str">
        <f t="shared" si="231"/>
        <v/>
      </c>
      <c r="AC228" s="2">
        <f>(SUM(G228,I228,K228,M228,O228,Q228,S228,U228,W228,Y228,AA228)+IF(AND(G228&gt;0,I228&gt;0,K228&gt;0),100,0))*VLOOKUP(B228,variables!$A$2:$B$6,2,FALSE)</f>
        <v>80</v>
      </c>
      <c r="AD228" s="16" t="str">
        <f>IF($A228="","",INDEX(v_data!$B$2:$X$1000,MATCH($A228,v_data!$A$3:$A$1000,0)+1,MATCH(LOWER("hours"),v_data!$B$2:$X$2,0)))</f>
        <v/>
      </c>
    </row>
    <row r="229" spans="1:30" hidden="1" x14ac:dyDescent="0.25">
      <c r="A229" s="2" t="str">
        <f>IF(ISBLANK(v_data!A228),"",v_data!A228)</f>
        <v/>
      </c>
      <c r="B229" s="2" t="s">
        <v>22</v>
      </c>
      <c r="C229" s="2">
        <f>VLOOKUP(B229,variables!$A$2:$B$6,2,FALSE)</f>
        <v>0.8</v>
      </c>
      <c r="D229" s="4">
        <v>43826</v>
      </c>
      <c r="E229" s="4">
        <v>43431</v>
      </c>
      <c r="F229" s="2" t="str">
        <f>IF($A229="","",INDEX(v_data!$B$2:$L$1000,MATCH($A229,v_data!$A$3:$A$1000,0)+1,MATCH(LOWER(F$1),v_data!$B$2:$L$2,0)))</f>
        <v/>
      </c>
      <c r="G229" s="2" t="str">
        <f t="shared" si="220"/>
        <v/>
      </c>
      <c r="H229" s="2" t="str">
        <f>IF($A229="","",INDEX(v_data!$B$2:$L$1000,MATCH($A229,v_data!$A$3:$A$1000,0)+1,MATCH(LOWER(H$1),v_data!$B$2:$L$2,0)))</f>
        <v/>
      </c>
      <c r="I229" s="2" t="str">
        <f t="shared" si="221"/>
        <v/>
      </c>
      <c r="J229" s="2" t="str">
        <f>IF($A229="","",INDEX(v_data!$B$2:$L$1000,MATCH($A229,v_data!$A$3:$A$1000,0)+1,MATCH(LOWER(J$1),v_data!$B$2:$L$2,0)))</f>
        <v/>
      </c>
      <c r="K229" s="2" t="str">
        <f t="shared" si="222"/>
        <v/>
      </c>
      <c r="L229" s="2" t="str">
        <f>IF($A229="","",INDEX(v_data!$B$2:$L$1000,MATCH($A229,v_data!$A$3:$A$1000,0)+1,MATCH(LOWER(L$1),v_data!$B$2:$L$2,0)))</f>
        <v/>
      </c>
      <c r="M229" s="2" t="str">
        <f t="shared" si="223"/>
        <v/>
      </c>
      <c r="N229" s="2" t="str">
        <f>IF($A229="","",INDEX(v_data!$B$2:$L$1000,MATCH($A229,v_data!$A$3:$A$1000,0)+1,MATCH(LOWER(N$1),v_data!$B$2:$L$2,0)))</f>
        <v/>
      </c>
      <c r="O229" s="2" t="str">
        <f t="shared" si="224"/>
        <v/>
      </c>
      <c r="P229" s="2" t="str">
        <f>IF($A229="","",INDEX(v_data!$B$2:$L$1000,MATCH($A229,v_data!$A$3:$A$1000,0)+1,MATCH(LOWER(P$1),v_data!$B$2:$L$2,0)))</f>
        <v/>
      </c>
      <c r="Q229" s="2" t="str">
        <f t="shared" si="225"/>
        <v/>
      </c>
      <c r="R229" s="2" t="str">
        <f>IF($A229="","",INDEX(v_data!$B$2:$L$1000,MATCH($A229,v_data!$A$3:$A$1000,0)+1,MATCH(LOWER(R$1),v_data!$B$2:$L$2,0)))</f>
        <v/>
      </c>
      <c r="S229" s="2" t="str">
        <f t="shared" si="226"/>
        <v/>
      </c>
      <c r="T229" s="2" t="str">
        <f>IF($A229="","",INDEX(v_data!$B$2:$L$1000,MATCH($A229,v_data!$A$3:$A$1000,0)+1,MATCH(LOWER(T$1),v_data!$B$2:$L$2,0)))</f>
        <v/>
      </c>
      <c r="U229" s="2" t="str">
        <f t="shared" si="227"/>
        <v/>
      </c>
      <c r="V229" s="2" t="str">
        <f>IF($A229="","",INDEX(v_data!$B$2:$L$1000,MATCH($A229,v_data!$A$3:$A$1000,0)+1,MATCH(LOWER(V$1),v_data!$B$2:$L$2,0)))</f>
        <v/>
      </c>
      <c r="W229" s="2" t="str">
        <f t="shared" si="228"/>
        <v/>
      </c>
      <c r="X229" s="2" t="str">
        <f>IF($A229="","",INDEX(v_data!$B$2:$L$1000,MATCH($A229,v_data!$A$3:$A$1000,0)+1,MATCH(LOWER(X$1),v_data!$B$2:$L$2,0)))</f>
        <v/>
      </c>
      <c r="Y229" s="2" t="str">
        <f t="shared" si="229"/>
        <v/>
      </c>
      <c r="Z229" s="2" t="str">
        <f>IF($A229="","",INDEX(v_data!$B$2:$L$1000,MATCH($A229,v_data!$A$3:$A$1000,0)+1,MATCH(LOWER(Z$1),v_data!$B$2:$L$2,0)))</f>
        <v/>
      </c>
      <c r="AA229" s="2" t="str">
        <f t="shared" si="230"/>
        <v/>
      </c>
      <c r="AB229" s="2" t="str">
        <f t="shared" si="231"/>
        <v/>
      </c>
      <c r="AC229" s="2">
        <f>(SUM(G229,I229,K229,M229,O229,Q229,S229,U229,W229,Y229,AA229)+IF(AND(G229&gt;0,I229&gt;0,K229&gt;0),100,0))*VLOOKUP(B229,variables!$A$2:$B$6,2,FALSE)</f>
        <v>80</v>
      </c>
      <c r="AD229" s="16" t="str">
        <f>IF($A229="","",INDEX(v_data!$B$2:$X$1000,MATCH($A229,v_data!$A$3:$A$1000,0)+1,MATCH(LOWER("hours"),v_data!$B$2:$X$2,0)))</f>
        <v/>
      </c>
    </row>
    <row r="230" spans="1:30" hidden="1" x14ac:dyDescent="0.25">
      <c r="A230" s="2" t="str">
        <f>IF(ISBLANK(v_data!A229),"",v_data!A229)</f>
        <v/>
      </c>
      <c r="B230" s="2" t="s">
        <v>22</v>
      </c>
      <c r="C230" s="2">
        <f>VLOOKUP(B230,variables!$A$2:$B$6,2,FALSE)</f>
        <v>0.8</v>
      </c>
      <c r="D230" s="4">
        <v>43826</v>
      </c>
      <c r="E230" s="4">
        <v>43431</v>
      </c>
      <c r="F230" s="2" t="str">
        <f>IF($A230="","",INDEX(v_data!$B$2:$L$1000,MATCH($A230,v_data!$A$3:$A$1000,0)+1,MATCH(LOWER(F$1),v_data!$B$2:$L$2,0)))</f>
        <v/>
      </c>
      <c r="G230" s="2" t="str">
        <f t="shared" si="220"/>
        <v/>
      </c>
      <c r="H230" s="2" t="str">
        <f>IF($A230="","",INDEX(v_data!$B$2:$L$1000,MATCH($A230,v_data!$A$3:$A$1000,0)+1,MATCH(LOWER(H$1),v_data!$B$2:$L$2,0)))</f>
        <v/>
      </c>
      <c r="I230" s="2" t="str">
        <f t="shared" si="221"/>
        <v/>
      </c>
      <c r="J230" s="2" t="str">
        <f>IF($A230="","",INDEX(v_data!$B$2:$L$1000,MATCH($A230,v_data!$A$3:$A$1000,0)+1,MATCH(LOWER(J$1),v_data!$B$2:$L$2,0)))</f>
        <v/>
      </c>
      <c r="K230" s="2" t="str">
        <f t="shared" si="222"/>
        <v/>
      </c>
      <c r="L230" s="2" t="str">
        <f>IF($A230="","",INDEX(v_data!$B$2:$L$1000,MATCH($A230,v_data!$A$3:$A$1000,0)+1,MATCH(LOWER(L$1),v_data!$B$2:$L$2,0)))</f>
        <v/>
      </c>
      <c r="M230" s="2" t="str">
        <f t="shared" si="223"/>
        <v/>
      </c>
      <c r="N230" s="2" t="str">
        <f>IF($A230="","",INDEX(v_data!$B$2:$L$1000,MATCH($A230,v_data!$A$3:$A$1000,0)+1,MATCH(LOWER(N$1),v_data!$B$2:$L$2,0)))</f>
        <v/>
      </c>
      <c r="O230" s="2" t="str">
        <f t="shared" si="224"/>
        <v/>
      </c>
      <c r="P230" s="2" t="str">
        <f>IF($A230="","",INDEX(v_data!$B$2:$L$1000,MATCH($A230,v_data!$A$3:$A$1000,0)+1,MATCH(LOWER(P$1),v_data!$B$2:$L$2,0)))</f>
        <v/>
      </c>
      <c r="Q230" s="2" t="str">
        <f t="shared" si="225"/>
        <v/>
      </c>
      <c r="R230" s="2" t="str">
        <f>IF($A230="","",INDEX(v_data!$B$2:$L$1000,MATCH($A230,v_data!$A$3:$A$1000,0)+1,MATCH(LOWER(R$1),v_data!$B$2:$L$2,0)))</f>
        <v/>
      </c>
      <c r="S230" s="2" t="str">
        <f t="shared" si="226"/>
        <v/>
      </c>
      <c r="T230" s="2" t="str">
        <f>IF($A230="","",INDEX(v_data!$B$2:$L$1000,MATCH($A230,v_data!$A$3:$A$1000,0)+1,MATCH(LOWER(T$1),v_data!$B$2:$L$2,0)))</f>
        <v/>
      </c>
      <c r="U230" s="2" t="str">
        <f t="shared" si="227"/>
        <v/>
      </c>
      <c r="V230" s="2" t="str">
        <f>IF($A230="","",INDEX(v_data!$B$2:$L$1000,MATCH($A230,v_data!$A$3:$A$1000,0)+1,MATCH(LOWER(V$1),v_data!$B$2:$L$2,0)))</f>
        <v/>
      </c>
      <c r="W230" s="2" t="str">
        <f t="shared" si="228"/>
        <v/>
      </c>
      <c r="X230" s="2" t="str">
        <f>IF($A230="","",INDEX(v_data!$B$2:$L$1000,MATCH($A230,v_data!$A$3:$A$1000,0)+1,MATCH(LOWER(X$1),v_data!$B$2:$L$2,0)))</f>
        <v/>
      </c>
      <c r="Y230" s="2" t="str">
        <f t="shared" si="229"/>
        <v/>
      </c>
      <c r="Z230" s="2" t="str">
        <f>IF($A230="","",INDEX(v_data!$B$2:$L$1000,MATCH($A230,v_data!$A$3:$A$1000,0)+1,MATCH(LOWER(Z$1),v_data!$B$2:$L$2,0)))</f>
        <v/>
      </c>
      <c r="AA230" s="2" t="str">
        <f t="shared" si="230"/>
        <v/>
      </c>
      <c r="AB230" s="2" t="str">
        <f t="shared" si="231"/>
        <v/>
      </c>
      <c r="AC230" s="2">
        <f>(SUM(G230,I230,K230,M230,O230,Q230,S230,U230,W230,Y230,AA230)+IF(AND(G230&gt;0,I230&gt;0,K230&gt;0),100,0))*VLOOKUP(B230,variables!$A$2:$B$6,2,FALSE)</f>
        <v>80</v>
      </c>
      <c r="AD230" s="16" t="str">
        <f>IF($A230="","",INDEX(v_data!$B$2:$X$1000,MATCH($A230,v_data!$A$3:$A$1000,0)+1,MATCH(LOWER("hours"),v_data!$B$2:$X$2,0)))</f>
        <v/>
      </c>
    </row>
    <row r="231" spans="1:30" hidden="1" x14ac:dyDescent="0.25">
      <c r="A231" s="2" t="str">
        <f>IF(ISBLANK(v_data!A230),"",v_data!A230)</f>
        <v/>
      </c>
      <c r="B231" s="2" t="s">
        <v>22</v>
      </c>
      <c r="C231" s="2">
        <f>VLOOKUP(B231,variables!$A$2:$B$6,2,FALSE)</f>
        <v>0.8</v>
      </c>
      <c r="D231" s="4">
        <v>43826</v>
      </c>
      <c r="E231" s="4">
        <v>43431</v>
      </c>
      <c r="F231" s="2" t="str">
        <f>IF($A231="","",INDEX(v_data!$B$2:$L$1000,MATCH($A231,v_data!$A$3:$A$1000,0)+1,MATCH(LOWER(F$1),v_data!$B$2:$L$2,0)))</f>
        <v/>
      </c>
      <c r="G231" s="2" t="str">
        <f t="shared" si="220"/>
        <v/>
      </c>
      <c r="H231" s="2" t="str">
        <f>IF($A231="","",INDEX(v_data!$B$2:$L$1000,MATCH($A231,v_data!$A$3:$A$1000,0)+1,MATCH(LOWER(H$1),v_data!$B$2:$L$2,0)))</f>
        <v/>
      </c>
      <c r="I231" s="2" t="str">
        <f t="shared" si="221"/>
        <v/>
      </c>
      <c r="J231" s="2" t="str">
        <f>IF($A231="","",INDEX(v_data!$B$2:$L$1000,MATCH($A231,v_data!$A$3:$A$1000,0)+1,MATCH(LOWER(J$1),v_data!$B$2:$L$2,0)))</f>
        <v/>
      </c>
      <c r="K231" s="2" t="str">
        <f t="shared" si="222"/>
        <v/>
      </c>
      <c r="L231" s="2" t="str">
        <f>IF($A231="","",INDEX(v_data!$B$2:$L$1000,MATCH($A231,v_data!$A$3:$A$1000,0)+1,MATCH(LOWER(L$1),v_data!$B$2:$L$2,0)))</f>
        <v/>
      </c>
      <c r="M231" s="2" t="str">
        <f t="shared" si="223"/>
        <v/>
      </c>
      <c r="N231" s="2" t="str">
        <f>IF($A231="","",INDEX(v_data!$B$2:$L$1000,MATCH($A231,v_data!$A$3:$A$1000,0)+1,MATCH(LOWER(N$1),v_data!$B$2:$L$2,0)))</f>
        <v/>
      </c>
      <c r="O231" s="2" t="str">
        <f t="shared" si="224"/>
        <v/>
      </c>
      <c r="P231" s="2" t="str">
        <f>IF($A231="","",INDEX(v_data!$B$2:$L$1000,MATCH($A231,v_data!$A$3:$A$1000,0)+1,MATCH(LOWER(P$1),v_data!$B$2:$L$2,0)))</f>
        <v/>
      </c>
      <c r="Q231" s="2" t="str">
        <f t="shared" si="225"/>
        <v/>
      </c>
      <c r="R231" s="2" t="str">
        <f>IF($A231="","",INDEX(v_data!$B$2:$L$1000,MATCH($A231,v_data!$A$3:$A$1000,0)+1,MATCH(LOWER(R$1),v_data!$B$2:$L$2,0)))</f>
        <v/>
      </c>
      <c r="S231" s="2" t="str">
        <f t="shared" si="226"/>
        <v/>
      </c>
      <c r="T231" s="2" t="str">
        <f>IF($A231="","",INDEX(v_data!$B$2:$L$1000,MATCH($A231,v_data!$A$3:$A$1000,0)+1,MATCH(LOWER(T$1),v_data!$B$2:$L$2,0)))</f>
        <v/>
      </c>
      <c r="U231" s="2" t="str">
        <f t="shared" si="227"/>
        <v/>
      </c>
      <c r="V231" s="2" t="str">
        <f>IF($A231="","",INDEX(v_data!$B$2:$L$1000,MATCH($A231,v_data!$A$3:$A$1000,0)+1,MATCH(LOWER(V$1),v_data!$B$2:$L$2,0)))</f>
        <v/>
      </c>
      <c r="W231" s="2" t="str">
        <f t="shared" si="228"/>
        <v/>
      </c>
      <c r="X231" s="2" t="str">
        <f>IF($A231="","",INDEX(v_data!$B$2:$L$1000,MATCH($A231,v_data!$A$3:$A$1000,0)+1,MATCH(LOWER(X$1),v_data!$B$2:$L$2,0)))</f>
        <v/>
      </c>
      <c r="Y231" s="2" t="str">
        <f t="shared" si="229"/>
        <v/>
      </c>
      <c r="Z231" s="2" t="str">
        <f>IF($A231="","",INDEX(v_data!$B$2:$L$1000,MATCH($A231,v_data!$A$3:$A$1000,0)+1,MATCH(LOWER(Z$1),v_data!$B$2:$L$2,0)))</f>
        <v/>
      </c>
      <c r="AA231" s="2" t="str">
        <f t="shared" si="230"/>
        <v/>
      </c>
      <c r="AB231" s="2" t="str">
        <f t="shared" si="231"/>
        <v/>
      </c>
      <c r="AC231" s="2">
        <f>(SUM(G231,I231,K231,M231,O231,Q231,S231,U231,W231,Y231,AA231)+IF(AND(G231&gt;0,I231&gt;0,K231&gt;0),100,0))*VLOOKUP(B231,variables!$A$2:$B$6,2,FALSE)</f>
        <v>80</v>
      </c>
      <c r="AD231" s="16" t="str">
        <f>IF($A231="","",INDEX(v_data!$B$2:$X$1000,MATCH($A231,v_data!$A$3:$A$1000,0)+1,MATCH(LOWER("hours"),v_data!$B$2:$X$2,0)))</f>
        <v/>
      </c>
    </row>
    <row r="232" spans="1:30" hidden="1" x14ac:dyDescent="0.25">
      <c r="A232" s="2" t="str">
        <f>IF(ISBLANK(v_data!A231),"",v_data!A231)</f>
        <v/>
      </c>
      <c r="B232" s="2" t="s">
        <v>22</v>
      </c>
      <c r="C232" s="2">
        <f>VLOOKUP(B232,variables!$A$2:$B$6,2,FALSE)</f>
        <v>0.8</v>
      </c>
      <c r="D232" s="4">
        <v>43826</v>
      </c>
      <c r="E232" s="4">
        <v>43431</v>
      </c>
      <c r="F232" s="2" t="str">
        <f>IF($A232="","",INDEX(v_data!$B$2:$L$1000,MATCH($A232,v_data!$A$3:$A$1000,0)+1,MATCH(LOWER(F$1),v_data!$B$2:$L$2,0)))</f>
        <v/>
      </c>
      <c r="G232" s="2" t="str">
        <f t="shared" si="220"/>
        <v/>
      </c>
      <c r="H232" s="2" t="str">
        <f>IF($A232="","",INDEX(v_data!$B$2:$L$1000,MATCH($A232,v_data!$A$3:$A$1000,0)+1,MATCH(LOWER(H$1),v_data!$B$2:$L$2,0)))</f>
        <v/>
      </c>
      <c r="I232" s="2" t="str">
        <f t="shared" si="221"/>
        <v/>
      </c>
      <c r="J232" s="2" t="str">
        <f>IF($A232="","",INDEX(v_data!$B$2:$L$1000,MATCH($A232,v_data!$A$3:$A$1000,0)+1,MATCH(LOWER(J$1),v_data!$B$2:$L$2,0)))</f>
        <v/>
      </c>
      <c r="K232" s="2" t="str">
        <f t="shared" si="222"/>
        <v/>
      </c>
      <c r="L232" s="2" t="str">
        <f>IF($A232="","",INDEX(v_data!$B$2:$L$1000,MATCH($A232,v_data!$A$3:$A$1000,0)+1,MATCH(LOWER(L$1),v_data!$B$2:$L$2,0)))</f>
        <v/>
      </c>
      <c r="M232" s="2" t="str">
        <f t="shared" si="223"/>
        <v/>
      </c>
      <c r="N232" s="2" t="str">
        <f>IF($A232="","",INDEX(v_data!$B$2:$L$1000,MATCH($A232,v_data!$A$3:$A$1000,0)+1,MATCH(LOWER(N$1),v_data!$B$2:$L$2,0)))</f>
        <v/>
      </c>
      <c r="O232" s="2" t="str">
        <f t="shared" si="224"/>
        <v/>
      </c>
      <c r="P232" s="2" t="str">
        <f>IF($A232="","",INDEX(v_data!$B$2:$L$1000,MATCH($A232,v_data!$A$3:$A$1000,0)+1,MATCH(LOWER(P$1),v_data!$B$2:$L$2,0)))</f>
        <v/>
      </c>
      <c r="Q232" s="2" t="str">
        <f t="shared" si="225"/>
        <v/>
      </c>
      <c r="R232" s="2" t="str">
        <f>IF($A232="","",INDEX(v_data!$B$2:$L$1000,MATCH($A232,v_data!$A$3:$A$1000,0)+1,MATCH(LOWER(R$1),v_data!$B$2:$L$2,0)))</f>
        <v/>
      </c>
      <c r="S232" s="2" t="str">
        <f t="shared" si="226"/>
        <v/>
      </c>
      <c r="T232" s="2" t="str">
        <f>IF($A232="","",INDEX(v_data!$B$2:$L$1000,MATCH($A232,v_data!$A$3:$A$1000,0)+1,MATCH(LOWER(T$1),v_data!$B$2:$L$2,0)))</f>
        <v/>
      </c>
      <c r="U232" s="2" t="str">
        <f t="shared" si="227"/>
        <v/>
      </c>
      <c r="V232" s="2" t="str">
        <f>IF($A232="","",INDEX(v_data!$B$2:$L$1000,MATCH($A232,v_data!$A$3:$A$1000,0)+1,MATCH(LOWER(V$1),v_data!$B$2:$L$2,0)))</f>
        <v/>
      </c>
      <c r="W232" s="2" t="str">
        <f t="shared" si="228"/>
        <v/>
      </c>
      <c r="X232" s="2" t="str">
        <f>IF($A232="","",INDEX(v_data!$B$2:$L$1000,MATCH($A232,v_data!$A$3:$A$1000,0)+1,MATCH(LOWER(X$1),v_data!$B$2:$L$2,0)))</f>
        <v/>
      </c>
      <c r="Y232" s="2" t="str">
        <f t="shared" si="229"/>
        <v/>
      </c>
      <c r="Z232" s="2" t="str">
        <f>IF($A232="","",INDEX(v_data!$B$2:$L$1000,MATCH($A232,v_data!$A$3:$A$1000,0)+1,MATCH(LOWER(Z$1),v_data!$B$2:$L$2,0)))</f>
        <v/>
      </c>
      <c r="AA232" s="2" t="str">
        <f t="shared" si="230"/>
        <v/>
      </c>
      <c r="AB232" s="2" t="str">
        <f t="shared" si="231"/>
        <v/>
      </c>
      <c r="AC232" s="2">
        <f>(SUM(G232,I232,K232,M232,O232,Q232,S232,U232,W232,Y232,AA232)+IF(AND(G232&gt;0,I232&gt;0,K232&gt;0),100,0))*VLOOKUP(B232,variables!$A$2:$B$6,2,FALSE)</f>
        <v>80</v>
      </c>
      <c r="AD232" s="16" t="str">
        <f>IF($A232="","",INDEX(v_data!$B$2:$X$1000,MATCH($A232,v_data!$A$3:$A$1000,0)+1,MATCH(LOWER("hours"),v_data!$B$2:$X$2,0)))</f>
        <v/>
      </c>
    </row>
    <row r="233" spans="1:30" hidden="1" x14ac:dyDescent="0.25">
      <c r="A233" s="2" t="str">
        <f>IF(ISBLANK(v_data!A232),"",v_data!A232)</f>
        <v/>
      </c>
      <c r="B233" s="2" t="s">
        <v>22</v>
      </c>
      <c r="C233" s="2">
        <f>VLOOKUP(B233,variables!$A$2:$B$6,2,FALSE)</f>
        <v>0.8</v>
      </c>
      <c r="D233" s="4">
        <v>43826</v>
      </c>
      <c r="E233" s="4">
        <v>43431</v>
      </c>
      <c r="F233" s="2" t="str">
        <f>IF($A233="","",INDEX(v_data!$B$2:$L$1000,MATCH($A233,v_data!$A$3:$A$1000,0)+1,MATCH(LOWER(F$1),v_data!$B$2:$L$2,0)))</f>
        <v/>
      </c>
      <c r="G233" s="2" t="str">
        <f t="shared" si="220"/>
        <v/>
      </c>
      <c r="H233" s="2" t="str">
        <f>IF($A233="","",INDEX(v_data!$B$2:$L$1000,MATCH($A233,v_data!$A$3:$A$1000,0)+1,MATCH(LOWER(H$1),v_data!$B$2:$L$2,0)))</f>
        <v/>
      </c>
      <c r="I233" s="2" t="str">
        <f t="shared" si="221"/>
        <v/>
      </c>
      <c r="J233" s="2" t="str">
        <f>IF($A233="","",INDEX(v_data!$B$2:$L$1000,MATCH($A233,v_data!$A$3:$A$1000,0)+1,MATCH(LOWER(J$1),v_data!$B$2:$L$2,0)))</f>
        <v/>
      </c>
      <c r="K233" s="2" t="str">
        <f t="shared" si="222"/>
        <v/>
      </c>
      <c r="L233" s="2" t="str">
        <f>IF($A233="","",INDEX(v_data!$B$2:$L$1000,MATCH($A233,v_data!$A$3:$A$1000,0)+1,MATCH(LOWER(L$1),v_data!$B$2:$L$2,0)))</f>
        <v/>
      </c>
      <c r="M233" s="2" t="str">
        <f t="shared" si="223"/>
        <v/>
      </c>
      <c r="N233" s="2" t="str">
        <f>IF($A233="","",INDEX(v_data!$B$2:$L$1000,MATCH($A233,v_data!$A$3:$A$1000,0)+1,MATCH(LOWER(N$1),v_data!$B$2:$L$2,0)))</f>
        <v/>
      </c>
      <c r="O233" s="2" t="str">
        <f t="shared" si="224"/>
        <v/>
      </c>
      <c r="P233" s="2" t="str">
        <f>IF($A233="","",INDEX(v_data!$B$2:$L$1000,MATCH($A233,v_data!$A$3:$A$1000,0)+1,MATCH(LOWER(P$1),v_data!$B$2:$L$2,0)))</f>
        <v/>
      </c>
      <c r="Q233" s="2" t="str">
        <f t="shared" si="225"/>
        <v/>
      </c>
      <c r="R233" s="2" t="str">
        <f>IF($A233="","",INDEX(v_data!$B$2:$L$1000,MATCH($A233,v_data!$A$3:$A$1000,0)+1,MATCH(LOWER(R$1),v_data!$B$2:$L$2,0)))</f>
        <v/>
      </c>
      <c r="S233" s="2" t="str">
        <f t="shared" si="226"/>
        <v/>
      </c>
      <c r="T233" s="2" t="str">
        <f>IF($A233="","",INDEX(v_data!$B$2:$L$1000,MATCH($A233,v_data!$A$3:$A$1000,0)+1,MATCH(LOWER(T$1),v_data!$B$2:$L$2,0)))</f>
        <v/>
      </c>
      <c r="U233" s="2" t="str">
        <f t="shared" si="227"/>
        <v/>
      </c>
      <c r="V233" s="2" t="str">
        <f>IF($A233="","",INDEX(v_data!$B$2:$L$1000,MATCH($A233,v_data!$A$3:$A$1000,0)+1,MATCH(LOWER(V$1),v_data!$B$2:$L$2,0)))</f>
        <v/>
      </c>
      <c r="W233" s="2" t="str">
        <f t="shared" si="228"/>
        <v/>
      </c>
      <c r="X233" s="2" t="str">
        <f>IF($A233="","",INDEX(v_data!$B$2:$L$1000,MATCH($A233,v_data!$A$3:$A$1000,0)+1,MATCH(LOWER(X$1),v_data!$B$2:$L$2,0)))</f>
        <v/>
      </c>
      <c r="Y233" s="2" t="str">
        <f t="shared" si="229"/>
        <v/>
      </c>
      <c r="Z233" s="2" t="str">
        <f>IF($A233="","",INDEX(v_data!$B$2:$L$1000,MATCH($A233,v_data!$A$3:$A$1000,0)+1,MATCH(LOWER(Z$1),v_data!$B$2:$L$2,0)))</f>
        <v/>
      </c>
      <c r="AA233" s="2" t="str">
        <f t="shared" si="230"/>
        <v/>
      </c>
      <c r="AB233" s="2" t="str">
        <f t="shared" si="231"/>
        <v/>
      </c>
      <c r="AC233" s="2">
        <f>(SUM(G233,I233,K233,M233,O233,Q233,S233,U233,W233,Y233,AA233)+IF(AND(G233&gt;0,I233&gt;0,K233&gt;0),100,0))*VLOOKUP(B233,variables!$A$2:$B$6,2,FALSE)</f>
        <v>80</v>
      </c>
      <c r="AD233" s="16" t="str">
        <f>IF($A233="","",INDEX(v_data!$B$2:$X$1000,MATCH($A233,v_data!$A$3:$A$1000,0)+1,MATCH(LOWER("hours"),v_data!$B$2:$X$2,0)))</f>
        <v/>
      </c>
    </row>
    <row r="234" spans="1:30" hidden="1" x14ac:dyDescent="0.25">
      <c r="A234" s="2" t="str">
        <f>IF(ISBLANK(v_data!A233),"",v_data!A233)</f>
        <v/>
      </c>
      <c r="B234" s="2" t="s">
        <v>22</v>
      </c>
      <c r="C234" s="2">
        <f>VLOOKUP(B234,variables!$A$2:$B$6,2,FALSE)</f>
        <v>0.8</v>
      </c>
      <c r="D234" s="4">
        <v>43826</v>
      </c>
      <c r="E234" s="4">
        <v>43431</v>
      </c>
      <c r="F234" s="2" t="str">
        <f>IF($A234="","",INDEX(v_data!$B$2:$L$1000,MATCH($A234,v_data!$A$3:$A$1000,0)+1,MATCH(LOWER(F$1),v_data!$B$2:$L$2,0)))</f>
        <v/>
      </c>
      <c r="G234" s="2" t="str">
        <f t="shared" si="220"/>
        <v/>
      </c>
      <c r="H234" s="2" t="str">
        <f>IF($A234="","",INDEX(v_data!$B$2:$L$1000,MATCH($A234,v_data!$A$3:$A$1000,0)+1,MATCH(LOWER(H$1),v_data!$B$2:$L$2,0)))</f>
        <v/>
      </c>
      <c r="I234" s="2" t="str">
        <f t="shared" si="221"/>
        <v/>
      </c>
      <c r="J234" s="2" t="str">
        <f>IF($A234="","",INDEX(v_data!$B$2:$L$1000,MATCH($A234,v_data!$A$3:$A$1000,0)+1,MATCH(LOWER(J$1),v_data!$B$2:$L$2,0)))</f>
        <v/>
      </c>
      <c r="K234" s="2" t="str">
        <f t="shared" si="222"/>
        <v/>
      </c>
      <c r="L234" s="2" t="str">
        <f>IF($A234="","",INDEX(v_data!$B$2:$L$1000,MATCH($A234,v_data!$A$3:$A$1000,0)+1,MATCH(LOWER(L$1),v_data!$B$2:$L$2,0)))</f>
        <v/>
      </c>
      <c r="M234" s="2" t="str">
        <f t="shared" si="223"/>
        <v/>
      </c>
      <c r="N234" s="2" t="str">
        <f>IF($A234="","",INDEX(v_data!$B$2:$L$1000,MATCH($A234,v_data!$A$3:$A$1000,0)+1,MATCH(LOWER(N$1),v_data!$B$2:$L$2,0)))</f>
        <v/>
      </c>
      <c r="O234" s="2" t="str">
        <f t="shared" si="224"/>
        <v/>
      </c>
      <c r="P234" s="2" t="str">
        <f>IF($A234="","",INDEX(v_data!$B$2:$L$1000,MATCH($A234,v_data!$A$3:$A$1000,0)+1,MATCH(LOWER(P$1),v_data!$B$2:$L$2,0)))</f>
        <v/>
      </c>
      <c r="Q234" s="2" t="str">
        <f t="shared" si="225"/>
        <v/>
      </c>
      <c r="R234" s="2" t="str">
        <f>IF($A234="","",INDEX(v_data!$B$2:$L$1000,MATCH($A234,v_data!$A$3:$A$1000,0)+1,MATCH(LOWER(R$1),v_data!$B$2:$L$2,0)))</f>
        <v/>
      </c>
      <c r="S234" s="2" t="str">
        <f t="shared" si="226"/>
        <v/>
      </c>
      <c r="T234" s="2" t="str">
        <f>IF($A234="","",INDEX(v_data!$B$2:$L$1000,MATCH($A234,v_data!$A$3:$A$1000,0)+1,MATCH(LOWER(T$1),v_data!$B$2:$L$2,0)))</f>
        <v/>
      </c>
      <c r="U234" s="2" t="str">
        <f t="shared" si="227"/>
        <v/>
      </c>
      <c r="V234" s="2" t="str">
        <f>IF($A234="","",INDEX(v_data!$B$2:$L$1000,MATCH($A234,v_data!$A$3:$A$1000,0)+1,MATCH(LOWER(V$1),v_data!$B$2:$L$2,0)))</f>
        <v/>
      </c>
      <c r="W234" s="2" t="str">
        <f t="shared" si="228"/>
        <v/>
      </c>
      <c r="X234" s="2" t="str">
        <f>IF($A234="","",INDEX(v_data!$B$2:$L$1000,MATCH($A234,v_data!$A$3:$A$1000,0)+1,MATCH(LOWER(X$1),v_data!$B$2:$L$2,0)))</f>
        <v/>
      </c>
      <c r="Y234" s="2" t="str">
        <f t="shared" si="229"/>
        <v/>
      </c>
      <c r="Z234" s="2" t="str">
        <f>IF($A234="","",INDEX(v_data!$B$2:$L$1000,MATCH($A234,v_data!$A$3:$A$1000,0)+1,MATCH(LOWER(Z$1),v_data!$B$2:$L$2,0)))</f>
        <v/>
      </c>
      <c r="AA234" s="2" t="str">
        <f t="shared" si="230"/>
        <v/>
      </c>
      <c r="AB234" s="2" t="str">
        <f t="shared" si="231"/>
        <v/>
      </c>
      <c r="AC234" s="2">
        <f>(SUM(G234,I234,K234,M234,O234,Q234,S234,U234,W234,Y234,AA234)+IF(AND(G234&gt;0,I234&gt;0,K234&gt;0),100,0))*VLOOKUP(B234,variables!$A$2:$B$6,2,FALSE)</f>
        <v>80</v>
      </c>
      <c r="AD234" s="16" t="str">
        <f>IF($A234="","",INDEX(v_data!$B$2:$X$1000,MATCH($A234,v_data!$A$3:$A$1000,0)+1,MATCH(LOWER("hours"),v_data!$B$2:$X$2,0)))</f>
        <v/>
      </c>
    </row>
    <row r="235" spans="1:30" hidden="1" x14ac:dyDescent="0.25">
      <c r="A235" s="2" t="str">
        <f>IF(ISBLANK(v_data!A234),"",v_data!A234)</f>
        <v/>
      </c>
      <c r="B235" s="2" t="s">
        <v>22</v>
      </c>
      <c r="C235" s="2">
        <f>VLOOKUP(B235,variables!$A$2:$B$6,2,FALSE)</f>
        <v>0.8</v>
      </c>
      <c r="D235" s="4">
        <v>43826</v>
      </c>
      <c r="E235" s="4">
        <v>43431</v>
      </c>
      <c r="F235" s="2" t="str">
        <f>IF($A235="","",INDEX(v_data!$B$2:$L$1000,MATCH($A235,v_data!$A$3:$A$1000,0)+1,MATCH(LOWER(F$1),v_data!$B$2:$L$2,0)))</f>
        <v/>
      </c>
      <c r="G235" s="2" t="str">
        <f t="shared" si="220"/>
        <v/>
      </c>
      <c r="H235" s="2" t="str">
        <f>IF($A235="","",INDEX(v_data!$B$2:$L$1000,MATCH($A235,v_data!$A$3:$A$1000,0)+1,MATCH(LOWER(H$1),v_data!$B$2:$L$2,0)))</f>
        <v/>
      </c>
      <c r="I235" s="2" t="str">
        <f t="shared" si="221"/>
        <v/>
      </c>
      <c r="J235" s="2" t="str">
        <f>IF($A235="","",INDEX(v_data!$B$2:$L$1000,MATCH($A235,v_data!$A$3:$A$1000,0)+1,MATCH(LOWER(J$1),v_data!$B$2:$L$2,0)))</f>
        <v/>
      </c>
      <c r="K235" s="2" t="str">
        <f t="shared" si="222"/>
        <v/>
      </c>
      <c r="L235" s="2" t="str">
        <f>IF($A235="","",INDEX(v_data!$B$2:$L$1000,MATCH($A235,v_data!$A$3:$A$1000,0)+1,MATCH(LOWER(L$1),v_data!$B$2:$L$2,0)))</f>
        <v/>
      </c>
      <c r="M235" s="2" t="str">
        <f t="shared" si="223"/>
        <v/>
      </c>
      <c r="N235" s="2" t="str">
        <f>IF($A235="","",INDEX(v_data!$B$2:$L$1000,MATCH($A235,v_data!$A$3:$A$1000,0)+1,MATCH(LOWER(N$1),v_data!$B$2:$L$2,0)))</f>
        <v/>
      </c>
      <c r="O235" s="2" t="str">
        <f t="shared" si="224"/>
        <v/>
      </c>
      <c r="P235" s="2" t="str">
        <f>IF($A235="","",INDEX(v_data!$B$2:$L$1000,MATCH($A235,v_data!$A$3:$A$1000,0)+1,MATCH(LOWER(P$1),v_data!$B$2:$L$2,0)))</f>
        <v/>
      </c>
      <c r="Q235" s="2" t="str">
        <f t="shared" si="225"/>
        <v/>
      </c>
      <c r="R235" s="2" t="str">
        <f>IF($A235="","",INDEX(v_data!$B$2:$L$1000,MATCH($A235,v_data!$A$3:$A$1000,0)+1,MATCH(LOWER(R$1),v_data!$B$2:$L$2,0)))</f>
        <v/>
      </c>
      <c r="S235" s="2" t="str">
        <f t="shared" si="226"/>
        <v/>
      </c>
      <c r="T235" s="2" t="str">
        <f>IF($A235="","",INDEX(v_data!$B$2:$L$1000,MATCH($A235,v_data!$A$3:$A$1000,0)+1,MATCH(LOWER(T$1),v_data!$B$2:$L$2,0)))</f>
        <v/>
      </c>
      <c r="U235" s="2" t="str">
        <f t="shared" si="227"/>
        <v/>
      </c>
      <c r="V235" s="2" t="str">
        <f>IF($A235="","",INDEX(v_data!$B$2:$L$1000,MATCH($A235,v_data!$A$3:$A$1000,0)+1,MATCH(LOWER(V$1),v_data!$B$2:$L$2,0)))</f>
        <v/>
      </c>
      <c r="W235" s="2" t="str">
        <f t="shared" si="228"/>
        <v/>
      </c>
      <c r="X235" s="2" t="str">
        <f>IF($A235="","",INDEX(v_data!$B$2:$L$1000,MATCH($A235,v_data!$A$3:$A$1000,0)+1,MATCH(LOWER(X$1),v_data!$B$2:$L$2,0)))</f>
        <v/>
      </c>
      <c r="Y235" s="2" t="str">
        <f t="shared" si="229"/>
        <v/>
      </c>
      <c r="Z235" s="2" t="str">
        <f>IF($A235="","",INDEX(v_data!$B$2:$L$1000,MATCH($A235,v_data!$A$3:$A$1000,0)+1,MATCH(LOWER(Z$1),v_data!$B$2:$L$2,0)))</f>
        <v/>
      </c>
      <c r="AA235" s="2" t="str">
        <f t="shared" si="230"/>
        <v/>
      </c>
      <c r="AB235" s="2" t="str">
        <f t="shared" si="231"/>
        <v/>
      </c>
      <c r="AC235" s="2">
        <f>(SUM(G235,I235,K235,M235,O235,Q235,S235,U235,W235,Y235,AA235)+IF(AND(G235&gt;0,I235&gt;0,K235&gt;0),100,0))*VLOOKUP(B235,variables!$A$2:$B$6,2,FALSE)</f>
        <v>80</v>
      </c>
      <c r="AD235" s="16" t="str">
        <f>IF($A235="","",INDEX(v_data!$B$2:$X$1000,MATCH($A235,v_data!$A$3:$A$1000,0)+1,MATCH(LOWER("hours"),v_data!$B$2:$X$2,0)))</f>
        <v/>
      </c>
    </row>
    <row r="236" spans="1:30" hidden="1" x14ac:dyDescent="0.25">
      <c r="A236" s="2" t="str">
        <f>IF(ISBLANK(v_data!A235),"",v_data!A235)</f>
        <v/>
      </c>
      <c r="B236" s="2" t="s">
        <v>22</v>
      </c>
      <c r="C236" s="2">
        <f>VLOOKUP(B236,variables!$A$2:$B$6,2,FALSE)</f>
        <v>0.8</v>
      </c>
      <c r="D236" s="4">
        <v>43826</v>
      </c>
      <c r="E236" s="4">
        <v>43431</v>
      </c>
      <c r="F236" s="2" t="str">
        <f>IF($A236="","",INDEX(v_data!$B$2:$L$1000,MATCH($A236,v_data!$A$3:$A$1000,0)+1,MATCH(LOWER(F$1),v_data!$B$2:$L$2,0)))</f>
        <v/>
      </c>
      <c r="G236" s="2" t="str">
        <f t="shared" si="220"/>
        <v/>
      </c>
      <c r="H236" s="2" t="str">
        <f>IF($A236="","",INDEX(v_data!$B$2:$L$1000,MATCH($A236,v_data!$A$3:$A$1000,0)+1,MATCH(LOWER(H$1),v_data!$B$2:$L$2,0)))</f>
        <v/>
      </c>
      <c r="I236" s="2" t="str">
        <f t="shared" si="221"/>
        <v/>
      </c>
      <c r="J236" s="2" t="str">
        <f>IF($A236="","",INDEX(v_data!$B$2:$L$1000,MATCH($A236,v_data!$A$3:$A$1000,0)+1,MATCH(LOWER(J$1),v_data!$B$2:$L$2,0)))</f>
        <v/>
      </c>
      <c r="K236" s="2" t="str">
        <f t="shared" si="222"/>
        <v/>
      </c>
      <c r="L236" s="2" t="str">
        <f>IF($A236="","",INDEX(v_data!$B$2:$L$1000,MATCH($A236,v_data!$A$3:$A$1000,0)+1,MATCH(LOWER(L$1),v_data!$B$2:$L$2,0)))</f>
        <v/>
      </c>
      <c r="M236" s="2" t="str">
        <f t="shared" si="223"/>
        <v/>
      </c>
      <c r="N236" s="2" t="str">
        <f>IF($A236="","",INDEX(v_data!$B$2:$L$1000,MATCH($A236,v_data!$A$3:$A$1000,0)+1,MATCH(LOWER(N$1),v_data!$B$2:$L$2,0)))</f>
        <v/>
      </c>
      <c r="O236" s="2" t="str">
        <f t="shared" si="224"/>
        <v/>
      </c>
      <c r="P236" s="2" t="str">
        <f>IF($A236="","",INDEX(v_data!$B$2:$L$1000,MATCH($A236,v_data!$A$3:$A$1000,0)+1,MATCH(LOWER(P$1),v_data!$B$2:$L$2,0)))</f>
        <v/>
      </c>
      <c r="Q236" s="2" t="str">
        <f t="shared" si="225"/>
        <v/>
      </c>
      <c r="R236" s="2" t="str">
        <f>IF($A236="","",INDEX(v_data!$B$2:$L$1000,MATCH($A236,v_data!$A$3:$A$1000,0)+1,MATCH(LOWER(R$1),v_data!$B$2:$L$2,0)))</f>
        <v/>
      </c>
      <c r="S236" s="2" t="str">
        <f t="shared" si="226"/>
        <v/>
      </c>
      <c r="T236" s="2" t="str">
        <f>IF($A236="","",INDEX(v_data!$B$2:$L$1000,MATCH($A236,v_data!$A$3:$A$1000,0)+1,MATCH(LOWER(T$1),v_data!$B$2:$L$2,0)))</f>
        <v/>
      </c>
      <c r="U236" s="2" t="str">
        <f t="shared" si="227"/>
        <v/>
      </c>
      <c r="V236" s="2" t="str">
        <f>IF($A236="","",INDEX(v_data!$B$2:$L$1000,MATCH($A236,v_data!$A$3:$A$1000,0)+1,MATCH(LOWER(V$1),v_data!$B$2:$L$2,0)))</f>
        <v/>
      </c>
      <c r="W236" s="2" t="str">
        <f t="shared" si="228"/>
        <v/>
      </c>
      <c r="X236" s="2" t="str">
        <f>IF($A236="","",INDEX(v_data!$B$2:$L$1000,MATCH($A236,v_data!$A$3:$A$1000,0)+1,MATCH(LOWER(X$1),v_data!$B$2:$L$2,0)))</f>
        <v/>
      </c>
      <c r="Y236" s="2" t="str">
        <f t="shared" si="229"/>
        <v/>
      </c>
      <c r="Z236" s="2" t="str">
        <f>IF($A236="","",INDEX(v_data!$B$2:$L$1000,MATCH($A236,v_data!$A$3:$A$1000,0)+1,MATCH(LOWER(Z$1),v_data!$B$2:$L$2,0)))</f>
        <v/>
      </c>
      <c r="AA236" s="2" t="str">
        <f t="shared" si="230"/>
        <v/>
      </c>
      <c r="AB236" s="2" t="str">
        <f t="shared" si="231"/>
        <v/>
      </c>
      <c r="AC236" s="2">
        <f>(SUM(G236,I236,K236,M236,O236,Q236,S236,U236,W236,Y236,AA236)+IF(AND(G236&gt;0,I236&gt;0,K236&gt;0),100,0))*VLOOKUP(B236,variables!$A$2:$B$6,2,FALSE)</f>
        <v>80</v>
      </c>
      <c r="AD236" s="16" t="str">
        <f>IF($A236="","",INDEX(v_data!$B$2:$X$1000,MATCH($A236,v_data!$A$3:$A$1000,0)+1,MATCH(LOWER("hours"),v_data!$B$2:$X$2,0)))</f>
        <v/>
      </c>
    </row>
    <row r="237" spans="1:30" hidden="1" x14ac:dyDescent="0.25">
      <c r="A237" s="2" t="str">
        <f>IF(ISBLANK(v_data!A236),"",v_data!A236)</f>
        <v/>
      </c>
      <c r="B237" s="2" t="s">
        <v>22</v>
      </c>
      <c r="C237" s="2">
        <f>VLOOKUP(B237,variables!$A$2:$B$6,2,FALSE)</f>
        <v>0.8</v>
      </c>
      <c r="D237" s="4">
        <v>43826</v>
      </c>
      <c r="E237" s="4">
        <v>43431</v>
      </c>
      <c r="F237" s="2" t="str">
        <f>IF($A237="","",INDEX(v_data!$B$2:$L$1000,MATCH($A237,v_data!$A$3:$A$1000,0)+1,MATCH(LOWER(F$1),v_data!$B$2:$L$2,0)))</f>
        <v/>
      </c>
      <c r="G237" s="2" t="str">
        <f t="shared" si="220"/>
        <v/>
      </c>
      <c r="H237" s="2" t="str">
        <f>IF($A237="","",INDEX(v_data!$B$2:$L$1000,MATCH($A237,v_data!$A$3:$A$1000,0)+1,MATCH(LOWER(H$1),v_data!$B$2:$L$2,0)))</f>
        <v/>
      </c>
      <c r="I237" s="2" t="str">
        <f t="shared" si="221"/>
        <v/>
      </c>
      <c r="J237" s="2" t="str">
        <f>IF($A237="","",INDEX(v_data!$B$2:$L$1000,MATCH($A237,v_data!$A$3:$A$1000,0)+1,MATCH(LOWER(J$1),v_data!$B$2:$L$2,0)))</f>
        <v/>
      </c>
      <c r="K237" s="2" t="str">
        <f t="shared" si="222"/>
        <v/>
      </c>
      <c r="L237" s="2" t="str">
        <f>IF($A237="","",INDEX(v_data!$B$2:$L$1000,MATCH($A237,v_data!$A$3:$A$1000,0)+1,MATCH(LOWER(L$1),v_data!$B$2:$L$2,0)))</f>
        <v/>
      </c>
      <c r="M237" s="2" t="str">
        <f t="shared" si="223"/>
        <v/>
      </c>
      <c r="N237" s="2" t="str">
        <f>IF($A237="","",INDEX(v_data!$B$2:$L$1000,MATCH($A237,v_data!$A$3:$A$1000,0)+1,MATCH(LOWER(N$1),v_data!$B$2:$L$2,0)))</f>
        <v/>
      </c>
      <c r="O237" s="2" t="str">
        <f t="shared" si="224"/>
        <v/>
      </c>
      <c r="P237" s="2" t="str">
        <f>IF($A237="","",INDEX(v_data!$B$2:$L$1000,MATCH($A237,v_data!$A$3:$A$1000,0)+1,MATCH(LOWER(P$1),v_data!$B$2:$L$2,0)))</f>
        <v/>
      </c>
      <c r="Q237" s="2" t="str">
        <f t="shared" si="225"/>
        <v/>
      </c>
      <c r="R237" s="2" t="str">
        <f>IF($A237="","",INDEX(v_data!$B$2:$L$1000,MATCH($A237,v_data!$A$3:$A$1000,0)+1,MATCH(LOWER(R$1),v_data!$B$2:$L$2,0)))</f>
        <v/>
      </c>
      <c r="S237" s="2" t="str">
        <f t="shared" si="226"/>
        <v/>
      </c>
      <c r="T237" s="2" t="str">
        <f>IF($A237="","",INDEX(v_data!$B$2:$L$1000,MATCH($A237,v_data!$A$3:$A$1000,0)+1,MATCH(LOWER(T$1),v_data!$B$2:$L$2,0)))</f>
        <v/>
      </c>
      <c r="U237" s="2" t="str">
        <f t="shared" si="227"/>
        <v/>
      </c>
      <c r="V237" s="2" t="str">
        <f>IF($A237="","",INDEX(v_data!$B$2:$L$1000,MATCH($A237,v_data!$A$3:$A$1000,0)+1,MATCH(LOWER(V$1),v_data!$B$2:$L$2,0)))</f>
        <v/>
      </c>
      <c r="W237" s="2" t="str">
        <f t="shared" si="228"/>
        <v/>
      </c>
      <c r="X237" s="2" t="str">
        <f>IF($A237="","",INDEX(v_data!$B$2:$L$1000,MATCH($A237,v_data!$A$3:$A$1000,0)+1,MATCH(LOWER(X$1),v_data!$B$2:$L$2,0)))</f>
        <v/>
      </c>
      <c r="Y237" s="2" t="str">
        <f t="shared" si="229"/>
        <v/>
      </c>
      <c r="Z237" s="2" t="str">
        <f>IF($A237="","",INDEX(v_data!$B$2:$L$1000,MATCH($A237,v_data!$A$3:$A$1000,0)+1,MATCH(LOWER(Z$1),v_data!$B$2:$L$2,0)))</f>
        <v/>
      </c>
      <c r="AA237" s="2" t="str">
        <f t="shared" si="230"/>
        <v/>
      </c>
      <c r="AB237" s="2" t="str">
        <f t="shared" si="231"/>
        <v/>
      </c>
      <c r="AC237" s="2">
        <f>(SUM(G237,I237,K237,M237,O237,Q237,S237,U237,W237,Y237,AA237)+IF(AND(G237&gt;0,I237&gt;0,K237&gt;0),100,0))*VLOOKUP(B237,variables!$A$2:$B$6,2,FALSE)</f>
        <v>80</v>
      </c>
      <c r="AD237" s="16" t="str">
        <f>IF($A237="","",INDEX(v_data!$B$2:$X$1000,MATCH($A237,v_data!$A$3:$A$1000,0)+1,MATCH(LOWER("hours"),v_data!$B$2:$X$2,0)))</f>
        <v/>
      </c>
    </row>
    <row r="238" spans="1:30" hidden="1" x14ac:dyDescent="0.25">
      <c r="A238" s="2" t="str">
        <f>IF(ISBLANK(v_data!A237),"",v_data!A237)</f>
        <v/>
      </c>
      <c r="B238" s="2" t="s">
        <v>22</v>
      </c>
      <c r="C238" s="2">
        <f>VLOOKUP(B238,variables!$A$2:$B$6,2,FALSE)</f>
        <v>0.8</v>
      </c>
      <c r="D238" s="4">
        <v>43826</v>
      </c>
      <c r="E238" s="4">
        <v>43431</v>
      </c>
      <c r="F238" s="2" t="str">
        <f>IF($A238="","",INDEX(v_data!$B$2:$L$1000,MATCH($A238,v_data!$A$3:$A$1000,0)+1,MATCH(LOWER(F$1),v_data!$B$2:$L$2,0)))</f>
        <v/>
      </c>
      <c r="G238" s="2" t="str">
        <f t="shared" si="220"/>
        <v/>
      </c>
      <c r="H238" s="2" t="str">
        <f>IF($A238="","",INDEX(v_data!$B$2:$L$1000,MATCH($A238,v_data!$A$3:$A$1000,0)+1,MATCH(LOWER(H$1),v_data!$B$2:$L$2,0)))</f>
        <v/>
      </c>
      <c r="I238" s="2" t="str">
        <f t="shared" si="221"/>
        <v/>
      </c>
      <c r="J238" s="2" t="str">
        <f>IF($A238="","",INDEX(v_data!$B$2:$L$1000,MATCH($A238,v_data!$A$3:$A$1000,0)+1,MATCH(LOWER(J$1),v_data!$B$2:$L$2,0)))</f>
        <v/>
      </c>
      <c r="K238" s="2" t="str">
        <f t="shared" si="222"/>
        <v/>
      </c>
      <c r="L238" s="2" t="str">
        <f>IF($A238="","",INDEX(v_data!$B$2:$L$1000,MATCH($A238,v_data!$A$3:$A$1000,0)+1,MATCH(LOWER(L$1),v_data!$B$2:$L$2,0)))</f>
        <v/>
      </c>
      <c r="M238" s="2" t="str">
        <f t="shared" si="223"/>
        <v/>
      </c>
      <c r="N238" s="2" t="str">
        <f>IF($A238="","",INDEX(v_data!$B$2:$L$1000,MATCH($A238,v_data!$A$3:$A$1000,0)+1,MATCH(LOWER(N$1),v_data!$B$2:$L$2,0)))</f>
        <v/>
      </c>
      <c r="O238" s="2" t="str">
        <f t="shared" si="224"/>
        <v/>
      </c>
      <c r="P238" s="2" t="str">
        <f>IF($A238="","",INDEX(v_data!$B$2:$L$1000,MATCH($A238,v_data!$A$3:$A$1000,0)+1,MATCH(LOWER(P$1),v_data!$B$2:$L$2,0)))</f>
        <v/>
      </c>
      <c r="Q238" s="2" t="str">
        <f t="shared" si="225"/>
        <v/>
      </c>
      <c r="R238" s="2" t="str">
        <f>IF($A238="","",INDEX(v_data!$B$2:$L$1000,MATCH($A238,v_data!$A$3:$A$1000,0)+1,MATCH(LOWER(R$1),v_data!$B$2:$L$2,0)))</f>
        <v/>
      </c>
      <c r="S238" s="2" t="str">
        <f t="shared" si="226"/>
        <v/>
      </c>
      <c r="T238" s="2" t="str">
        <f>IF($A238="","",INDEX(v_data!$B$2:$L$1000,MATCH($A238,v_data!$A$3:$A$1000,0)+1,MATCH(LOWER(T$1),v_data!$B$2:$L$2,0)))</f>
        <v/>
      </c>
      <c r="U238" s="2" t="str">
        <f t="shared" si="227"/>
        <v/>
      </c>
      <c r="V238" s="2" t="str">
        <f>IF($A238="","",INDEX(v_data!$B$2:$L$1000,MATCH($A238,v_data!$A$3:$A$1000,0)+1,MATCH(LOWER(V$1),v_data!$B$2:$L$2,0)))</f>
        <v/>
      </c>
      <c r="W238" s="2" t="str">
        <f t="shared" si="228"/>
        <v/>
      </c>
      <c r="X238" s="2" t="str">
        <f>IF($A238="","",INDEX(v_data!$B$2:$L$1000,MATCH($A238,v_data!$A$3:$A$1000,0)+1,MATCH(LOWER(X$1),v_data!$B$2:$L$2,0)))</f>
        <v/>
      </c>
      <c r="Y238" s="2" t="str">
        <f t="shared" si="229"/>
        <v/>
      </c>
      <c r="Z238" s="2" t="str">
        <f>IF($A238="","",INDEX(v_data!$B$2:$L$1000,MATCH($A238,v_data!$A$3:$A$1000,0)+1,MATCH(LOWER(Z$1),v_data!$B$2:$L$2,0)))</f>
        <v/>
      </c>
      <c r="AA238" s="2" t="str">
        <f t="shared" si="230"/>
        <v/>
      </c>
      <c r="AB238" s="2" t="str">
        <f t="shared" si="231"/>
        <v/>
      </c>
      <c r="AC238" s="2">
        <f>(SUM(G238,I238,K238,M238,O238,Q238,S238,U238,W238,Y238,AA238)+IF(AND(G238&gt;0,I238&gt;0,K238&gt;0),100,0))*VLOOKUP(B238,variables!$A$2:$B$6,2,FALSE)</f>
        <v>80</v>
      </c>
      <c r="AD238" s="16" t="str">
        <f>IF($A238="","",INDEX(v_data!$B$2:$X$1000,MATCH($A238,v_data!$A$3:$A$1000,0)+1,MATCH(LOWER("hours"),v_data!$B$2:$X$2,0)))</f>
        <v/>
      </c>
    </row>
    <row r="239" spans="1:30" hidden="1" x14ac:dyDescent="0.25">
      <c r="A239" s="2" t="str">
        <f>IF(ISBLANK(v_data!A238),"",v_data!A238)</f>
        <v/>
      </c>
      <c r="B239" s="2" t="s">
        <v>22</v>
      </c>
      <c r="C239" s="2">
        <f>VLOOKUP(B239,variables!$A$2:$B$6,2,FALSE)</f>
        <v>0.8</v>
      </c>
      <c r="D239" s="4">
        <v>43826</v>
      </c>
      <c r="E239" s="4">
        <v>43431</v>
      </c>
      <c r="F239" s="2" t="str">
        <f>IF($A239="","",INDEX(v_data!$B$2:$L$1000,MATCH($A239,v_data!$A$3:$A$1000,0)+1,MATCH(LOWER(F$1),v_data!$B$2:$L$2,0)))</f>
        <v/>
      </c>
      <c r="G239" s="2" t="str">
        <f t="shared" si="220"/>
        <v/>
      </c>
      <c r="H239" s="2" t="str">
        <f>IF($A239="","",INDEX(v_data!$B$2:$L$1000,MATCH($A239,v_data!$A$3:$A$1000,0)+1,MATCH(LOWER(H$1),v_data!$B$2:$L$2,0)))</f>
        <v/>
      </c>
      <c r="I239" s="2" t="str">
        <f t="shared" si="221"/>
        <v/>
      </c>
      <c r="J239" s="2" t="str">
        <f>IF($A239="","",INDEX(v_data!$B$2:$L$1000,MATCH($A239,v_data!$A$3:$A$1000,0)+1,MATCH(LOWER(J$1),v_data!$B$2:$L$2,0)))</f>
        <v/>
      </c>
      <c r="K239" s="2" t="str">
        <f t="shared" si="222"/>
        <v/>
      </c>
      <c r="L239" s="2" t="str">
        <f>IF($A239="","",INDEX(v_data!$B$2:$L$1000,MATCH($A239,v_data!$A$3:$A$1000,0)+1,MATCH(LOWER(L$1),v_data!$B$2:$L$2,0)))</f>
        <v/>
      </c>
      <c r="M239" s="2" t="str">
        <f t="shared" si="223"/>
        <v/>
      </c>
      <c r="N239" s="2" t="str">
        <f>IF($A239="","",INDEX(v_data!$B$2:$L$1000,MATCH($A239,v_data!$A$3:$A$1000,0)+1,MATCH(LOWER(N$1),v_data!$B$2:$L$2,0)))</f>
        <v/>
      </c>
      <c r="O239" s="2" t="str">
        <f t="shared" si="224"/>
        <v/>
      </c>
      <c r="P239" s="2" t="str">
        <f>IF($A239="","",INDEX(v_data!$B$2:$L$1000,MATCH($A239,v_data!$A$3:$A$1000,0)+1,MATCH(LOWER(P$1),v_data!$B$2:$L$2,0)))</f>
        <v/>
      </c>
      <c r="Q239" s="2" t="str">
        <f t="shared" si="225"/>
        <v/>
      </c>
      <c r="R239" s="2" t="str">
        <f>IF($A239="","",INDEX(v_data!$B$2:$L$1000,MATCH($A239,v_data!$A$3:$A$1000,0)+1,MATCH(LOWER(R$1),v_data!$B$2:$L$2,0)))</f>
        <v/>
      </c>
      <c r="S239" s="2" t="str">
        <f t="shared" si="226"/>
        <v/>
      </c>
      <c r="T239" s="2" t="str">
        <f>IF($A239="","",INDEX(v_data!$B$2:$L$1000,MATCH($A239,v_data!$A$3:$A$1000,0)+1,MATCH(LOWER(T$1),v_data!$B$2:$L$2,0)))</f>
        <v/>
      </c>
      <c r="U239" s="2" t="str">
        <f t="shared" si="227"/>
        <v/>
      </c>
      <c r="V239" s="2" t="str">
        <f>IF($A239="","",INDEX(v_data!$B$2:$L$1000,MATCH($A239,v_data!$A$3:$A$1000,0)+1,MATCH(LOWER(V$1),v_data!$B$2:$L$2,0)))</f>
        <v/>
      </c>
      <c r="W239" s="2" t="str">
        <f t="shared" si="228"/>
        <v/>
      </c>
      <c r="X239" s="2" t="str">
        <f>IF($A239="","",INDEX(v_data!$B$2:$L$1000,MATCH($A239,v_data!$A$3:$A$1000,0)+1,MATCH(LOWER(X$1),v_data!$B$2:$L$2,0)))</f>
        <v/>
      </c>
      <c r="Y239" s="2" t="str">
        <f t="shared" si="229"/>
        <v/>
      </c>
      <c r="Z239" s="2" t="str">
        <f>IF($A239="","",INDEX(v_data!$B$2:$L$1000,MATCH($A239,v_data!$A$3:$A$1000,0)+1,MATCH(LOWER(Z$1),v_data!$B$2:$L$2,0)))</f>
        <v/>
      </c>
      <c r="AA239" s="2" t="str">
        <f t="shared" si="230"/>
        <v/>
      </c>
      <c r="AB239" s="2" t="str">
        <f t="shared" si="231"/>
        <v/>
      </c>
      <c r="AC239" s="2">
        <f>(SUM(G239,I239,K239,M239,O239,Q239,S239,U239,W239,Y239,AA239)+IF(AND(G239&gt;0,I239&gt;0,K239&gt;0),100,0))*VLOOKUP(B239,variables!$A$2:$B$6,2,FALSE)</f>
        <v>80</v>
      </c>
      <c r="AD239" s="16" t="str">
        <f>IF($A239="","",INDEX(v_data!$B$2:$X$1000,MATCH($A239,v_data!$A$3:$A$1000,0)+1,MATCH(LOWER("hours"),v_data!$B$2:$X$2,0)))</f>
        <v/>
      </c>
    </row>
    <row r="240" spans="1:30" hidden="1" x14ac:dyDescent="0.25">
      <c r="A240" s="2" t="str">
        <f>IF(ISBLANK(v_data!A239),"",v_data!A239)</f>
        <v/>
      </c>
      <c r="B240" s="2" t="s">
        <v>22</v>
      </c>
      <c r="C240" s="2">
        <f>VLOOKUP(B240,variables!$A$2:$B$6,2,FALSE)</f>
        <v>0.8</v>
      </c>
      <c r="D240" s="4">
        <v>43826</v>
      </c>
      <c r="E240" s="4">
        <v>43431</v>
      </c>
      <c r="F240" s="2" t="str">
        <f>IF($A240="","",INDEX(v_data!$B$2:$L$1000,MATCH($A240,v_data!$A$3:$A$1000,0)+1,MATCH(LOWER(F$1),v_data!$B$2:$L$2,0)))</f>
        <v/>
      </c>
      <c r="G240" s="2" t="str">
        <f t="shared" si="220"/>
        <v/>
      </c>
      <c r="H240" s="2" t="str">
        <f>IF($A240="","",INDEX(v_data!$B$2:$L$1000,MATCH($A240,v_data!$A$3:$A$1000,0)+1,MATCH(LOWER(H$1),v_data!$B$2:$L$2,0)))</f>
        <v/>
      </c>
      <c r="I240" s="2" t="str">
        <f t="shared" si="221"/>
        <v/>
      </c>
      <c r="J240" s="2" t="str">
        <f>IF($A240="","",INDEX(v_data!$B$2:$L$1000,MATCH($A240,v_data!$A$3:$A$1000,0)+1,MATCH(LOWER(J$1),v_data!$B$2:$L$2,0)))</f>
        <v/>
      </c>
      <c r="K240" s="2" t="str">
        <f t="shared" si="222"/>
        <v/>
      </c>
      <c r="L240" s="2" t="str">
        <f>IF($A240="","",INDEX(v_data!$B$2:$L$1000,MATCH($A240,v_data!$A$3:$A$1000,0)+1,MATCH(LOWER(L$1),v_data!$B$2:$L$2,0)))</f>
        <v/>
      </c>
      <c r="M240" s="2" t="str">
        <f t="shared" si="223"/>
        <v/>
      </c>
      <c r="N240" s="2" t="str">
        <f>IF($A240="","",INDEX(v_data!$B$2:$L$1000,MATCH($A240,v_data!$A$3:$A$1000,0)+1,MATCH(LOWER(N$1),v_data!$B$2:$L$2,0)))</f>
        <v/>
      </c>
      <c r="O240" s="2" t="str">
        <f t="shared" si="224"/>
        <v/>
      </c>
      <c r="P240" s="2" t="str">
        <f>IF($A240="","",INDEX(v_data!$B$2:$L$1000,MATCH($A240,v_data!$A$3:$A$1000,0)+1,MATCH(LOWER(P$1),v_data!$B$2:$L$2,0)))</f>
        <v/>
      </c>
      <c r="Q240" s="2" t="str">
        <f t="shared" si="225"/>
        <v/>
      </c>
      <c r="R240" s="2" t="str">
        <f>IF($A240="","",INDEX(v_data!$B$2:$L$1000,MATCH($A240,v_data!$A$3:$A$1000,0)+1,MATCH(LOWER(R$1),v_data!$B$2:$L$2,0)))</f>
        <v/>
      </c>
      <c r="S240" s="2" t="str">
        <f t="shared" si="226"/>
        <v/>
      </c>
      <c r="T240" s="2" t="str">
        <f>IF($A240="","",INDEX(v_data!$B$2:$L$1000,MATCH($A240,v_data!$A$3:$A$1000,0)+1,MATCH(LOWER(T$1),v_data!$B$2:$L$2,0)))</f>
        <v/>
      </c>
      <c r="U240" s="2" t="str">
        <f t="shared" si="227"/>
        <v/>
      </c>
      <c r="V240" s="2" t="str">
        <f>IF($A240="","",INDEX(v_data!$B$2:$L$1000,MATCH($A240,v_data!$A$3:$A$1000,0)+1,MATCH(LOWER(V$1),v_data!$B$2:$L$2,0)))</f>
        <v/>
      </c>
      <c r="W240" s="2" t="str">
        <f t="shared" si="228"/>
        <v/>
      </c>
      <c r="X240" s="2" t="str">
        <f>IF($A240="","",INDEX(v_data!$B$2:$L$1000,MATCH($A240,v_data!$A$3:$A$1000,0)+1,MATCH(LOWER(X$1),v_data!$B$2:$L$2,0)))</f>
        <v/>
      </c>
      <c r="Y240" s="2" t="str">
        <f t="shared" si="229"/>
        <v/>
      </c>
      <c r="Z240" s="2" t="str">
        <f>IF($A240="","",INDEX(v_data!$B$2:$L$1000,MATCH($A240,v_data!$A$3:$A$1000,0)+1,MATCH(LOWER(Z$1),v_data!$B$2:$L$2,0)))</f>
        <v/>
      </c>
      <c r="AA240" s="2" t="str">
        <f t="shared" si="230"/>
        <v/>
      </c>
      <c r="AB240" s="2" t="str">
        <f t="shared" si="231"/>
        <v/>
      </c>
      <c r="AC240" s="2">
        <f>(SUM(G240,I240,K240,M240,O240,Q240,S240,U240,W240,Y240,AA240)+IF(AND(G240&gt;0,I240&gt;0,K240&gt;0),100,0))*VLOOKUP(B240,variables!$A$2:$B$6,2,FALSE)</f>
        <v>80</v>
      </c>
      <c r="AD240" s="16" t="str">
        <f>IF($A240="","",INDEX(v_data!$B$2:$X$1000,MATCH($A240,v_data!$A$3:$A$1000,0)+1,MATCH(LOWER("hours"),v_data!$B$2:$X$2,0)))</f>
        <v/>
      </c>
    </row>
    <row r="241" spans="1:30" hidden="1" x14ac:dyDescent="0.25">
      <c r="A241" s="2" t="str">
        <f>IF(ISBLANK(v_data!A240),"",v_data!A240)</f>
        <v/>
      </c>
      <c r="B241" s="2" t="s">
        <v>22</v>
      </c>
      <c r="C241" s="2">
        <f>VLOOKUP(B241,variables!$A$2:$B$6,2,FALSE)</f>
        <v>0.8</v>
      </c>
      <c r="D241" s="4">
        <v>43826</v>
      </c>
      <c r="E241" s="4">
        <v>43431</v>
      </c>
      <c r="F241" s="2" t="str">
        <f>IF($A241="","",INDEX(v_data!$B$2:$L$1000,MATCH($A241,v_data!$A$3:$A$1000,0)+1,MATCH(LOWER(F$1),v_data!$B$2:$L$2,0)))</f>
        <v/>
      </c>
      <c r="G241" s="2" t="str">
        <f t="shared" si="220"/>
        <v/>
      </c>
      <c r="H241" s="2" t="str">
        <f>IF($A241="","",INDEX(v_data!$B$2:$L$1000,MATCH($A241,v_data!$A$3:$A$1000,0)+1,MATCH(LOWER(H$1),v_data!$B$2:$L$2,0)))</f>
        <v/>
      </c>
      <c r="I241" s="2" t="str">
        <f t="shared" si="221"/>
        <v/>
      </c>
      <c r="J241" s="2" t="str">
        <f>IF($A241="","",INDEX(v_data!$B$2:$L$1000,MATCH($A241,v_data!$A$3:$A$1000,0)+1,MATCH(LOWER(J$1),v_data!$B$2:$L$2,0)))</f>
        <v/>
      </c>
      <c r="K241" s="2" t="str">
        <f t="shared" si="222"/>
        <v/>
      </c>
      <c r="L241" s="2" t="str">
        <f>IF($A241="","",INDEX(v_data!$B$2:$L$1000,MATCH($A241,v_data!$A$3:$A$1000,0)+1,MATCH(LOWER(L$1),v_data!$B$2:$L$2,0)))</f>
        <v/>
      </c>
      <c r="M241" s="2" t="str">
        <f t="shared" si="223"/>
        <v/>
      </c>
      <c r="N241" s="2" t="str">
        <f>IF($A241="","",INDEX(v_data!$B$2:$L$1000,MATCH($A241,v_data!$A$3:$A$1000,0)+1,MATCH(LOWER(N$1),v_data!$B$2:$L$2,0)))</f>
        <v/>
      </c>
      <c r="O241" s="2" t="str">
        <f t="shared" si="224"/>
        <v/>
      </c>
      <c r="P241" s="2" t="str">
        <f>IF($A241="","",INDEX(v_data!$B$2:$L$1000,MATCH($A241,v_data!$A$3:$A$1000,0)+1,MATCH(LOWER(P$1),v_data!$B$2:$L$2,0)))</f>
        <v/>
      </c>
      <c r="Q241" s="2" t="str">
        <f t="shared" si="225"/>
        <v/>
      </c>
      <c r="R241" s="2" t="str">
        <f>IF($A241="","",INDEX(v_data!$B$2:$L$1000,MATCH($A241,v_data!$A$3:$A$1000,0)+1,MATCH(LOWER(R$1),v_data!$B$2:$L$2,0)))</f>
        <v/>
      </c>
      <c r="S241" s="2" t="str">
        <f t="shared" si="226"/>
        <v/>
      </c>
      <c r="T241" s="2" t="str">
        <f>IF($A241="","",INDEX(v_data!$B$2:$L$1000,MATCH($A241,v_data!$A$3:$A$1000,0)+1,MATCH(LOWER(T$1),v_data!$B$2:$L$2,0)))</f>
        <v/>
      </c>
      <c r="U241" s="2" t="str">
        <f t="shared" si="227"/>
        <v/>
      </c>
      <c r="V241" s="2" t="str">
        <f>IF($A241="","",INDEX(v_data!$B$2:$L$1000,MATCH($A241,v_data!$A$3:$A$1000,0)+1,MATCH(LOWER(V$1),v_data!$B$2:$L$2,0)))</f>
        <v/>
      </c>
      <c r="W241" s="2" t="str">
        <f t="shared" si="228"/>
        <v/>
      </c>
      <c r="X241" s="2" t="str">
        <f>IF($A241="","",INDEX(v_data!$B$2:$L$1000,MATCH($A241,v_data!$A$3:$A$1000,0)+1,MATCH(LOWER(X$1),v_data!$B$2:$L$2,0)))</f>
        <v/>
      </c>
      <c r="Y241" s="2" t="str">
        <f t="shared" si="229"/>
        <v/>
      </c>
      <c r="Z241" s="2" t="str">
        <f>IF($A241="","",INDEX(v_data!$B$2:$L$1000,MATCH($A241,v_data!$A$3:$A$1000,0)+1,MATCH(LOWER(Z$1),v_data!$B$2:$L$2,0)))</f>
        <v/>
      </c>
      <c r="AA241" s="2" t="str">
        <f t="shared" si="230"/>
        <v/>
      </c>
      <c r="AB241" s="2" t="str">
        <f t="shared" si="231"/>
        <v/>
      </c>
      <c r="AC241" s="2">
        <f>(SUM(G241,I241,K241,M241,O241,Q241,S241,U241,W241,Y241,AA241)+IF(AND(G241&gt;0,I241&gt;0,K241&gt;0),100,0))*VLOOKUP(B241,variables!$A$2:$B$6,2,FALSE)</f>
        <v>80</v>
      </c>
      <c r="AD241" s="16" t="str">
        <f>IF($A241="","",INDEX(v_data!$B$2:$X$1000,MATCH($A241,v_data!$A$3:$A$1000,0)+1,MATCH(LOWER("hours"),v_data!$B$2:$X$2,0)))</f>
        <v/>
      </c>
    </row>
    <row r="242" spans="1:30" hidden="1" x14ac:dyDescent="0.25">
      <c r="A242" s="2" t="str">
        <f>IF(ISBLANK(v_data!A241),"",v_data!A241)</f>
        <v/>
      </c>
      <c r="B242" s="2" t="s">
        <v>22</v>
      </c>
      <c r="C242" s="2">
        <f>VLOOKUP(B242,variables!$A$2:$B$6,2,FALSE)</f>
        <v>0.8</v>
      </c>
      <c r="D242" s="4">
        <v>43826</v>
      </c>
      <c r="E242" s="4">
        <v>43431</v>
      </c>
      <c r="F242" s="2" t="str">
        <f>IF($A242="","",INDEX(v_data!$B$2:$L$1000,MATCH($A242,v_data!$A$3:$A$1000,0)+1,MATCH(LOWER(F$1),v_data!$B$2:$L$2,0)))</f>
        <v/>
      </c>
      <c r="G242" s="2" t="str">
        <f t="shared" si="220"/>
        <v/>
      </c>
      <c r="H242" s="2" t="str">
        <f>IF($A242="","",INDEX(v_data!$B$2:$L$1000,MATCH($A242,v_data!$A$3:$A$1000,0)+1,MATCH(LOWER(H$1),v_data!$B$2:$L$2,0)))</f>
        <v/>
      </c>
      <c r="I242" s="2" t="str">
        <f t="shared" si="221"/>
        <v/>
      </c>
      <c r="J242" s="2" t="str">
        <f>IF($A242="","",INDEX(v_data!$B$2:$L$1000,MATCH($A242,v_data!$A$3:$A$1000,0)+1,MATCH(LOWER(J$1),v_data!$B$2:$L$2,0)))</f>
        <v/>
      </c>
      <c r="K242" s="2" t="str">
        <f t="shared" si="222"/>
        <v/>
      </c>
      <c r="L242" s="2" t="str">
        <f>IF($A242="","",INDEX(v_data!$B$2:$L$1000,MATCH($A242,v_data!$A$3:$A$1000,0)+1,MATCH(LOWER(L$1),v_data!$B$2:$L$2,0)))</f>
        <v/>
      </c>
      <c r="M242" s="2" t="str">
        <f t="shared" si="223"/>
        <v/>
      </c>
      <c r="N242" s="2" t="str">
        <f>IF($A242="","",INDEX(v_data!$B$2:$L$1000,MATCH($A242,v_data!$A$3:$A$1000,0)+1,MATCH(LOWER(N$1),v_data!$B$2:$L$2,0)))</f>
        <v/>
      </c>
      <c r="O242" s="2" t="str">
        <f t="shared" si="224"/>
        <v/>
      </c>
      <c r="P242" s="2" t="str">
        <f>IF($A242="","",INDEX(v_data!$B$2:$L$1000,MATCH($A242,v_data!$A$3:$A$1000,0)+1,MATCH(LOWER(P$1),v_data!$B$2:$L$2,0)))</f>
        <v/>
      </c>
      <c r="Q242" s="2" t="str">
        <f t="shared" si="225"/>
        <v/>
      </c>
      <c r="R242" s="2" t="str">
        <f>IF($A242="","",INDEX(v_data!$B$2:$L$1000,MATCH($A242,v_data!$A$3:$A$1000,0)+1,MATCH(LOWER(R$1),v_data!$B$2:$L$2,0)))</f>
        <v/>
      </c>
      <c r="S242" s="2" t="str">
        <f t="shared" si="226"/>
        <v/>
      </c>
      <c r="T242" s="2" t="str">
        <f>IF($A242="","",INDEX(v_data!$B$2:$L$1000,MATCH($A242,v_data!$A$3:$A$1000,0)+1,MATCH(LOWER(T$1),v_data!$B$2:$L$2,0)))</f>
        <v/>
      </c>
      <c r="U242" s="2" t="str">
        <f t="shared" si="227"/>
        <v/>
      </c>
      <c r="V242" s="2" t="str">
        <f>IF($A242="","",INDEX(v_data!$B$2:$L$1000,MATCH($A242,v_data!$A$3:$A$1000,0)+1,MATCH(LOWER(V$1),v_data!$B$2:$L$2,0)))</f>
        <v/>
      </c>
      <c r="W242" s="2" t="str">
        <f t="shared" si="228"/>
        <v/>
      </c>
      <c r="X242" s="2" t="str">
        <f>IF($A242="","",INDEX(v_data!$B$2:$L$1000,MATCH($A242,v_data!$A$3:$A$1000,0)+1,MATCH(LOWER(X$1),v_data!$B$2:$L$2,0)))</f>
        <v/>
      </c>
      <c r="Y242" s="2" t="str">
        <f t="shared" si="229"/>
        <v/>
      </c>
      <c r="Z242" s="2" t="str">
        <f>IF($A242="","",INDEX(v_data!$B$2:$L$1000,MATCH($A242,v_data!$A$3:$A$1000,0)+1,MATCH(LOWER(Z$1),v_data!$B$2:$L$2,0)))</f>
        <v/>
      </c>
      <c r="AA242" s="2" t="str">
        <f t="shared" si="230"/>
        <v/>
      </c>
      <c r="AB242" s="2" t="str">
        <f t="shared" si="231"/>
        <v/>
      </c>
      <c r="AC242" s="2">
        <f>(SUM(G242,I242,K242,M242,O242,Q242,S242,U242,W242,Y242,AA242)+IF(AND(G242&gt;0,I242&gt;0,K242&gt;0),100,0))*VLOOKUP(B242,variables!$A$2:$B$6,2,FALSE)</f>
        <v>80</v>
      </c>
      <c r="AD242" s="16" t="str">
        <f>IF($A242="","",INDEX(v_data!$B$2:$X$1000,MATCH($A242,v_data!$A$3:$A$1000,0)+1,MATCH(LOWER("hours"),v_data!$B$2:$X$2,0)))</f>
        <v/>
      </c>
    </row>
    <row r="243" spans="1:30" hidden="1" x14ac:dyDescent="0.25">
      <c r="A243" s="2" t="str">
        <f>IF(ISBLANK(v_data!A242),"",v_data!A242)</f>
        <v/>
      </c>
      <c r="B243" s="2" t="s">
        <v>22</v>
      </c>
      <c r="C243" s="2">
        <f>VLOOKUP(B243,variables!$A$2:$B$6,2,FALSE)</f>
        <v>0.8</v>
      </c>
      <c r="D243" s="4">
        <v>43826</v>
      </c>
      <c r="E243" s="4">
        <v>43431</v>
      </c>
      <c r="F243" s="2" t="str">
        <f>IF($A243="","",INDEX(v_data!$B$2:$L$1000,MATCH($A243,v_data!$A$3:$A$1000,0)+1,MATCH(LOWER(F$1),v_data!$B$2:$L$2,0)))</f>
        <v/>
      </c>
      <c r="G243" s="2" t="str">
        <f t="shared" si="220"/>
        <v/>
      </c>
      <c r="H243" s="2" t="str">
        <f>IF($A243="","",INDEX(v_data!$B$2:$L$1000,MATCH($A243,v_data!$A$3:$A$1000,0)+1,MATCH(LOWER(H$1),v_data!$B$2:$L$2,0)))</f>
        <v/>
      </c>
      <c r="I243" s="2" t="str">
        <f t="shared" si="221"/>
        <v/>
      </c>
      <c r="J243" s="2" t="str">
        <f>IF($A243="","",INDEX(v_data!$B$2:$L$1000,MATCH($A243,v_data!$A$3:$A$1000,0)+1,MATCH(LOWER(J$1),v_data!$B$2:$L$2,0)))</f>
        <v/>
      </c>
      <c r="K243" s="2" t="str">
        <f t="shared" si="222"/>
        <v/>
      </c>
      <c r="L243" s="2" t="str">
        <f>IF($A243="","",INDEX(v_data!$B$2:$L$1000,MATCH($A243,v_data!$A$3:$A$1000,0)+1,MATCH(LOWER(L$1),v_data!$B$2:$L$2,0)))</f>
        <v/>
      </c>
      <c r="M243" s="2" t="str">
        <f t="shared" si="223"/>
        <v/>
      </c>
      <c r="N243" s="2" t="str">
        <f>IF($A243="","",INDEX(v_data!$B$2:$L$1000,MATCH($A243,v_data!$A$3:$A$1000,0)+1,MATCH(LOWER(N$1),v_data!$B$2:$L$2,0)))</f>
        <v/>
      </c>
      <c r="O243" s="2" t="str">
        <f t="shared" si="224"/>
        <v/>
      </c>
      <c r="P243" s="2" t="str">
        <f>IF($A243="","",INDEX(v_data!$B$2:$L$1000,MATCH($A243,v_data!$A$3:$A$1000,0)+1,MATCH(LOWER(P$1),v_data!$B$2:$L$2,0)))</f>
        <v/>
      </c>
      <c r="Q243" s="2" t="str">
        <f t="shared" si="225"/>
        <v/>
      </c>
      <c r="R243" s="2" t="str">
        <f>IF($A243="","",INDEX(v_data!$B$2:$L$1000,MATCH($A243,v_data!$A$3:$A$1000,0)+1,MATCH(LOWER(R$1),v_data!$B$2:$L$2,0)))</f>
        <v/>
      </c>
      <c r="S243" s="2" t="str">
        <f t="shared" si="226"/>
        <v/>
      </c>
      <c r="T243" s="2" t="str">
        <f>IF($A243="","",INDEX(v_data!$B$2:$L$1000,MATCH($A243,v_data!$A$3:$A$1000,0)+1,MATCH(LOWER(T$1),v_data!$B$2:$L$2,0)))</f>
        <v/>
      </c>
      <c r="U243" s="2" t="str">
        <f t="shared" si="227"/>
        <v/>
      </c>
      <c r="V243" s="2" t="str">
        <f>IF($A243="","",INDEX(v_data!$B$2:$L$1000,MATCH($A243,v_data!$A$3:$A$1000,0)+1,MATCH(LOWER(V$1),v_data!$B$2:$L$2,0)))</f>
        <v/>
      </c>
      <c r="W243" s="2" t="str">
        <f t="shared" si="228"/>
        <v/>
      </c>
      <c r="X243" s="2" t="str">
        <f>IF($A243="","",INDEX(v_data!$B$2:$L$1000,MATCH($A243,v_data!$A$3:$A$1000,0)+1,MATCH(LOWER(X$1),v_data!$B$2:$L$2,0)))</f>
        <v/>
      </c>
      <c r="Y243" s="2" t="str">
        <f t="shared" si="229"/>
        <v/>
      </c>
      <c r="Z243" s="2" t="str">
        <f>IF($A243="","",INDEX(v_data!$B$2:$L$1000,MATCH($A243,v_data!$A$3:$A$1000,0)+1,MATCH(LOWER(Z$1),v_data!$B$2:$L$2,0)))</f>
        <v/>
      </c>
      <c r="AA243" s="2" t="str">
        <f t="shared" si="230"/>
        <v/>
      </c>
      <c r="AB243" s="2" t="str">
        <f t="shared" si="231"/>
        <v/>
      </c>
      <c r="AC243" s="2">
        <f>(SUM(G243,I243,K243,M243,O243,Q243,S243,U243,W243,Y243,AA243)+IF(AND(G243&gt;0,I243&gt;0,K243&gt;0),100,0))*VLOOKUP(B243,variables!$A$2:$B$6,2,FALSE)</f>
        <v>80</v>
      </c>
      <c r="AD243" s="16" t="str">
        <f>IF($A243="","",INDEX(v_data!$B$2:$X$1000,MATCH($A243,v_data!$A$3:$A$1000,0)+1,MATCH(LOWER("hours"),v_data!$B$2:$X$2,0)))</f>
        <v/>
      </c>
    </row>
    <row r="244" spans="1:30" hidden="1" x14ac:dyDescent="0.25">
      <c r="A244" s="2" t="str">
        <f>IF(ISBLANK(v_data!A243),"",v_data!A243)</f>
        <v/>
      </c>
      <c r="B244" s="2" t="s">
        <v>22</v>
      </c>
      <c r="C244" s="2">
        <f>VLOOKUP(B244,variables!$A$2:$B$6,2,FALSE)</f>
        <v>0.8</v>
      </c>
      <c r="D244" s="4">
        <v>43826</v>
      </c>
      <c r="E244" s="4">
        <v>43431</v>
      </c>
      <c r="F244" s="2" t="str">
        <f>IF($A244="","",INDEX(v_data!$B$2:$L$1000,MATCH($A244,v_data!$A$3:$A$1000,0)+1,MATCH(LOWER(F$1),v_data!$B$2:$L$2,0)))</f>
        <v/>
      </c>
      <c r="G244" s="2" t="str">
        <f t="shared" si="220"/>
        <v/>
      </c>
      <c r="H244" s="2" t="str">
        <f>IF($A244="","",INDEX(v_data!$B$2:$L$1000,MATCH($A244,v_data!$A$3:$A$1000,0)+1,MATCH(LOWER(H$1),v_data!$B$2:$L$2,0)))</f>
        <v/>
      </c>
      <c r="I244" s="2" t="str">
        <f t="shared" si="221"/>
        <v/>
      </c>
      <c r="J244" s="2" t="str">
        <f>IF($A244="","",INDEX(v_data!$B$2:$L$1000,MATCH($A244,v_data!$A$3:$A$1000,0)+1,MATCH(LOWER(J$1),v_data!$B$2:$L$2,0)))</f>
        <v/>
      </c>
      <c r="K244" s="2" t="str">
        <f t="shared" si="222"/>
        <v/>
      </c>
      <c r="L244" s="2" t="str">
        <f>IF($A244="","",INDEX(v_data!$B$2:$L$1000,MATCH($A244,v_data!$A$3:$A$1000,0)+1,MATCH(LOWER(L$1),v_data!$B$2:$L$2,0)))</f>
        <v/>
      </c>
      <c r="M244" s="2" t="str">
        <f t="shared" si="223"/>
        <v/>
      </c>
      <c r="N244" s="2" t="str">
        <f>IF($A244="","",INDEX(v_data!$B$2:$L$1000,MATCH($A244,v_data!$A$3:$A$1000,0)+1,MATCH(LOWER(N$1),v_data!$B$2:$L$2,0)))</f>
        <v/>
      </c>
      <c r="O244" s="2" t="str">
        <f t="shared" si="224"/>
        <v/>
      </c>
      <c r="P244" s="2" t="str">
        <f>IF($A244="","",INDEX(v_data!$B$2:$L$1000,MATCH($A244,v_data!$A$3:$A$1000,0)+1,MATCH(LOWER(P$1),v_data!$B$2:$L$2,0)))</f>
        <v/>
      </c>
      <c r="Q244" s="2" t="str">
        <f t="shared" si="225"/>
        <v/>
      </c>
      <c r="R244" s="2" t="str">
        <f>IF($A244="","",INDEX(v_data!$B$2:$L$1000,MATCH($A244,v_data!$A$3:$A$1000,0)+1,MATCH(LOWER(R$1),v_data!$B$2:$L$2,0)))</f>
        <v/>
      </c>
      <c r="S244" s="2" t="str">
        <f t="shared" si="226"/>
        <v/>
      </c>
      <c r="T244" s="2" t="str">
        <f>IF($A244="","",INDEX(v_data!$B$2:$L$1000,MATCH($A244,v_data!$A$3:$A$1000,0)+1,MATCH(LOWER(T$1),v_data!$B$2:$L$2,0)))</f>
        <v/>
      </c>
      <c r="U244" s="2" t="str">
        <f t="shared" si="227"/>
        <v/>
      </c>
      <c r="V244" s="2" t="str">
        <f>IF($A244="","",INDEX(v_data!$B$2:$L$1000,MATCH($A244,v_data!$A$3:$A$1000,0)+1,MATCH(LOWER(V$1),v_data!$B$2:$L$2,0)))</f>
        <v/>
      </c>
      <c r="W244" s="2" t="str">
        <f t="shared" si="228"/>
        <v/>
      </c>
      <c r="X244" s="2" t="str">
        <f>IF($A244="","",INDEX(v_data!$B$2:$L$1000,MATCH($A244,v_data!$A$3:$A$1000,0)+1,MATCH(LOWER(X$1),v_data!$B$2:$L$2,0)))</f>
        <v/>
      </c>
      <c r="Y244" s="2" t="str">
        <f t="shared" si="229"/>
        <v/>
      </c>
      <c r="Z244" s="2" t="str">
        <f>IF($A244="","",INDEX(v_data!$B$2:$L$1000,MATCH($A244,v_data!$A$3:$A$1000,0)+1,MATCH(LOWER(Z$1),v_data!$B$2:$L$2,0)))</f>
        <v/>
      </c>
      <c r="AA244" s="2" t="str">
        <f t="shared" si="230"/>
        <v/>
      </c>
      <c r="AB244" s="2" t="str">
        <f t="shared" si="231"/>
        <v/>
      </c>
      <c r="AC244" s="2">
        <f>(SUM(G244,I244,K244,M244,O244,Q244,S244,U244,W244,Y244,AA244)+IF(AND(G244&gt;0,I244&gt;0,K244&gt;0),100,0))*VLOOKUP(B244,variables!$A$2:$B$6,2,FALSE)</f>
        <v>80</v>
      </c>
      <c r="AD244" s="16" t="str">
        <f>IF($A244="","",INDEX(v_data!$B$2:$X$1000,MATCH($A244,v_data!$A$3:$A$1000,0)+1,MATCH(LOWER("hours"),v_data!$B$2:$X$2,0)))</f>
        <v/>
      </c>
    </row>
    <row r="245" spans="1:30" hidden="1" x14ac:dyDescent="0.25">
      <c r="A245" s="2" t="str">
        <f>IF(ISBLANK(v_data!A244),"",v_data!A244)</f>
        <v/>
      </c>
      <c r="B245" s="2" t="s">
        <v>22</v>
      </c>
      <c r="C245" s="2">
        <f>VLOOKUP(B245,variables!$A$2:$B$6,2,FALSE)</f>
        <v>0.8</v>
      </c>
      <c r="D245" s="4">
        <v>43826</v>
      </c>
      <c r="E245" s="4">
        <v>43431</v>
      </c>
      <c r="F245" s="2" t="str">
        <f>IF($A245="","",INDEX(v_data!$B$2:$L$1000,MATCH($A245,v_data!$A$3:$A$1000,0)+1,MATCH(LOWER(F$1),v_data!$B$2:$L$2,0)))</f>
        <v/>
      </c>
      <c r="G245" s="2" t="str">
        <f t="shared" si="220"/>
        <v/>
      </c>
      <c r="H245" s="2" t="str">
        <f>IF($A245="","",INDEX(v_data!$B$2:$L$1000,MATCH($A245,v_data!$A$3:$A$1000,0)+1,MATCH(LOWER(H$1),v_data!$B$2:$L$2,0)))</f>
        <v/>
      </c>
      <c r="I245" s="2" t="str">
        <f t="shared" si="221"/>
        <v/>
      </c>
      <c r="J245" s="2" t="str">
        <f>IF($A245="","",INDEX(v_data!$B$2:$L$1000,MATCH($A245,v_data!$A$3:$A$1000,0)+1,MATCH(LOWER(J$1),v_data!$B$2:$L$2,0)))</f>
        <v/>
      </c>
      <c r="K245" s="2" t="str">
        <f t="shared" si="222"/>
        <v/>
      </c>
      <c r="L245" s="2" t="str">
        <f>IF($A245="","",INDEX(v_data!$B$2:$L$1000,MATCH($A245,v_data!$A$3:$A$1000,0)+1,MATCH(LOWER(L$1),v_data!$B$2:$L$2,0)))</f>
        <v/>
      </c>
      <c r="M245" s="2" t="str">
        <f t="shared" si="223"/>
        <v/>
      </c>
      <c r="N245" s="2" t="str">
        <f>IF($A245="","",INDEX(v_data!$B$2:$L$1000,MATCH($A245,v_data!$A$3:$A$1000,0)+1,MATCH(LOWER(N$1),v_data!$B$2:$L$2,0)))</f>
        <v/>
      </c>
      <c r="O245" s="2" t="str">
        <f t="shared" si="224"/>
        <v/>
      </c>
      <c r="P245" s="2" t="str">
        <f>IF($A245="","",INDEX(v_data!$B$2:$L$1000,MATCH($A245,v_data!$A$3:$A$1000,0)+1,MATCH(LOWER(P$1),v_data!$B$2:$L$2,0)))</f>
        <v/>
      </c>
      <c r="Q245" s="2" t="str">
        <f t="shared" si="225"/>
        <v/>
      </c>
      <c r="R245" s="2" t="str">
        <f>IF($A245="","",INDEX(v_data!$B$2:$L$1000,MATCH($A245,v_data!$A$3:$A$1000,0)+1,MATCH(LOWER(R$1),v_data!$B$2:$L$2,0)))</f>
        <v/>
      </c>
      <c r="S245" s="2" t="str">
        <f t="shared" si="226"/>
        <v/>
      </c>
      <c r="T245" s="2" t="str">
        <f>IF($A245="","",INDEX(v_data!$B$2:$L$1000,MATCH($A245,v_data!$A$3:$A$1000,0)+1,MATCH(LOWER(T$1),v_data!$B$2:$L$2,0)))</f>
        <v/>
      </c>
      <c r="U245" s="2" t="str">
        <f t="shared" si="227"/>
        <v/>
      </c>
      <c r="V245" s="2" t="str">
        <f>IF($A245="","",INDEX(v_data!$B$2:$L$1000,MATCH($A245,v_data!$A$3:$A$1000,0)+1,MATCH(LOWER(V$1),v_data!$B$2:$L$2,0)))</f>
        <v/>
      </c>
      <c r="W245" s="2" t="str">
        <f t="shared" si="228"/>
        <v/>
      </c>
      <c r="X245" s="2" t="str">
        <f>IF($A245="","",INDEX(v_data!$B$2:$L$1000,MATCH($A245,v_data!$A$3:$A$1000,0)+1,MATCH(LOWER(X$1),v_data!$B$2:$L$2,0)))</f>
        <v/>
      </c>
      <c r="Y245" s="2" t="str">
        <f t="shared" si="229"/>
        <v/>
      </c>
      <c r="Z245" s="2" t="str">
        <f>IF($A245="","",INDEX(v_data!$B$2:$L$1000,MATCH($A245,v_data!$A$3:$A$1000,0)+1,MATCH(LOWER(Z$1),v_data!$B$2:$L$2,0)))</f>
        <v/>
      </c>
      <c r="AA245" s="2" t="str">
        <f t="shared" si="230"/>
        <v/>
      </c>
      <c r="AB245" s="2" t="str">
        <f t="shared" si="231"/>
        <v/>
      </c>
      <c r="AC245" s="2">
        <f>(SUM(G245,I245,K245,M245,O245,Q245,S245,U245,W245,Y245,AA245)+IF(AND(G245&gt;0,I245&gt;0,K245&gt;0),100,0))*VLOOKUP(B245,variables!$A$2:$B$6,2,FALSE)</f>
        <v>80</v>
      </c>
      <c r="AD245" s="16" t="str">
        <f>IF($A245="","",INDEX(v_data!$B$2:$X$1000,MATCH($A245,v_data!$A$3:$A$1000,0)+1,MATCH(LOWER("hours"),v_data!$B$2:$X$2,0)))</f>
        <v/>
      </c>
    </row>
    <row r="246" spans="1:30" hidden="1" x14ac:dyDescent="0.25">
      <c r="A246" s="2" t="str">
        <f>IF(ISBLANK(v_data!A245),"",v_data!A245)</f>
        <v/>
      </c>
      <c r="B246" s="2" t="s">
        <v>22</v>
      </c>
      <c r="C246" s="2">
        <f>VLOOKUP(B246,variables!$A$2:$B$6,2,FALSE)</f>
        <v>0.8</v>
      </c>
      <c r="D246" s="4">
        <v>43826</v>
      </c>
      <c r="E246" s="4">
        <v>43431</v>
      </c>
      <c r="F246" s="2" t="str">
        <f>IF($A246="","",INDEX(v_data!$B$2:$L$1000,MATCH($A246,v_data!$A$3:$A$1000,0)+1,MATCH(LOWER(F$1),v_data!$B$2:$L$2,0)))</f>
        <v/>
      </c>
      <c r="G246" s="2" t="str">
        <f t="shared" si="220"/>
        <v/>
      </c>
      <c r="H246" s="2" t="str">
        <f>IF($A246="","",INDEX(v_data!$B$2:$L$1000,MATCH($A246,v_data!$A$3:$A$1000,0)+1,MATCH(LOWER(H$1),v_data!$B$2:$L$2,0)))</f>
        <v/>
      </c>
      <c r="I246" s="2" t="str">
        <f t="shared" si="221"/>
        <v/>
      </c>
      <c r="J246" s="2" t="str">
        <f>IF($A246="","",INDEX(v_data!$B$2:$L$1000,MATCH($A246,v_data!$A$3:$A$1000,0)+1,MATCH(LOWER(J$1),v_data!$B$2:$L$2,0)))</f>
        <v/>
      </c>
      <c r="K246" s="2" t="str">
        <f t="shared" si="222"/>
        <v/>
      </c>
      <c r="L246" s="2" t="str">
        <f>IF($A246="","",INDEX(v_data!$B$2:$L$1000,MATCH($A246,v_data!$A$3:$A$1000,0)+1,MATCH(LOWER(L$1),v_data!$B$2:$L$2,0)))</f>
        <v/>
      </c>
      <c r="M246" s="2" t="str">
        <f t="shared" si="223"/>
        <v/>
      </c>
      <c r="N246" s="2" t="str">
        <f>IF($A246="","",INDEX(v_data!$B$2:$L$1000,MATCH($A246,v_data!$A$3:$A$1000,0)+1,MATCH(LOWER(N$1),v_data!$B$2:$L$2,0)))</f>
        <v/>
      </c>
      <c r="O246" s="2" t="str">
        <f t="shared" si="224"/>
        <v/>
      </c>
      <c r="P246" s="2" t="str">
        <f>IF($A246="","",INDEX(v_data!$B$2:$L$1000,MATCH($A246,v_data!$A$3:$A$1000,0)+1,MATCH(LOWER(P$1),v_data!$B$2:$L$2,0)))</f>
        <v/>
      </c>
      <c r="Q246" s="2" t="str">
        <f t="shared" si="225"/>
        <v/>
      </c>
      <c r="R246" s="2" t="str">
        <f>IF($A246="","",INDEX(v_data!$B$2:$L$1000,MATCH($A246,v_data!$A$3:$A$1000,0)+1,MATCH(LOWER(R$1),v_data!$B$2:$L$2,0)))</f>
        <v/>
      </c>
      <c r="S246" s="2" t="str">
        <f t="shared" si="226"/>
        <v/>
      </c>
      <c r="T246" s="2" t="str">
        <f>IF($A246="","",INDEX(v_data!$B$2:$L$1000,MATCH($A246,v_data!$A$3:$A$1000,0)+1,MATCH(LOWER(T$1),v_data!$B$2:$L$2,0)))</f>
        <v/>
      </c>
      <c r="U246" s="2" t="str">
        <f t="shared" si="227"/>
        <v/>
      </c>
      <c r="V246" s="2" t="str">
        <f>IF($A246="","",INDEX(v_data!$B$2:$L$1000,MATCH($A246,v_data!$A$3:$A$1000,0)+1,MATCH(LOWER(V$1),v_data!$B$2:$L$2,0)))</f>
        <v/>
      </c>
      <c r="W246" s="2" t="str">
        <f t="shared" si="228"/>
        <v/>
      </c>
      <c r="X246" s="2" t="str">
        <f>IF($A246="","",INDEX(v_data!$B$2:$L$1000,MATCH($A246,v_data!$A$3:$A$1000,0)+1,MATCH(LOWER(X$1),v_data!$B$2:$L$2,0)))</f>
        <v/>
      </c>
      <c r="Y246" s="2" t="str">
        <f t="shared" si="229"/>
        <v/>
      </c>
      <c r="Z246" s="2" t="str">
        <f>IF($A246="","",INDEX(v_data!$B$2:$L$1000,MATCH($A246,v_data!$A$3:$A$1000,0)+1,MATCH(LOWER(Z$1),v_data!$B$2:$L$2,0)))</f>
        <v/>
      </c>
      <c r="AA246" s="2" t="str">
        <f t="shared" si="230"/>
        <v/>
      </c>
      <c r="AB246" s="2" t="str">
        <f t="shared" si="231"/>
        <v/>
      </c>
      <c r="AC246" s="2">
        <f>(SUM(G246,I246,K246,M246,O246,Q246,S246,U246,W246,Y246,AA246)+IF(AND(G246&gt;0,I246&gt;0,K246&gt;0),100,0))*VLOOKUP(B246,variables!$A$2:$B$6,2,FALSE)</f>
        <v>80</v>
      </c>
      <c r="AD246" s="16" t="str">
        <f>IF($A246="","",INDEX(v_data!$B$2:$X$1000,MATCH($A246,v_data!$A$3:$A$1000,0)+1,MATCH(LOWER("hours"),v_data!$B$2:$X$2,0)))</f>
        <v/>
      </c>
    </row>
    <row r="247" spans="1:30" hidden="1" x14ac:dyDescent="0.25">
      <c r="A247" s="2" t="str">
        <f>IF(ISBLANK(v_data!A246),"",v_data!A246)</f>
        <v/>
      </c>
      <c r="B247" s="2" t="s">
        <v>22</v>
      </c>
      <c r="C247" s="2">
        <f>VLOOKUP(B247,variables!$A$2:$B$6,2,FALSE)</f>
        <v>0.8</v>
      </c>
      <c r="D247" s="4">
        <v>43826</v>
      </c>
      <c r="E247" s="4">
        <v>43431</v>
      </c>
      <c r="F247" s="2" t="str">
        <f>IF($A247="","",INDEX(v_data!$B$2:$L$1000,MATCH($A247,v_data!$A$3:$A$1000,0)+1,MATCH(LOWER(F$1),v_data!$B$2:$L$2,0)))</f>
        <v/>
      </c>
      <c r="G247" s="2" t="str">
        <f t="shared" si="220"/>
        <v/>
      </c>
      <c r="H247" s="2" t="str">
        <f>IF($A247="","",INDEX(v_data!$B$2:$L$1000,MATCH($A247,v_data!$A$3:$A$1000,0)+1,MATCH(LOWER(H$1),v_data!$B$2:$L$2,0)))</f>
        <v/>
      </c>
      <c r="I247" s="2" t="str">
        <f t="shared" si="221"/>
        <v/>
      </c>
      <c r="J247" s="2" t="str">
        <f>IF($A247="","",INDEX(v_data!$B$2:$L$1000,MATCH($A247,v_data!$A$3:$A$1000,0)+1,MATCH(LOWER(J$1),v_data!$B$2:$L$2,0)))</f>
        <v/>
      </c>
      <c r="K247" s="2" t="str">
        <f t="shared" si="222"/>
        <v/>
      </c>
      <c r="L247" s="2" t="str">
        <f>IF($A247="","",INDEX(v_data!$B$2:$L$1000,MATCH($A247,v_data!$A$3:$A$1000,0)+1,MATCH(LOWER(L$1),v_data!$B$2:$L$2,0)))</f>
        <v/>
      </c>
      <c r="M247" s="2" t="str">
        <f t="shared" si="223"/>
        <v/>
      </c>
      <c r="N247" s="2" t="str">
        <f>IF($A247="","",INDEX(v_data!$B$2:$L$1000,MATCH($A247,v_data!$A$3:$A$1000,0)+1,MATCH(LOWER(N$1),v_data!$B$2:$L$2,0)))</f>
        <v/>
      </c>
      <c r="O247" s="2" t="str">
        <f t="shared" si="224"/>
        <v/>
      </c>
      <c r="P247" s="2" t="str">
        <f>IF($A247="","",INDEX(v_data!$B$2:$L$1000,MATCH($A247,v_data!$A$3:$A$1000,0)+1,MATCH(LOWER(P$1),v_data!$B$2:$L$2,0)))</f>
        <v/>
      </c>
      <c r="Q247" s="2" t="str">
        <f t="shared" si="225"/>
        <v/>
      </c>
      <c r="R247" s="2" t="str">
        <f>IF($A247="","",INDEX(v_data!$B$2:$L$1000,MATCH($A247,v_data!$A$3:$A$1000,0)+1,MATCH(LOWER(R$1),v_data!$B$2:$L$2,0)))</f>
        <v/>
      </c>
      <c r="S247" s="2" t="str">
        <f t="shared" si="226"/>
        <v/>
      </c>
      <c r="T247" s="2" t="str">
        <f>IF($A247="","",INDEX(v_data!$B$2:$L$1000,MATCH($A247,v_data!$A$3:$A$1000,0)+1,MATCH(LOWER(T$1),v_data!$B$2:$L$2,0)))</f>
        <v/>
      </c>
      <c r="U247" s="2" t="str">
        <f t="shared" si="227"/>
        <v/>
      </c>
      <c r="V247" s="2" t="str">
        <f>IF($A247="","",INDEX(v_data!$B$2:$L$1000,MATCH($A247,v_data!$A$3:$A$1000,0)+1,MATCH(LOWER(V$1),v_data!$B$2:$L$2,0)))</f>
        <v/>
      </c>
      <c r="W247" s="2" t="str">
        <f t="shared" si="228"/>
        <v/>
      </c>
      <c r="X247" s="2" t="str">
        <f>IF($A247="","",INDEX(v_data!$B$2:$L$1000,MATCH($A247,v_data!$A$3:$A$1000,0)+1,MATCH(LOWER(X$1),v_data!$B$2:$L$2,0)))</f>
        <v/>
      </c>
      <c r="Y247" s="2" t="str">
        <f t="shared" si="229"/>
        <v/>
      </c>
      <c r="Z247" s="2" t="str">
        <f>IF($A247="","",INDEX(v_data!$B$2:$L$1000,MATCH($A247,v_data!$A$3:$A$1000,0)+1,MATCH(LOWER(Z$1),v_data!$B$2:$L$2,0)))</f>
        <v/>
      </c>
      <c r="AA247" s="2" t="str">
        <f t="shared" si="230"/>
        <v/>
      </c>
      <c r="AB247" s="2" t="str">
        <f t="shared" si="231"/>
        <v/>
      </c>
      <c r="AC247" s="2">
        <f>(SUM(G247,I247,K247,M247,O247,Q247,S247,U247,W247,Y247,AA247)+IF(AND(G247&gt;0,I247&gt;0,K247&gt;0),100,0))*VLOOKUP(B247,variables!$A$2:$B$6,2,FALSE)</f>
        <v>80</v>
      </c>
      <c r="AD247" s="16" t="str">
        <f>IF($A247="","",INDEX(v_data!$B$2:$X$1000,MATCH($A247,v_data!$A$3:$A$1000,0)+1,MATCH(LOWER("hours"),v_data!$B$2:$X$2,0)))</f>
        <v/>
      </c>
    </row>
    <row r="248" spans="1:30" hidden="1" x14ac:dyDescent="0.25">
      <c r="A248" s="2" t="str">
        <f>IF(ISBLANK(v_data!A247),"",v_data!A247)</f>
        <v/>
      </c>
      <c r="B248" s="2" t="s">
        <v>22</v>
      </c>
      <c r="C248" s="2">
        <f>VLOOKUP(B248,variables!$A$2:$B$6,2,FALSE)</f>
        <v>0.8</v>
      </c>
      <c r="D248" s="4">
        <v>43826</v>
      </c>
      <c r="E248" s="4">
        <v>43431</v>
      </c>
      <c r="F248" s="2" t="str">
        <f>IF($A248="","",INDEX(v_data!$B$2:$L$1000,MATCH($A248,v_data!$A$3:$A$1000,0)+1,MATCH(LOWER(F$1),v_data!$B$2:$L$2,0)))</f>
        <v/>
      </c>
      <c r="G248" s="2" t="str">
        <f t="shared" si="220"/>
        <v/>
      </c>
      <c r="H248" s="2" t="str">
        <f>IF($A248="","",INDEX(v_data!$B$2:$L$1000,MATCH($A248,v_data!$A$3:$A$1000,0)+1,MATCH(LOWER(H$1),v_data!$B$2:$L$2,0)))</f>
        <v/>
      </c>
      <c r="I248" s="2" t="str">
        <f t="shared" si="221"/>
        <v/>
      </c>
      <c r="J248" s="2" t="str">
        <f>IF($A248="","",INDEX(v_data!$B$2:$L$1000,MATCH($A248,v_data!$A$3:$A$1000,0)+1,MATCH(LOWER(J$1),v_data!$B$2:$L$2,0)))</f>
        <v/>
      </c>
      <c r="K248" s="2" t="str">
        <f t="shared" si="222"/>
        <v/>
      </c>
      <c r="L248" s="2" t="str">
        <f>IF($A248="","",INDEX(v_data!$B$2:$L$1000,MATCH($A248,v_data!$A$3:$A$1000,0)+1,MATCH(LOWER(L$1),v_data!$B$2:$L$2,0)))</f>
        <v/>
      </c>
      <c r="M248" s="2" t="str">
        <f t="shared" si="223"/>
        <v/>
      </c>
      <c r="N248" s="2" t="str">
        <f>IF($A248="","",INDEX(v_data!$B$2:$L$1000,MATCH($A248,v_data!$A$3:$A$1000,0)+1,MATCH(LOWER(N$1),v_data!$B$2:$L$2,0)))</f>
        <v/>
      </c>
      <c r="O248" s="2" t="str">
        <f t="shared" si="224"/>
        <v/>
      </c>
      <c r="P248" s="2" t="str">
        <f>IF($A248="","",INDEX(v_data!$B$2:$L$1000,MATCH($A248,v_data!$A$3:$A$1000,0)+1,MATCH(LOWER(P$1),v_data!$B$2:$L$2,0)))</f>
        <v/>
      </c>
      <c r="Q248" s="2" t="str">
        <f t="shared" si="225"/>
        <v/>
      </c>
      <c r="R248" s="2" t="str">
        <f>IF($A248="","",INDEX(v_data!$B$2:$L$1000,MATCH($A248,v_data!$A$3:$A$1000,0)+1,MATCH(LOWER(R$1),v_data!$B$2:$L$2,0)))</f>
        <v/>
      </c>
      <c r="S248" s="2" t="str">
        <f t="shared" si="226"/>
        <v/>
      </c>
      <c r="T248" s="2" t="str">
        <f>IF($A248="","",INDEX(v_data!$B$2:$L$1000,MATCH($A248,v_data!$A$3:$A$1000,0)+1,MATCH(LOWER(T$1),v_data!$B$2:$L$2,0)))</f>
        <v/>
      </c>
      <c r="U248" s="2" t="str">
        <f t="shared" si="227"/>
        <v/>
      </c>
      <c r="V248" s="2" t="str">
        <f>IF($A248="","",INDEX(v_data!$B$2:$L$1000,MATCH($A248,v_data!$A$3:$A$1000,0)+1,MATCH(LOWER(V$1),v_data!$B$2:$L$2,0)))</f>
        <v/>
      </c>
      <c r="W248" s="2" t="str">
        <f t="shared" si="228"/>
        <v/>
      </c>
      <c r="X248" s="2" t="str">
        <f>IF($A248="","",INDEX(v_data!$B$2:$L$1000,MATCH($A248,v_data!$A$3:$A$1000,0)+1,MATCH(LOWER(X$1),v_data!$B$2:$L$2,0)))</f>
        <v/>
      </c>
      <c r="Y248" s="2" t="str">
        <f t="shared" si="229"/>
        <v/>
      </c>
      <c r="Z248" s="2" t="str">
        <f>IF($A248="","",INDEX(v_data!$B$2:$L$1000,MATCH($A248,v_data!$A$3:$A$1000,0)+1,MATCH(LOWER(Z$1),v_data!$B$2:$L$2,0)))</f>
        <v/>
      </c>
      <c r="AA248" s="2" t="str">
        <f t="shared" si="230"/>
        <v/>
      </c>
      <c r="AB248" s="2" t="str">
        <f t="shared" si="231"/>
        <v/>
      </c>
      <c r="AC248" s="2">
        <f>(SUM(G248,I248,K248,M248,O248,Q248,S248,U248,W248,Y248,AA248)+IF(AND(G248&gt;0,I248&gt;0,K248&gt;0),100,0))*VLOOKUP(B248,variables!$A$2:$B$6,2,FALSE)</f>
        <v>80</v>
      </c>
      <c r="AD248" s="16" t="str">
        <f>IF($A248="","",INDEX(v_data!$B$2:$X$1000,MATCH($A248,v_data!$A$3:$A$1000,0)+1,MATCH(LOWER("hours"),v_data!$B$2:$X$2,0)))</f>
        <v/>
      </c>
    </row>
    <row r="249" spans="1:30" hidden="1" x14ac:dyDescent="0.25">
      <c r="A249" s="2" t="str">
        <f>IF(ISBLANK(v_data!A248),"",v_data!A248)</f>
        <v/>
      </c>
      <c r="B249" s="2" t="s">
        <v>22</v>
      </c>
      <c r="C249" s="2">
        <f>VLOOKUP(B249,variables!$A$2:$B$6,2,FALSE)</f>
        <v>0.8</v>
      </c>
      <c r="D249" s="4">
        <v>43826</v>
      </c>
      <c r="E249" s="4">
        <v>43431</v>
      </c>
      <c r="F249" s="2" t="str">
        <f>IF($A249="","",INDEX(v_data!$B$2:$L$1000,MATCH($A249,v_data!$A$3:$A$1000,0)+1,MATCH(LOWER(F$1),v_data!$B$2:$L$2,0)))</f>
        <v/>
      </c>
      <c r="G249" s="2" t="str">
        <f t="shared" si="220"/>
        <v/>
      </c>
      <c r="H249" s="2" t="str">
        <f>IF($A249="","",INDEX(v_data!$B$2:$L$1000,MATCH($A249,v_data!$A$3:$A$1000,0)+1,MATCH(LOWER(H$1),v_data!$B$2:$L$2,0)))</f>
        <v/>
      </c>
      <c r="I249" s="2" t="str">
        <f t="shared" si="221"/>
        <v/>
      </c>
      <c r="J249" s="2" t="str">
        <f>IF($A249="","",INDEX(v_data!$B$2:$L$1000,MATCH($A249,v_data!$A$3:$A$1000,0)+1,MATCH(LOWER(J$1),v_data!$B$2:$L$2,0)))</f>
        <v/>
      </c>
      <c r="K249" s="2" t="str">
        <f t="shared" si="222"/>
        <v/>
      </c>
      <c r="L249" s="2" t="str">
        <f>IF($A249="","",INDEX(v_data!$B$2:$L$1000,MATCH($A249,v_data!$A$3:$A$1000,0)+1,MATCH(LOWER(L$1),v_data!$B$2:$L$2,0)))</f>
        <v/>
      </c>
      <c r="M249" s="2" t="str">
        <f t="shared" si="223"/>
        <v/>
      </c>
      <c r="N249" s="2" t="str">
        <f>IF($A249="","",INDEX(v_data!$B$2:$L$1000,MATCH($A249,v_data!$A$3:$A$1000,0)+1,MATCH(LOWER(N$1),v_data!$B$2:$L$2,0)))</f>
        <v/>
      </c>
      <c r="O249" s="2" t="str">
        <f t="shared" si="224"/>
        <v/>
      </c>
      <c r="P249" s="2" t="str">
        <f>IF($A249="","",INDEX(v_data!$B$2:$L$1000,MATCH($A249,v_data!$A$3:$A$1000,0)+1,MATCH(LOWER(P$1),v_data!$B$2:$L$2,0)))</f>
        <v/>
      </c>
      <c r="Q249" s="2" t="str">
        <f t="shared" si="225"/>
        <v/>
      </c>
      <c r="R249" s="2" t="str">
        <f>IF($A249="","",INDEX(v_data!$B$2:$L$1000,MATCH($A249,v_data!$A$3:$A$1000,0)+1,MATCH(LOWER(R$1),v_data!$B$2:$L$2,0)))</f>
        <v/>
      </c>
      <c r="S249" s="2" t="str">
        <f t="shared" si="226"/>
        <v/>
      </c>
      <c r="T249" s="2" t="str">
        <f>IF($A249="","",INDEX(v_data!$B$2:$L$1000,MATCH($A249,v_data!$A$3:$A$1000,0)+1,MATCH(LOWER(T$1),v_data!$B$2:$L$2,0)))</f>
        <v/>
      </c>
      <c r="U249" s="2" t="str">
        <f t="shared" si="227"/>
        <v/>
      </c>
      <c r="V249" s="2" t="str">
        <f>IF($A249="","",INDEX(v_data!$B$2:$L$1000,MATCH($A249,v_data!$A$3:$A$1000,0)+1,MATCH(LOWER(V$1),v_data!$B$2:$L$2,0)))</f>
        <v/>
      </c>
      <c r="W249" s="2" t="str">
        <f t="shared" si="228"/>
        <v/>
      </c>
      <c r="X249" s="2" t="str">
        <f>IF($A249="","",INDEX(v_data!$B$2:$L$1000,MATCH($A249,v_data!$A$3:$A$1000,0)+1,MATCH(LOWER(X$1),v_data!$B$2:$L$2,0)))</f>
        <v/>
      </c>
      <c r="Y249" s="2" t="str">
        <f t="shared" si="229"/>
        <v/>
      </c>
      <c r="Z249" s="2" t="str">
        <f>IF($A249="","",INDEX(v_data!$B$2:$L$1000,MATCH($A249,v_data!$A$3:$A$1000,0)+1,MATCH(LOWER(Z$1),v_data!$B$2:$L$2,0)))</f>
        <v/>
      </c>
      <c r="AA249" s="2" t="str">
        <f t="shared" si="230"/>
        <v/>
      </c>
      <c r="AB249" s="2" t="str">
        <f t="shared" si="231"/>
        <v/>
      </c>
      <c r="AC249" s="2">
        <f>(SUM(G249,I249,K249,M249,O249,Q249,S249,U249,W249,Y249,AA249)+IF(AND(G249&gt;0,I249&gt;0,K249&gt;0),100,0))*VLOOKUP(B249,variables!$A$2:$B$6,2,FALSE)</f>
        <v>80</v>
      </c>
      <c r="AD249" s="16" t="str">
        <f>IF($A249="","",INDEX(v_data!$B$2:$X$1000,MATCH($A249,v_data!$A$3:$A$1000,0)+1,MATCH(LOWER("hours"),v_data!$B$2:$X$2,0)))</f>
        <v/>
      </c>
    </row>
    <row r="250" spans="1:30" hidden="1" x14ac:dyDescent="0.25">
      <c r="A250" s="2" t="str">
        <f>IF(ISBLANK(v_data!A249),"",v_data!A249)</f>
        <v/>
      </c>
      <c r="B250" s="2" t="s">
        <v>22</v>
      </c>
      <c r="C250" s="2">
        <f>VLOOKUP(B250,variables!$A$2:$B$6,2,FALSE)</f>
        <v>0.8</v>
      </c>
      <c r="D250" s="4">
        <v>43826</v>
      </c>
      <c r="E250" s="4">
        <v>43431</v>
      </c>
      <c r="F250" s="2" t="str">
        <f>IF($A250="","",INDEX(v_data!$B$2:$L$1000,MATCH($A250,v_data!$A$3:$A$1000,0)+1,MATCH(LOWER(F$1),v_data!$B$2:$L$2,0)))</f>
        <v/>
      </c>
      <c r="G250" s="2" t="str">
        <f t="shared" si="220"/>
        <v/>
      </c>
      <c r="H250" s="2" t="str">
        <f>IF($A250="","",INDEX(v_data!$B$2:$L$1000,MATCH($A250,v_data!$A$3:$A$1000,0)+1,MATCH(LOWER(H$1),v_data!$B$2:$L$2,0)))</f>
        <v/>
      </c>
      <c r="I250" s="2" t="str">
        <f t="shared" si="221"/>
        <v/>
      </c>
      <c r="J250" s="2" t="str">
        <f>IF($A250="","",INDEX(v_data!$B$2:$L$1000,MATCH($A250,v_data!$A$3:$A$1000,0)+1,MATCH(LOWER(J$1),v_data!$B$2:$L$2,0)))</f>
        <v/>
      </c>
      <c r="K250" s="2" t="str">
        <f t="shared" si="222"/>
        <v/>
      </c>
      <c r="L250" s="2" t="str">
        <f>IF($A250="","",INDEX(v_data!$B$2:$L$1000,MATCH($A250,v_data!$A$3:$A$1000,0)+1,MATCH(LOWER(L$1),v_data!$B$2:$L$2,0)))</f>
        <v/>
      </c>
      <c r="M250" s="2" t="str">
        <f t="shared" si="223"/>
        <v/>
      </c>
      <c r="N250" s="2" t="str">
        <f>IF($A250="","",INDEX(v_data!$B$2:$L$1000,MATCH($A250,v_data!$A$3:$A$1000,0)+1,MATCH(LOWER(N$1),v_data!$B$2:$L$2,0)))</f>
        <v/>
      </c>
      <c r="O250" s="2" t="str">
        <f t="shared" si="224"/>
        <v/>
      </c>
      <c r="P250" s="2" t="str">
        <f>IF($A250="","",INDEX(v_data!$B$2:$L$1000,MATCH($A250,v_data!$A$3:$A$1000,0)+1,MATCH(LOWER(P$1),v_data!$B$2:$L$2,0)))</f>
        <v/>
      </c>
      <c r="Q250" s="2" t="str">
        <f t="shared" si="225"/>
        <v/>
      </c>
      <c r="R250" s="2" t="str">
        <f>IF($A250="","",INDEX(v_data!$B$2:$L$1000,MATCH($A250,v_data!$A$3:$A$1000,0)+1,MATCH(LOWER(R$1),v_data!$B$2:$L$2,0)))</f>
        <v/>
      </c>
      <c r="S250" s="2" t="str">
        <f t="shared" si="226"/>
        <v/>
      </c>
      <c r="T250" s="2" t="str">
        <f>IF($A250="","",INDEX(v_data!$B$2:$L$1000,MATCH($A250,v_data!$A$3:$A$1000,0)+1,MATCH(LOWER(T$1),v_data!$B$2:$L$2,0)))</f>
        <v/>
      </c>
      <c r="U250" s="2" t="str">
        <f t="shared" si="227"/>
        <v/>
      </c>
      <c r="V250" s="2" t="str">
        <f>IF($A250="","",INDEX(v_data!$B$2:$L$1000,MATCH($A250,v_data!$A$3:$A$1000,0)+1,MATCH(LOWER(V$1),v_data!$B$2:$L$2,0)))</f>
        <v/>
      </c>
      <c r="W250" s="2" t="str">
        <f t="shared" si="228"/>
        <v/>
      </c>
      <c r="X250" s="2" t="str">
        <f>IF($A250="","",INDEX(v_data!$B$2:$L$1000,MATCH($A250,v_data!$A$3:$A$1000,0)+1,MATCH(LOWER(X$1),v_data!$B$2:$L$2,0)))</f>
        <v/>
      </c>
      <c r="Y250" s="2" t="str">
        <f t="shared" si="229"/>
        <v/>
      </c>
      <c r="Z250" s="2" t="str">
        <f>IF($A250="","",INDEX(v_data!$B$2:$L$1000,MATCH($A250,v_data!$A$3:$A$1000,0)+1,MATCH(LOWER(Z$1),v_data!$B$2:$L$2,0)))</f>
        <v/>
      </c>
      <c r="AA250" s="2" t="str">
        <f t="shared" si="230"/>
        <v/>
      </c>
      <c r="AB250" s="2" t="str">
        <f t="shared" si="231"/>
        <v/>
      </c>
      <c r="AC250" s="2">
        <f>(SUM(G250,I250,K250,M250,O250,Q250,S250,U250,W250,Y250,AA250)+IF(AND(G250&gt;0,I250&gt;0,K250&gt;0),100,0))*VLOOKUP(B250,variables!$A$2:$B$6,2,FALSE)</f>
        <v>80</v>
      </c>
      <c r="AD250" s="16" t="str">
        <f>IF($A250="","",INDEX(v_data!$B$2:$X$1000,MATCH($A250,v_data!$A$3:$A$1000,0)+1,MATCH(LOWER("hours"),v_data!$B$2:$X$2,0)))</f>
        <v/>
      </c>
    </row>
    <row r="251" spans="1:30" hidden="1" x14ac:dyDescent="0.25">
      <c r="A251" s="2" t="str">
        <f>IF(ISBLANK(v_data!A250),"",v_data!A250)</f>
        <v/>
      </c>
      <c r="B251" s="2" t="s">
        <v>22</v>
      </c>
      <c r="C251" s="2">
        <f>VLOOKUP(B251,variables!$A$2:$B$6,2,FALSE)</f>
        <v>0.8</v>
      </c>
      <c r="D251" s="4">
        <v>43826</v>
      </c>
      <c r="E251" s="4">
        <v>43431</v>
      </c>
      <c r="F251" s="2" t="str">
        <f>IF($A251="","",INDEX(v_data!$B$2:$L$1000,MATCH($A251,v_data!$A$3:$A$1000,0)+1,MATCH(LOWER(F$1),v_data!$B$2:$L$2,0)))</f>
        <v/>
      </c>
      <c r="G251" s="2" t="str">
        <f t="shared" si="220"/>
        <v/>
      </c>
      <c r="H251" s="2" t="str">
        <f>IF($A251="","",INDEX(v_data!$B$2:$L$1000,MATCH($A251,v_data!$A$3:$A$1000,0)+1,MATCH(LOWER(H$1),v_data!$B$2:$L$2,0)))</f>
        <v/>
      </c>
      <c r="I251" s="2" t="str">
        <f t="shared" si="221"/>
        <v/>
      </c>
      <c r="J251" s="2" t="str">
        <f>IF($A251="","",INDEX(v_data!$B$2:$L$1000,MATCH($A251,v_data!$A$3:$A$1000,0)+1,MATCH(LOWER(J$1),v_data!$B$2:$L$2,0)))</f>
        <v/>
      </c>
      <c r="K251" s="2" t="str">
        <f t="shared" si="222"/>
        <v/>
      </c>
      <c r="L251" s="2" t="str">
        <f>IF($A251="","",INDEX(v_data!$B$2:$L$1000,MATCH($A251,v_data!$A$3:$A$1000,0)+1,MATCH(LOWER(L$1),v_data!$B$2:$L$2,0)))</f>
        <v/>
      </c>
      <c r="M251" s="2" t="str">
        <f t="shared" si="223"/>
        <v/>
      </c>
      <c r="N251" s="2" t="str">
        <f>IF($A251="","",INDEX(v_data!$B$2:$L$1000,MATCH($A251,v_data!$A$3:$A$1000,0)+1,MATCH(LOWER(N$1),v_data!$B$2:$L$2,0)))</f>
        <v/>
      </c>
      <c r="O251" s="2" t="str">
        <f t="shared" si="224"/>
        <v/>
      </c>
      <c r="P251" s="2" t="str">
        <f>IF($A251="","",INDEX(v_data!$B$2:$L$1000,MATCH($A251,v_data!$A$3:$A$1000,0)+1,MATCH(LOWER(P$1),v_data!$B$2:$L$2,0)))</f>
        <v/>
      </c>
      <c r="Q251" s="2" t="str">
        <f t="shared" si="225"/>
        <v/>
      </c>
      <c r="R251" s="2" t="str">
        <f>IF($A251="","",INDEX(v_data!$B$2:$L$1000,MATCH($A251,v_data!$A$3:$A$1000,0)+1,MATCH(LOWER(R$1),v_data!$B$2:$L$2,0)))</f>
        <v/>
      </c>
      <c r="S251" s="2" t="str">
        <f t="shared" si="226"/>
        <v/>
      </c>
      <c r="T251" s="2" t="str">
        <f>IF($A251="","",INDEX(v_data!$B$2:$L$1000,MATCH($A251,v_data!$A$3:$A$1000,0)+1,MATCH(LOWER(T$1),v_data!$B$2:$L$2,0)))</f>
        <v/>
      </c>
      <c r="U251" s="2" t="str">
        <f t="shared" si="227"/>
        <v/>
      </c>
      <c r="V251" s="2" t="str">
        <f>IF($A251="","",INDEX(v_data!$B$2:$L$1000,MATCH($A251,v_data!$A$3:$A$1000,0)+1,MATCH(LOWER(V$1),v_data!$B$2:$L$2,0)))</f>
        <v/>
      </c>
      <c r="W251" s="2" t="str">
        <f t="shared" si="228"/>
        <v/>
      </c>
      <c r="X251" s="2" t="str">
        <f>IF($A251="","",INDEX(v_data!$B$2:$L$1000,MATCH($A251,v_data!$A$3:$A$1000,0)+1,MATCH(LOWER(X$1),v_data!$B$2:$L$2,0)))</f>
        <v/>
      </c>
      <c r="Y251" s="2" t="str">
        <f t="shared" si="229"/>
        <v/>
      </c>
      <c r="Z251" s="2" t="str">
        <f>IF($A251="","",INDEX(v_data!$B$2:$L$1000,MATCH($A251,v_data!$A$3:$A$1000,0)+1,MATCH(LOWER(Z$1),v_data!$B$2:$L$2,0)))</f>
        <v/>
      </c>
      <c r="AA251" s="2" t="str">
        <f t="shared" si="230"/>
        <v/>
      </c>
      <c r="AB251" s="2" t="str">
        <f t="shared" si="231"/>
        <v/>
      </c>
      <c r="AC251" s="2">
        <f>(SUM(G251,I251,K251,M251,O251,Q251,S251,U251,W251,Y251,AA251)+IF(AND(G251&gt;0,I251&gt;0,K251&gt;0),100,0))*VLOOKUP(B251,variables!$A$2:$B$6,2,FALSE)</f>
        <v>80</v>
      </c>
      <c r="AD251" s="16" t="str">
        <f>IF($A251="","",INDEX(v_data!$B$2:$X$1000,MATCH($A251,v_data!$A$3:$A$1000,0)+1,MATCH(LOWER("hours"),v_data!$B$2:$X$2,0)))</f>
        <v/>
      </c>
    </row>
    <row r="252" spans="1:30" hidden="1" x14ac:dyDescent="0.25">
      <c r="A252" s="2" t="str">
        <f>IF(ISBLANK(v_data!A251),"",v_data!A251)</f>
        <v/>
      </c>
      <c r="B252" s="2" t="s">
        <v>22</v>
      </c>
      <c r="C252" s="2">
        <f>VLOOKUP(B252,variables!$A$2:$B$6,2,FALSE)</f>
        <v>0.8</v>
      </c>
      <c r="D252" s="4">
        <v>43826</v>
      </c>
      <c r="E252" s="4">
        <v>43431</v>
      </c>
      <c r="F252" s="2" t="str">
        <f>IF($A252="","",INDEX(v_data!$B$2:$L$1000,MATCH($A252,v_data!$A$3:$A$1000,0)+1,MATCH(LOWER(F$1),v_data!$B$2:$L$2,0)))</f>
        <v/>
      </c>
      <c r="G252" s="2" t="str">
        <f t="shared" si="220"/>
        <v/>
      </c>
      <c r="H252" s="2" t="str">
        <f>IF($A252="","",INDEX(v_data!$B$2:$L$1000,MATCH($A252,v_data!$A$3:$A$1000,0)+1,MATCH(LOWER(H$1),v_data!$B$2:$L$2,0)))</f>
        <v/>
      </c>
      <c r="I252" s="2" t="str">
        <f t="shared" si="221"/>
        <v/>
      </c>
      <c r="J252" s="2" t="str">
        <f>IF($A252="","",INDEX(v_data!$B$2:$L$1000,MATCH($A252,v_data!$A$3:$A$1000,0)+1,MATCH(LOWER(J$1),v_data!$B$2:$L$2,0)))</f>
        <v/>
      </c>
      <c r="K252" s="2" t="str">
        <f t="shared" si="222"/>
        <v/>
      </c>
      <c r="L252" s="2" t="str">
        <f>IF($A252="","",INDEX(v_data!$B$2:$L$1000,MATCH($A252,v_data!$A$3:$A$1000,0)+1,MATCH(LOWER(L$1),v_data!$B$2:$L$2,0)))</f>
        <v/>
      </c>
      <c r="M252" s="2" t="str">
        <f t="shared" si="223"/>
        <v/>
      </c>
      <c r="N252" s="2" t="str">
        <f>IF($A252="","",INDEX(v_data!$B$2:$L$1000,MATCH($A252,v_data!$A$3:$A$1000,0)+1,MATCH(LOWER(N$1),v_data!$B$2:$L$2,0)))</f>
        <v/>
      </c>
      <c r="O252" s="2" t="str">
        <f t="shared" si="224"/>
        <v/>
      </c>
      <c r="P252" s="2" t="str">
        <f>IF($A252="","",INDEX(v_data!$B$2:$L$1000,MATCH($A252,v_data!$A$3:$A$1000,0)+1,MATCH(LOWER(P$1),v_data!$B$2:$L$2,0)))</f>
        <v/>
      </c>
      <c r="Q252" s="2" t="str">
        <f t="shared" si="225"/>
        <v/>
      </c>
      <c r="R252" s="2" t="str">
        <f>IF($A252="","",INDEX(v_data!$B$2:$L$1000,MATCH($A252,v_data!$A$3:$A$1000,0)+1,MATCH(LOWER(R$1),v_data!$B$2:$L$2,0)))</f>
        <v/>
      </c>
      <c r="S252" s="2" t="str">
        <f t="shared" si="226"/>
        <v/>
      </c>
      <c r="T252" s="2" t="str">
        <f>IF($A252="","",INDEX(v_data!$B$2:$L$1000,MATCH($A252,v_data!$A$3:$A$1000,0)+1,MATCH(LOWER(T$1),v_data!$B$2:$L$2,0)))</f>
        <v/>
      </c>
      <c r="U252" s="2" t="str">
        <f t="shared" si="227"/>
        <v/>
      </c>
      <c r="V252" s="2" t="str">
        <f>IF($A252="","",INDEX(v_data!$B$2:$L$1000,MATCH($A252,v_data!$A$3:$A$1000,0)+1,MATCH(LOWER(V$1),v_data!$B$2:$L$2,0)))</f>
        <v/>
      </c>
      <c r="W252" s="2" t="str">
        <f t="shared" si="228"/>
        <v/>
      </c>
      <c r="X252" s="2" t="str">
        <f>IF($A252="","",INDEX(v_data!$B$2:$L$1000,MATCH($A252,v_data!$A$3:$A$1000,0)+1,MATCH(LOWER(X$1),v_data!$B$2:$L$2,0)))</f>
        <v/>
      </c>
      <c r="Y252" s="2" t="str">
        <f t="shared" si="229"/>
        <v/>
      </c>
      <c r="Z252" s="2" t="str">
        <f>IF($A252="","",INDEX(v_data!$B$2:$L$1000,MATCH($A252,v_data!$A$3:$A$1000,0)+1,MATCH(LOWER(Z$1),v_data!$B$2:$L$2,0)))</f>
        <v/>
      </c>
      <c r="AA252" s="2" t="str">
        <f t="shared" si="230"/>
        <v/>
      </c>
      <c r="AB252" s="2" t="str">
        <f t="shared" si="231"/>
        <v/>
      </c>
      <c r="AC252" s="2">
        <f>(SUM(G252,I252,K252,M252,O252,Q252,S252,U252,W252,Y252,AA252)+IF(AND(G252&gt;0,I252&gt;0,K252&gt;0),100,0))*VLOOKUP(B252,variables!$A$2:$B$6,2,FALSE)</f>
        <v>80</v>
      </c>
      <c r="AD252" s="16" t="str">
        <f>IF($A252="","",INDEX(v_data!$B$2:$X$1000,MATCH($A252,v_data!$A$3:$A$1000,0)+1,MATCH(LOWER("hours"),v_data!$B$2:$X$2,0)))</f>
        <v/>
      </c>
    </row>
    <row r="253" spans="1:30" hidden="1" x14ac:dyDescent="0.25">
      <c r="A253" s="2" t="str">
        <f>IF(ISBLANK(v_data!A252),"",v_data!A252)</f>
        <v/>
      </c>
      <c r="B253" s="2" t="s">
        <v>22</v>
      </c>
      <c r="C253" s="2">
        <f>VLOOKUP(B253,variables!$A$2:$B$6,2,FALSE)</f>
        <v>0.8</v>
      </c>
      <c r="D253" s="4">
        <v>43826</v>
      </c>
      <c r="E253" s="4">
        <v>43431</v>
      </c>
      <c r="F253" s="2" t="str">
        <f>IF($A253="","",INDEX(v_data!$B$2:$L$1000,MATCH($A253,v_data!$A$3:$A$1000,0)+1,MATCH(LOWER(F$1),v_data!$B$2:$L$2,0)))</f>
        <v/>
      </c>
      <c r="G253" s="2" t="str">
        <f t="shared" si="220"/>
        <v/>
      </c>
      <c r="H253" s="2" t="str">
        <f>IF($A253="","",INDEX(v_data!$B$2:$L$1000,MATCH($A253,v_data!$A$3:$A$1000,0)+1,MATCH(LOWER(H$1),v_data!$B$2:$L$2,0)))</f>
        <v/>
      </c>
      <c r="I253" s="2" t="str">
        <f t="shared" si="221"/>
        <v/>
      </c>
      <c r="J253" s="2" t="str">
        <f>IF($A253="","",INDEX(v_data!$B$2:$L$1000,MATCH($A253,v_data!$A$3:$A$1000,0)+1,MATCH(LOWER(J$1),v_data!$B$2:$L$2,0)))</f>
        <v/>
      </c>
      <c r="K253" s="2" t="str">
        <f t="shared" si="222"/>
        <v/>
      </c>
      <c r="L253" s="2" t="str">
        <f>IF($A253="","",INDEX(v_data!$B$2:$L$1000,MATCH($A253,v_data!$A$3:$A$1000,0)+1,MATCH(LOWER(L$1),v_data!$B$2:$L$2,0)))</f>
        <v/>
      </c>
      <c r="M253" s="2" t="str">
        <f t="shared" si="223"/>
        <v/>
      </c>
      <c r="N253" s="2" t="str">
        <f>IF($A253="","",INDEX(v_data!$B$2:$L$1000,MATCH($A253,v_data!$A$3:$A$1000,0)+1,MATCH(LOWER(N$1),v_data!$B$2:$L$2,0)))</f>
        <v/>
      </c>
      <c r="O253" s="2" t="str">
        <f t="shared" si="224"/>
        <v/>
      </c>
      <c r="P253" s="2" t="str">
        <f>IF($A253="","",INDEX(v_data!$B$2:$L$1000,MATCH($A253,v_data!$A$3:$A$1000,0)+1,MATCH(LOWER(P$1),v_data!$B$2:$L$2,0)))</f>
        <v/>
      </c>
      <c r="Q253" s="2" t="str">
        <f t="shared" si="225"/>
        <v/>
      </c>
      <c r="R253" s="2" t="str">
        <f>IF($A253="","",INDEX(v_data!$B$2:$L$1000,MATCH($A253,v_data!$A$3:$A$1000,0)+1,MATCH(LOWER(R$1),v_data!$B$2:$L$2,0)))</f>
        <v/>
      </c>
      <c r="S253" s="2" t="str">
        <f t="shared" si="226"/>
        <v/>
      </c>
      <c r="T253" s="2" t="str">
        <f>IF($A253="","",INDEX(v_data!$B$2:$L$1000,MATCH($A253,v_data!$A$3:$A$1000,0)+1,MATCH(LOWER(T$1),v_data!$B$2:$L$2,0)))</f>
        <v/>
      </c>
      <c r="U253" s="2" t="str">
        <f t="shared" si="227"/>
        <v/>
      </c>
      <c r="V253" s="2" t="str">
        <f>IF($A253="","",INDEX(v_data!$B$2:$L$1000,MATCH($A253,v_data!$A$3:$A$1000,0)+1,MATCH(LOWER(V$1),v_data!$B$2:$L$2,0)))</f>
        <v/>
      </c>
      <c r="W253" s="2" t="str">
        <f t="shared" si="228"/>
        <v/>
      </c>
      <c r="X253" s="2" t="str">
        <f>IF($A253="","",INDEX(v_data!$B$2:$L$1000,MATCH($A253,v_data!$A$3:$A$1000,0)+1,MATCH(LOWER(X$1),v_data!$B$2:$L$2,0)))</f>
        <v/>
      </c>
      <c r="Y253" s="2" t="str">
        <f t="shared" si="229"/>
        <v/>
      </c>
      <c r="Z253" s="2" t="str">
        <f>IF($A253="","",INDEX(v_data!$B$2:$L$1000,MATCH($A253,v_data!$A$3:$A$1000,0)+1,MATCH(LOWER(Z$1),v_data!$B$2:$L$2,0)))</f>
        <v/>
      </c>
      <c r="AA253" s="2" t="str">
        <f t="shared" si="230"/>
        <v/>
      </c>
      <c r="AB253" s="2" t="str">
        <f t="shared" si="231"/>
        <v/>
      </c>
      <c r="AC253" s="2">
        <f>(SUM(G253,I253,K253,M253,O253,Q253,S253,U253,W253,Y253,AA253)+IF(AND(G253&gt;0,I253&gt;0,K253&gt;0),100,0))*VLOOKUP(B253,variables!$A$2:$B$6,2,FALSE)</f>
        <v>80</v>
      </c>
      <c r="AD253" s="16" t="str">
        <f>IF($A253="","",INDEX(v_data!$B$2:$X$1000,MATCH($A253,v_data!$A$3:$A$1000,0)+1,MATCH(LOWER("hours"),v_data!$B$2:$X$2,0)))</f>
        <v/>
      </c>
    </row>
    <row r="254" spans="1:30" hidden="1" x14ac:dyDescent="0.25">
      <c r="A254" s="2" t="str">
        <f>IF(ISBLANK(v_data!A253),"",v_data!A253)</f>
        <v/>
      </c>
      <c r="B254" s="2" t="s">
        <v>22</v>
      </c>
      <c r="C254" s="2">
        <f>VLOOKUP(B254,variables!$A$2:$B$6,2,FALSE)</f>
        <v>0.8</v>
      </c>
      <c r="D254" s="4">
        <v>43826</v>
      </c>
      <c r="E254" s="4">
        <v>43431</v>
      </c>
      <c r="F254" s="2" t="str">
        <f>IF($A254="","",INDEX(v_data!$B$2:$L$1000,MATCH($A254,v_data!$A$3:$A$1000,0)+1,MATCH(LOWER(F$1),v_data!$B$2:$L$2,0)))</f>
        <v/>
      </c>
      <c r="G254" s="2" t="str">
        <f t="shared" si="220"/>
        <v/>
      </c>
      <c r="H254" s="2" t="str">
        <f>IF($A254="","",INDEX(v_data!$B$2:$L$1000,MATCH($A254,v_data!$A$3:$A$1000,0)+1,MATCH(LOWER(H$1),v_data!$B$2:$L$2,0)))</f>
        <v/>
      </c>
      <c r="I254" s="2" t="str">
        <f t="shared" si="221"/>
        <v/>
      </c>
      <c r="J254" s="2" t="str">
        <f>IF($A254="","",INDEX(v_data!$B$2:$L$1000,MATCH($A254,v_data!$A$3:$A$1000,0)+1,MATCH(LOWER(J$1),v_data!$B$2:$L$2,0)))</f>
        <v/>
      </c>
      <c r="K254" s="2" t="str">
        <f t="shared" si="222"/>
        <v/>
      </c>
      <c r="L254" s="2" t="str">
        <f>IF($A254="","",INDEX(v_data!$B$2:$L$1000,MATCH($A254,v_data!$A$3:$A$1000,0)+1,MATCH(LOWER(L$1),v_data!$B$2:$L$2,0)))</f>
        <v/>
      </c>
      <c r="M254" s="2" t="str">
        <f t="shared" si="223"/>
        <v/>
      </c>
      <c r="N254" s="2" t="str">
        <f>IF($A254="","",INDEX(v_data!$B$2:$L$1000,MATCH($A254,v_data!$A$3:$A$1000,0)+1,MATCH(LOWER(N$1),v_data!$B$2:$L$2,0)))</f>
        <v/>
      </c>
      <c r="O254" s="2" t="str">
        <f t="shared" si="224"/>
        <v/>
      </c>
      <c r="P254" s="2" t="str">
        <f>IF($A254="","",INDEX(v_data!$B$2:$L$1000,MATCH($A254,v_data!$A$3:$A$1000,0)+1,MATCH(LOWER(P$1),v_data!$B$2:$L$2,0)))</f>
        <v/>
      </c>
      <c r="Q254" s="2" t="str">
        <f t="shared" si="225"/>
        <v/>
      </c>
      <c r="R254" s="2" t="str">
        <f>IF($A254="","",INDEX(v_data!$B$2:$L$1000,MATCH($A254,v_data!$A$3:$A$1000,0)+1,MATCH(LOWER(R$1),v_data!$B$2:$L$2,0)))</f>
        <v/>
      </c>
      <c r="S254" s="2" t="str">
        <f t="shared" si="226"/>
        <v/>
      </c>
      <c r="T254" s="2" t="str">
        <f>IF($A254="","",INDEX(v_data!$B$2:$L$1000,MATCH($A254,v_data!$A$3:$A$1000,0)+1,MATCH(LOWER(T$1),v_data!$B$2:$L$2,0)))</f>
        <v/>
      </c>
      <c r="U254" s="2" t="str">
        <f t="shared" si="227"/>
        <v/>
      </c>
      <c r="V254" s="2" t="str">
        <f>IF($A254="","",INDEX(v_data!$B$2:$L$1000,MATCH($A254,v_data!$A$3:$A$1000,0)+1,MATCH(LOWER(V$1),v_data!$B$2:$L$2,0)))</f>
        <v/>
      </c>
      <c r="W254" s="2" t="str">
        <f t="shared" si="228"/>
        <v/>
      </c>
      <c r="X254" s="2" t="str">
        <f>IF($A254="","",INDEX(v_data!$B$2:$L$1000,MATCH($A254,v_data!$A$3:$A$1000,0)+1,MATCH(LOWER(X$1),v_data!$B$2:$L$2,0)))</f>
        <v/>
      </c>
      <c r="Y254" s="2" t="str">
        <f t="shared" si="229"/>
        <v/>
      </c>
      <c r="Z254" s="2" t="str">
        <f>IF($A254="","",INDEX(v_data!$B$2:$L$1000,MATCH($A254,v_data!$A$3:$A$1000,0)+1,MATCH(LOWER(Z$1),v_data!$B$2:$L$2,0)))</f>
        <v/>
      </c>
      <c r="AA254" s="2" t="str">
        <f t="shared" si="230"/>
        <v/>
      </c>
      <c r="AB254" s="2" t="str">
        <f t="shared" si="231"/>
        <v/>
      </c>
      <c r="AC254" s="2">
        <f>(SUM(G254,I254,K254,M254,O254,Q254,S254,U254,W254,Y254,AA254)+IF(AND(G254&gt;0,I254&gt;0,K254&gt;0),100,0))*VLOOKUP(B254,variables!$A$2:$B$6,2,FALSE)</f>
        <v>80</v>
      </c>
      <c r="AD254" s="16" t="str">
        <f>IF($A254="","",INDEX(v_data!$B$2:$X$1000,MATCH($A254,v_data!$A$3:$A$1000,0)+1,MATCH(LOWER("hours"),v_data!$B$2:$X$2,0)))</f>
        <v/>
      </c>
    </row>
    <row r="255" spans="1:30" hidden="1" x14ac:dyDescent="0.25">
      <c r="A255" s="2" t="str">
        <f>IF(ISBLANK(v_data!A254),"",v_data!A254)</f>
        <v/>
      </c>
      <c r="B255" s="2" t="s">
        <v>22</v>
      </c>
      <c r="C255" s="2">
        <f>VLOOKUP(B255,variables!$A$2:$B$6,2,FALSE)</f>
        <v>0.8</v>
      </c>
      <c r="D255" s="4">
        <v>43826</v>
      </c>
      <c r="E255" s="4">
        <v>43431</v>
      </c>
      <c r="F255" s="2" t="str">
        <f>IF($A255="","",INDEX(v_data!$B$2:$L$1000,MATCH($A255,v_data!$A$3:$A$1000,0)+1,MATCH(LOWER(F$1),v_data!$B$2:$L$2,0)))</f>
        <v/>
      </c>
      <c r="G255" s="2" t="str">
        <f t="shared" si="220"/>
        <v/>
      </c>
      <c r="H255" s="2" t="str">
        <f>IF($A255="","",INDEX(v_data!$B$2:$L$1000,MATCH($A255,v_data!$A$3:$A$1000,0)+1,MATCH(LOWER(H$1),v_data!$B$2:$L$2,0)))</f>
        <v/>
      </c>
      <c r="I255" s="2" t="str">
        <f t="shared" si="221"/>
        <v/>
      </c>
      <c r="J255" s="2" t="str">
        <f>IF($A255="","",INDEX(v_data!$B$2:$L$1000,MATCH($A255,v_data!$A$3:$A$1000,0)+1,MATCH(LOWER(J$1),v_data!$B$2:$L$2,0)))</f>
        <v/>
      </c>
      <c r="K255" s="2" t="str">
        <f t="shared" si="222"/>
        <v/>
      </c>
      <c r="L255" s="2" t="str">
        <f>IF($A255="","",INDEX(v_data!$B$2:$L$1000,MATCH($A255,v_data!$A$3:$A$1000,0)+1,MATCH(LOWER(L$1),v_data!$B$2:$L$2,0)))</f>
        <v/>
      </c>
      <c r="M255" s="2" t="str">
        <f t="shared" si="223"/>
        <v/>
      </c>
      <c r="N255" s="2" t="str">
        <f>IF($A255="","",INDEX(v_data!$B$2:$L$1000,MATCH($A255,v_data!$A$3:$A$1000,0)+1,MATCH(LOWER(N$1),v_data!$B$2:$L$2,0)))</f>
        <v/>
      </c>
      <c r="O255" s="2" t="str">
        <f t="shared" si="224"/>
        <v/>
      </c>
      <c r="P255" s="2" t="str">
        <f>IF($A255="","",INDEX(v_data!$B$2:$L$1000,MATCH($A255,v_data!$A$3:$A$1000,0)+1,MATCH(LOWER(P$1),v_data!$B$2:$L$2,0)))</f>
        <v/>
      </c>
      <c r="Q255" s="2" t="str">
        <f t="shared" si="225"/>
        <v/>
      </c>
      <c r="R255" s="2" t="str">
        <f>IF($A255="","",INDEX(v_data!$B$2:$L$1000,MATCH($A255,v_data!$A$3:$A$1000,0)+1,MATCH(LOWER(R$1),v_data!$B$2:$L$2,0)))</f>
        <v/>
      </c>
      <c r="S255" s="2" t="str">
        <f t="shared" si="226"/>
        <v/>
      </c>
      <c r="T255" s="2" t="str">
        <f>IF($A255="","",INDEX(v_data!$B$2:$L$1000,MATCH($A255,v_data!$A$3:$A$1000,0)+1,MATCH(LOWER(T$1),v_data!$B$2:$L$2,0)))</f>
        <v/>
      </c>
      <c r="U255" s="2" t="str">
        <f t="shared" si="227"/>
        <v/>
      </c>
      <c r="V255" s="2" t="str">
        <f>IF($A255="","",INDEX(v_data!$B$2:$L$1000,MATCH($A255,v_data!$A$3:$A$1000,0)+1,MATCH(LOWER(V$1),v_data!$B$2:$L$2,0)))</f>
        <v/>
      </c>
      <c r="W255" s="2" t="str">
        <f t="shared" si="228"/>
        <v/>
      </c>
      <c r="X255" s="2" t="str">
        <f>IF($A255="","",INDEX(v_data!$B$2:$L$1000,MATCH($A255,v_data!$A$3:$A$1000,0)+1,MATCH(LOWER(X$1),v_data!$B$2:$L$2,0)))</f>
        <v/>
      </c>
      <c r="Y255" s="2" t="str">
        <f t="shared" si="229"/>
        <v/>
      </c>
      <c r="Z255" s="2" t="str">
        <f>IF($A255="","",INDEX(v_data!$B$2:$L$1000,MATCH($A255,v_data!$A$3:$A$1000,0)+1,MATCH(LOWER(Z$1),v_data!$B$2:$L$2,0)))</f>
        <v/>
      </c>
      <c r="AA255" s="2" t="str">
        <f t="shared" si="230"/>
        <v/>
      </c>
      <c r="AB255" s="2" t="str">
        <f t="shared" si="231"/>
        <v/>
      </c>
      <c r="AC255" s="2">
        <f>(SUM(G255,I255,K255,M255,O255,Q255,S255,U255,W255,Y255,AA255)+IF(AND(G255&gt;0,I255&gt;0,K255&gt;0),100,0))*VLOOKUP(B255,variables!$A$2:$B$6,2,FALSE)</f>
        <v>80</v>
      </c>
      <c r="AD255" s="16" t="str">
        <f>IF($A255="","",INDEX(v_data!$B$2:$X$1000,MATCH($A255,v_data!$A$3:$A$1000,0)+1,MATCH(LOWER("hours"),v_data!$B$2:$X$2,0)))</f>
        <v/>
      </c>
    </row>
    <row r="256" spans="1:30" hidden="1" x14ac:dyDescent="0.25">
      <c r="A256" s="2" t="str">
        <f>IF(ISBLANK(v_data!A255),"",v_data!A255)</f>
        <v/>
      </c>
      <c r="B256" s="2" t="s">
        <v>22</v>
      </c>
      <c r="C256" s="2">
        <f>VLOOKUP(B256,variables!$A$2:$B$6,2,FALSE)</f>
        <v>0.8</v>
      </c>
      <c r="D256" s="4">
        <v>43826</v>
      </c>
      <c r="E256" s="4">
        <v>43431</v>
      </c>
      <c r="F256" s="2" t="str">
        <f>IF($A256="","",INDEX(v_data!$B$2:$L$1000,MATCH($A256,v_data!$A$3:$A$1000,0)+1,MATCH(LOWER(F$1),v_data!$B$2:$L$2,0)))</f>
        <v/>
      </c>
      <c r="G256" s="2" t="str">
        <f t="shared" si="220"/>
        <v/>
      </c>
      <c r="H256" s="2" t="str">
        <f>IF($A256="","",INDEX(v_data!$B$2:$L$1000,MATCH($A256,v_data!$A$3:$A$1000,0)+1,MATCH(LOWER(H$1),v_data!$B$2:$L$2,0)))</f>
        <v/>
      </c>
      <c r="I256" s="2" t="str">
        <f t="shared" si="221"/>
        <v/>
      </c>
      <c r="J256" s="2" t="str">
        <f>IF($A256="","",INDEX(v_data!$B$2:$L$1000,MATCH($A256,v_data!$A$3:$A$1000,0)+1,MATCH(LOWER(J$1),v_data!$B$2:$L$2,0)))</f>
        <v/>
      </c>
      <c r="K256" s="2" t="str">
        <f t="shared" si="222"/>
        <v/>
      </c>
      <c r="L256" s="2" t="str">
        <f>IF($A256="","",INDEX(v_data!$B$2:$L$1000,MATCH($A256,v_data!$A$3:$A$1000,0)+1,MATCH(LOWER(L$1),v_data!$B$2:$L$2,0)))</f>
        <v/>
      </c>
      <c r="M256" s="2" t="str">
        <f t="shared" si="223"/>
        <v/>
      </c>
      <c r="N256" s="2" t="str">
        <f>IF($A256="","",INDEX(v_data!$B$2:$L$1000,MATCH($A256,v_data!$A$3:$A$1000,0)+1,MATCH(LOWER(N$1),v_data!$B$2:$L$2,0)))</f>
        <v/>
      </c>
      <c r="O256" s="2" t="str">
        <f t="shared" si="224"/>
        <v/>
      </c>
      <c r="P256" s="2" t="str">
        <f>IF($A256="","",INDEX(v_data!$B$2:$L$1000,MATCH($A256,v_data!$A$3:$A$1000,0)+1,MATCH(LOWER(P$1),v_data!$B$2:$L$2,0)))</f>
        <v/>
      </c>
      <c r="Q256" s="2" t="str">
        <f t="shared" si="225"/>
        <v/>
      </c>
      <c r="R256" s="2" t="str">
        <f>IF($A256="","",INDEX(v_data!$B$2:$L$1000,MATCH($A256,v_data!$A$3:$A$1000,0)+1,MATCH(LOWER(R$1),v_data!$B$2:$L$2,0)))</f>
        <v/>
      </c>
      <c r="S256" s="2" t="str">
        <f t="shared" si="226"/>
        <v/>
      </c>
      <c r="T256" s="2" t="str">
        <f>IF($A256="","",INDEX(v_data!$B$2:$L$1000,MATCH($A256,v_data!$A$3:$A$1000,0)+1,MATCH(LOWER(T$1),v_data!$B$2:$L$2,0)))</f>
        <v/>
      </c>
      <c r="U256" s="2" t="str">
        <f t="shared" si="227"/>
        <v/>
      </c>
      <c r="V256" s="2" t="str">
        <f>IF($A256="","",INDEX(v_data!$B$2:$L$1000,MATCH($A256,v_data!$A$3:$A$1000,0)+1,MATCH(LOWER(V$1),v_data!$B$2:$L$2,0)))</f>
        <v/>
      </c>
      <c r="W256" s="2" t="str">
        <f t="shared" si="228"/>
        <v/>
      </c>
      <c r="X256" s="2" t="str">
        <f>IF($A256="","",INDEX(v_data!$B$2:$L$1000,MATCH($A256,v_data!$A$3:$A$1000,0)+1,MATCH(LOWER(X$1),v_data!$B$2:$L$2,0)))</f>
        <v/>
      </c>
      <c r="Y256" s="2" t="str">
        <f t="shared" si="229"/>
        <v/>
      </c>
      <c r="Z256" s="2" t="str">
        <f>IF($A256="","",INDEX(v_data!$B$2:$L$1000,MATCH($A256,v_data!$A$3:$A$1000,0)+1,MATCH(LOWER(Z$1),v_data!$B$2:$L$2,0)))</f>
        <v/>
      </c>
      <c r="AA256" s="2" t="str">
        <f t="shared" si="230"/>
        <v/>
      </c>
      <c r="AB256" s="2" t="str">
        <f t="shared" si="231"/>
        <v/>
      </c>
      <c r="AC256" s="2">
        <f>(SUM(G256,I256,K256,M256,O256,Q256,S256,U256,W256,Y256,AA256)+IF(AND(G256&gt;0,I256&gt;0,K256&gt;0),100,0))*VLOOKUP(B256,variables!$A$2:$B$6,2,FALSE)</f>
        <v>80</v>
      </c>
      <c r="AD256" s="16" t="str">
        <f>IF($A256="","",INDEX(v_data!$B$2:$X$1000,MATCH($A256,v_data!$A$3:$A$1000,0)+1,MATCH(LOWER("hours"),v_data!$B$2:$X$2,0)))</f>
        <v/>
      </c>
    </row>
    <row r="257" spans="1:30" hidden="1" x14ac:dyDescent="0.25">
      <c r="A257" s="2" t="str">
        <f>IF(ISBLANK(v_data!A256),"",v_data!A256)</f>
        <v/>
      </c>
      <c r="B257" s="2" t="s">
        <v>22</v>
      </c>
      <c r="C257" s="2">
        <f>VLOOKUP(B257,variables!$A$2:$B$6,2,FALSE)</f>
        <v>0.8</v>
      </c>
      <c r="D257" s="4">
        <v>43826</v>
      </c>
      <c r="E257" s="4">
        <v>43431</v>
      </c>
      <c r="F257" s="2" t="str">
        <f>IF($A257="","",INDEX(v_data!$B$2:$L$1000,MATCH($A257,v_data!$A$3:$A$1000,0)+1,MATCH(LOWER(F$1),v_data!$B$2:$L$2,0)))</f>
        <v/>
      </c>
      <c r="G257" s="2" t="str">
        <f t="shared" si="220"/>
        <v/>
      </c>
      <c r="H257" s="2" t="str">
        <f>IF($A257="","",INDEX(v_data!$B$2:$L$1000,MATCH($A257,v_data!$A$3:$A$1000,0)+1,MATCH(LOWER(H$1),v_data!$B$2:$L$2,0)))</f>
        <v/>
      </c>
      <c r="I257" s="2" t="str">
        <f t="shared" si="221"/>
        <v/>
      </c>
      <c r="J257" s="2" t="str">
        <f>IF($A257="","",INDEX(v_data!$B$2:$L$1000,MATCH($A257,v_data!$A$3:$A$1000,0)+1,MATCH(LOWER(J$1),v_data!$B$2:$L$2,0)))</f>
        <v/>
      </c>
      <c r="K257" s="2" t="str">
        <f t="shared" si="222"/>
        <v/>
      </c>
      <c r="L257" s="2" t="str">
        <f>IF($A257="","",INDEX(v_data!$B$2:$L$1000,MATCH($A257,v_data!$A$3:$A$1000,0)+1,MATCH(LOWER(L$1),v_data!$B$2:$L$2,0)))</f>
        <v/>
      </c>
      <c r="M257" s="2" t="str">
        <f t="shared" si="223"/>
        <v/>
      </c>
      <c r="N257" s="2" t="str">
        <f>IF($A257="","",INDEX(v_data!$B$2:$L$1000,MATCH($A257,v_data!$A$3:$A$1000,0)+1,MATCH(LOWER(N$1),v_data!$B$2:$L$2,0)))</f>
        <v/>
      </c>
      <c r="O257" s="2" t="str">
        <f t="shared" si="224"/>
        <v/>
      </c>
      <c r="P257" s="2" t="str">
        <f>IF($A257="","",INDEX(v_data!$B$2:$L$1000,MATCH($A257,v_data!$A$3:$A$1000,0)+1,MATCH(LOWER(P$1),v_data!$B$2:$L$2,0)))</f>
        <v/>
      </c>
      <c r="Q257" s="2" t="str">
        <f t="shared" si="225"/>
        <v/>
      </c>
      <c r="R257" s="2" t="str">
        <f>IF($A257="","",INDEX(v_data!$B$2:$L$1000,MATCH($A257,v_data!$A$3:$A$1000,0)+1,MATCH(LOWER(R$1),v_data!$B$2:$L$2,0)))</f>
        <v/>
      </c>
      <c r="S257" s="2" t="str">
        <f t="shared" si="226"/>
        <v/>
      </c>
      <c r="T257" s="2" t="str">
        <f>IF($A257="","",INDEX(v_data!$B$2:$L$1000,MATCH($A257,v_data!$A$3:$A$1000,0)+1,MATCH(LOWER(T$1),v_data!$B$2:$L$2,0)))</f>
        <v/>
      </c>
      <c r="U257" s="2" t="str">
        <f t="shared" si="227"/>
        <v/>
      </c>
      <c r="V257" s="2" t="str">
        <f>IF($A257="","",INDEX(v_data!$B$2:$L$1000,MATCH($A257,v_data!$A$3:$A$1000,0)+1,MATCH(LOWER(V$1),v_data!$B$2:$L$2,0)))</f>
        <v/>
      </c>
      <c r="W257" s="2" t="str">
        <f t="shared" si="228"/>
        <v/>
      </c>
      <c r="X257" s="2" t="str">
        <f>IF($A257="","",INDEX(v_data!$B$2:$L$1000,MATCH($A257,v_data!$A$3:$A$1000,0)+1,MATCH(LOWER(X$1),v_data!$B$2:$L$2,0)))</f>
        <v/>
      </c>
      <c r="Y257" s="2" t="str">
        <f t="shared" si="229"/>
        <v/>
      </c>
      <c r="Z257" s="2" t="str">
        <f>IF($A257="","",INDEX(v_data!$B$2:$L$1000,MATCH($A257,v_data!$A$3:$A$1000,0)+1,MATCH(LOWER(Z$1),v_data!$B$2:$L$2,0)))</f>
        <v/>
      </c>
      <c r="AA257" s="2" t="str">
        <f t="shared" si="230"/>
        <v/>
      </c>
      <c r="AB257" s="2" t="str">
        <f t="shared" si="231"/>
        <v/>
      </c>
      <c r="AC257" s="2">
        <f>(SUM(G257,I257,K257,M257,O257,Q257,S257,U257,W257,Y257,AA257)+IF(AND(G257&gt;0,I257&gt;0,K257&gt;0),100,0))*VLOOKUP(B257,variables!$A$2:$B$6,2,FALSE)</f>
        <v>80</v>
      </c>
      <c r="AD257" s="16" t="str">
        <f>IF($A257="","",INDEX(v_data!$B$2:$X$1000,MATCH($A257,v_data!$A$3:$A$1000,0)+1,MATCH(LOWER("hours"),v_data!$B$2:$X$2,0)))</f>
        <v/>
      </c>
    </row>
    <row r="258" spans="1:30" hidden="1" x14ac:dyDescent="0.25">
      <c r="A258" s="2" t="str">
        <f>IF(ISBLANK(v_data!A257),"",v_data!A257)</f>
        <v/>
      </c>
      <c r="B258" s="2" t="s">
        <v>22</v>
      </c>
      <c r="C258" s="2">
        <f>VLOOKUP(B258,variables!$A$2:$B$6,2,FALSE)</f>
        <v>0.8</v>
      </c>
      <c r="D258" s="4">
        <v>43826</v>
      </c>
      <c r="E258" s="4">
        <v>43431</v>
      </c>
      <c r="F258" s="2" t="str">
        <f>IF($A258="","",INDEX(v_data!$B$2:$L$1000,MATCH($A258,v_data!$A$3:$A$1000,0)+1,MATCH(LOWER(F$1),v_data!$B$2:$L$2,0)))</f>
        <v/>
      </c>
      <c r="G258" s="2" t="str">
        <f t="shared" si="220"/>
        <v/>
      </c>
      <c r="H258" s="2" t="str">
        <f>IF($A258="","",INDEX(v_data!$B$2:$L$1000,MATCH($A258,v_data!$A$3:$A$1000,0)+1,MATCH(LOWER(H$1),v_data!$B$2:$L$2,0)))</f>
        <v/>
      </c>
      <c r="I258" s="2" t="str">
        <f t="shared" si="221"/>
        <v/>
      </c>
      <c r="J258" s="2" t="str">
        <f>IF($A258="","",INDEX(v_data!$B$2:$L$1000,MATCH($A258,v_data!$A$3:$A$1000,0)+1,MATCH(LOWER(J$1),v_data!$B$2:$L$2,0)))</f>
        <v/>
      </c>
      <c r="K258" s="2" t="str">
        <f t="shared" si="222"/>
        <v/>
      </c>
      <c r="L258" s="2" t="str">
        <f>IF($A258="","",INDEX(v_data!$B$2:$L$1000,MATCH($A258,v_data!$A$3:$A$1000,0)+1,MATCH(LOWER(L$1),v_data!$B$2:$L$2,0)))</f>
        <v/>
      </c>
      <c r="M258" s="2" t="str">
        <f t="shared" si="223"/>
        <v/>
      </c>
      <c r="N258" s="2" t="str">
        <f>IF($A258="","",INDEX(v_data!$B$2:$L$1000,MATCH($A258,v_data!$A$3:$A$1000,0)+1,MATCH(LOWER(N$1),v_data!$B$2:$L$2,0)))</f>
        <v/>
      </c>
      <c r="O258" s="2" t="str">
        <f t="shared" si="224"/>
        <v/>
      </c>
      <c r="P258" s="2" t="str">
        <f>IF($A258="","",INDEX(v_data!$B$2:$L$1000,MATCH($A258,v_data!$A$3:$A$1000,0)+1,MATCH(LOWER(P$1),v_data!$B$2:$L$2,0)))</f>
        <v/>
      </c>
      <c r="Q258" s="2" t="str">
        <f t="shared" si="225"/>
        <v/>
      </c>
      <c r="R258" s="2" t="str">
        <f>IF($A258="","",INDEX(v_data!$B$2:$L$1000,MATCH($A258,v_data!$A$3:$A$1000,0)+1,MATCH(LOWER(R$1),v_data!$B$2:$L$2,0)))</f>
        <v/>
      </c>
      <c r="S258" s="2" t="str">
        <f t="shared" si="226"/>
        <v/>
      </c>
      <c r="T258" s="2" t="str">
        <f>IF($A258="","",INDEX(v_data!$B$2:$L$1000,MATCH($A258,v_data!$A$3:$A$1000,0)+1,MATCH(LOWER(T$1),v_data!$B$2:$L$2,0)))</f>
        <v/>
      </c>
      <c r="U258" s="2" t="str">
        <f t="shared" si="227"/>
        <v/>
      </c>
      <c r="V258" s="2" t="str">
        <f>IF($A258="","",INDEX(v_data!$B$2:$L$1000,MATCH($A258,v_data!$A$3:$A$1000,0)+1,MATCH(LOWER(V$1),v_data!$B$2:$L$2,0)))</f>
        <v/>
      </c>
      <c r="W258" s="2" t="str">
        <f t="shared" si="228"/>
        <v/>
      </c>
      <c r="X258" s="2" t="str">
        <f>IF($A258="","",INDEX(v_data!$B$2:$L$1000,MATCH($A258,v_data!$A$3:$A$1000,0)+1,MATCH(LOWER(X$1),v_data!$B$2:$L$2,0)))</f>
        <v/>
      </c>
      <c r="Y258" s="2" t="str">
        <f t="shared" si="229"/>
        <v/>
      </c>
      <c r="Z258" s="2" t="str">
        <f>IF($A258="","",INDEX(v_data!$B$2:$L$1000,MATCH($A258,v_data!$A$3:$A$1000,0)+1,MATCH(LOWER(Z$1),v_data!$B$2:$L$2,0)))</f>
        <v/>
      </c>
      <c r="AA258" s="2" t="str">
        <f t="shared" si="230"/>
        <v/>
      </c>
      <c r="AB258" s="2" t="str">
        <f t="shared" si="231"/>
        <v/>
      </c>
      <c r="AC258" s="2">
        <f>(SUM(G258,I258,K258,M258,O258,Q258,S258,U258,W258,Y258,AA258)+IF(AND(G258&gt;0,I258&gt;0,K258&gt;0),100,0))*VLOOKUP(B258,variables!$A$2:$B$6,2,FALSE)</f>
        <v>80</v>
      </c>
      <c r="AD258" s="16" t="str">
        <f>IF($A258="","",INDEX(v_data!$B$2:$X$1000,MATCH($A258,v_data!$A$3:$A$1000,0)+1,MATCH(LOWER("hours"),v_data!$B$2:$X$2,0)))</f>
        <v/>
      </c>
    </row>
    <row r="259" spans="1:30" hidden="1" x14ac:dyDescent="0.25">
      <c r="A259" s="2" t="str">
        <f>IF(ISBLANK(v_data!A258),"",v_data!A258)</f>
        <v/>
      </c>
      <c r="B259" s="2" t="s">
        <v>22</v>
      </c>
      <c r="C259" s="2">
        <f>VLOOKUP(B259,variables!$A$2:$B$6,2,FALSE)</f>
        <v>0.8</v>
      </c>
      <c r="D259" s="4">
        <v>43826</v>
      </c>
      <c r="E259" s="4">
        <v>43431</v>
      </c>
      <c r="F259" s="2" t="str">
        <f>IF($A259="","",INDEX(v_data!$B$2:$L$1000,MATCH($A259,v_data!$A$3:$A$1000,0)+1,MATCH(LOWER(F$1),v_data!$B$2:$L$2,0)))</f>
        <v/>
      </c>
      <c r="G259" s="2" t="str">
        <f t="shared" si="220"/>
        <v/>
      </c>
      <c r="H259" s="2" t="str">
        <f>IF($A259="","",INDEX(v_data!$B$2:$L$1000,MATCH($A259,v_data!$A$3:$A$1000,0)+1,MATCH(LOWER(H$1),v_data!$B$2:$L$2,0)))</f>
        <v/>
      </c>
      <c r="I259" s="2" t="str">
        <f t="shared" si="221"/>
        <v/>
      </c>
      <c r="J259" s="2" t="str">
        <f>IF($A259="","",INDEX(v_data!$B$2:$L$1000,MATCH($A259,v_data!$A$3:$A$1000,0)+1,MATCH(LOWER(J$1),v_data!$B$2:$L$2,0)))</f>
        <v/>
      </c>
      <c r="K259" s="2" t="str">
        <f t="shared" si="222"/>
        <v/>
      </c>
      <c r="L259" s="2" t="str">
        <f>IF($A259="","",INDEX(v_data!$B$2:$L$1000,MATCH($A259,v_data!$A$3:$A$1000,0)+1,MATCH(LOWER(L$1),v_data!$B$2:$L$2,0)))</f>
        <v/>
      </c>
      <c r="M259" s="2" t="str">
        <f t="shared" si="223"/>
        <v/>
      </c>
      <c r="N259" s="2" t="str">
        <f>IF($A259="","",INDEX(v_data!$B$2:$L$1000,MATCH($A259,v_data!$A$3:$A$1000,0)+1,MATCH(LOWER(N$1),v_data!$B$2:$L$2,0)))</f>
        <v/>
      </c>
      <c r="O259" s="2" t="str">
        <f t="shared" si="224"/>
        <v/>
      </c>
      <c r="P259" s="2" t="str">
        <f>IF($A259="","",INDEX(v_data!$B$2:$L$1000,MATCH($A259,v_data!$A$3:$A$1000,0)+1,MATCH(LOWER(P$1),v_data!$B$2:$L$2,0)))</f>
        <v/>
      </c>
      <c r="Q259" s="2" t="str">
        <f t="shared" si="225"/>
        <v/>
      </c>
      <c r="R259" s="2" t="str">
        <f>IF($A259="","",INDEX(v_data!$B$2:$L$1000,MATCH($A259,v_data!$A$3:$A$1000,0)+1,MATCH(LOWER(R$1),v_data!$B$2:$L$2,0)))</f>
        <v/>
      </c>
      <c r="S259" s="2" t="str">
        <f t="shared" si="226"/>
        <v/>
      </c>
      <c r="T259" s="2" t="str">
        <f>IF($A259="","",INDEX(v_data!$B$2:$L$1000,MATCH($A259,v_data!$A$3:$A$1000,0)+1,MATCH(LOWER(T$1),v_data!$B$2:$L$2,0)))</f>
        <v/>
      </c>
      <c r="U259" s="2" t="str">
        <f t="shared" si="227"/>
        <v/>
      </c>
      <c r="V259" s="2" t="str">
        <f>IF($A259="","",INDEX(v_data!$B$2:$L$1000,MATCH($A259,v_data!$A$3:$A$1000,0)+1,MATCH(LOWER(V$1),v_data!$B$2:$L$2,0)))</f>
        <v/>
      </c>
      <c r="W259" s="2" t="str">
        <f t="shared" si="228"/>
        <v/>
      </c>
      <c r="X259" s="2" t="str">
        <f>IF($A259="","",INDEX(v_data!$B$2:$L$1000,MATCH($A259,v_data!$A$3:$A$1000,0)+1,MATCH(LOWER(X$1),v_data!$B$2:$L$2,0)))</f>
        <v/>
      </c>
      <c r="Y259" s="2" t="str">
        <f t="shared" si="229"/>
        <v/>
      </c>
      <c r="Z259" s="2" t="str">
        <f>IF($A259="","",INDEX(v_data!$B$2:$L$1000,MATCH($A259,v_data!$A$3:$A$1000,0)+1,MATCH(LOWER(Z$1),v_data!$B$2:$L$2,0)))</f>
        <v/>
      </c>
      <c r="AA259" s="2" t="str">
        <f t="shared" si="230"/>
        <v/>
      </c>
      <c r="AB259" s="2" t="str">
        <f t="shared" si="231"/>
        <v/>
      </c>
      <c r="AC259" s="2">
        <f>(SUM(G259,I259,K259,M259,O259,Q259,S259,U259,W259,Y259,AA259)+IF(AND(G259&gt;0,I259&gt;0,K259&gt;0),100,0))*VLOOKUP(B259,variables!$A$2:$B$6,2,FALSE)</f>
        <v>80</v>
      </c>
      <c r="AD259" s="16" t="str">
        <f>IF($A259="","",INDEX(v_data!$B$2:$X$1000,MATCH($A259,v_data!$A$3:$A$1000,0)+1,MATCH(LOWER("hours"),v_data!$B$2:$X$2,0)))</f>
        <v/>
      </c>
    </row>
    <row r="260" spans="1:30" hidden="1" x14ac:dyDescent="0.25">
      <c r="A260" s="2" t="str">
        <f>IF(ISBLANK(v_data!A259),"",v_data!A259)</f>
        <v/>
      </c>
      <c r="B260" s="2" t="s">
        <v>22</v>
      </c>
      <c r="C260" s="2">
        <f>VLOOKUP(B260,variables!$A$2:$B$6,2,FALSE)</f>
        <v>0.8</v>
      </c>
      <c r="D260" s="4">
        <v>43826</v>
      </c>
      <c r="E260" s="4">
        <v>43431</v>
      </c>
      <c r="F260" s="2" t="str">
        <f>IF($A260="","",INDEX(v_data!$B$2:$L$1000,MATCH($A260,v_data!$A$3:$A$1000,0)+1,MATCH(LOWER(F$1),v_data!$B$2:$L$2,0)))</f>
        <v/>
      </c>
      <c r="G260" s="2" t="str">
        <f t="shared" si="220"/>
        <v/>
      </c>
      <c r="H260" s="2" t="str">
        <f>IF($A260="","",INDEX(v_data!$B$2:$L$1000,MATCH($A260,v_data!$A$3:$A$1000,0)+1,MATCH(LOWER(H$1),v_data!$B$2:$L$2,0)))</f>
        <v/>
      </c>
      <c r="I260" s="2" t="str">
        <f t="shared" si="221"/>
        <v/>
      </c>
      <c r="J260" s="2" t="str">
        <f>IF($A260="","",INDEX(v_data!$B$2:$L$1000,MATCH($A260,v_data!$A$3:$A$1000,0)+1,MATCH(LOWER(J$1),v_data!$B$2:$L$2,0)))</f>
        <v/>
      </c>
      <c r="K260" s="2" t="str">
        <f t="shared" si="222"/>
        <v/>
      </c>
      <c r="L260" s="2" t="str">
        <f>IF($A260="","",INDEX(v_data!$B$2:$L$1000,MATCH($A260,v_data!$A$3:$A$1000,0)+1,MATCH(LOWER(L$1),v_data!$B$2:$L$2,0)))</f>
        <v/>
      </c>
      <c r="M260" s="2" t="str">
        <f t="shared" si="223"/>
        <v/>
      </c>
      <c r="N260" s="2" t="str">
        <f>IF($A260="","",INDEX(v_data!$B$2:$L$1000,MATCH($A260,v_data!$A$3:$A$1000,0)+1,MATCH(LOWER(N$1),v_data!$B$2:$L$2,0)))</f>
        <v/>
      </c>
      <c r="O260" s="2" t="str">
        <f t="shared" si="224"/>
        <v/>
      </c>
      <c r="P260" s="2" t="str">
        <f>IF($A260="","",INDEX(v_data!$B$2:$L$1000,MATCH($A260,v_data!$A$3:$A$1000,0)+1,MATCH(LOWER(P$1),v_data!$B$2:$L$2,0)))</f>
        <v/>
      </c>
      <c r="Q260" s="2" t="str">
        <f t="shared" si="225"/>
        <v/>
      </c>
      <c r="R260" s="2" t="str">
        <f>IF($A260="","",INDEX(v_data!$B$2:$L$1000,MATCH($A260,v_data!$A$3:$A$1000,0)+1,MATCH(LOWER(R$1),v_data!$B$2:$L$2,0)))</f>
        <v/>
      </c>
      <c r="S260" s="2" t="str">
        <f t="shared" si="226"/>
        <v/>
      </c>
      <c r="T260" s="2" t="str">
        <f>IF($A260="","",INDEX(v_data!$B$2:$L$1000,MATCH($A260,v_data!$A$3:$A$1000,0)+1,MATCH(LOWER(T$1),v_data!$B$2:$L$2,0)))</f>
        <v/>
      </c>
      <c r="U260" s="2" t="str">
        <f t="shared" si="227"/>
        <v/>
      </c>
      <c r="V260" s="2" t="str">
        <f>IF($A260="","",INDEX(v_data!$B$2:$L$1000,MATCH($A260,v_data!$A$3:$A$1000,0)+1,MATCH(LOWER(V$1),v_data!$B$2:$L$2,0)))</f>
        <v/>
      </c>
      <c r="W260" s="2" t="str">
        <f t="shared" si="228"/>
        <v/>
      </c>
      <c r="X260" s="2" t="str">
        <f>IF($A260="","",INDEX(v_data!$B$2:$L$1000,MATCH($A260,v_data!$A$3:$A$1000,0)+1,MATCH(LOWER(X$1),v_data!$B$2:$L$2,0)))</f>
        <v/>
      </c>
      <c r="Y260" s="2" t="str">
        <f t="shared" si="229"/>
        <v/>
      </c>
      <c r="Z260" s="2" t="str">
        <f>IF($A260="","",INDEX(v_data!$B$2:$L$1000,MATCH($A260,v_data!$A$3:$A$1000,0)+1,MATCH(LOWER(Z$1),v_data!$B$2:$L$2,0)))</f>
        <v/>
      </c>
      <c r="AA260" s="2" t="str">
        <f t="shared" si="230"/>
        <v/>
      </c>
      <c r="AB260" s="2" t="str">
        <f t="shared" si="231"/>
        <v/>
      </c>
      <c r="AC260" s="2">
        <f>(SUM(G260,I260,K260,M260,O260,Q260,S260,U260,W260,Y260,AA260)+IF(AND(G260&gt;0,I260&gt;0,K260&gt;0),100,0))*VLOOKUP(B260,variables!$A$2:$B$6,2,FALSE)</f>
        <v>80</v>
      </c>
      <c r="AD260" s="16" t="str">
        <f>IF($A260="","",INDEX(v_data!$B$2:$X$1000,MATCH($A260,v_data!$A$3:$A$1000,0)+1,MATCH(LOWER("hours"),v_data!$B$2:$X$2,0)))</f>
        <v/>
      </c>
    </row>
    <row r="261" spans="1:30" hidden="1" x14ac:dyDescent="0.25">
      <c r="A261" s="2" t="str">
        <f>IF(ISBLANK(v_data!A260),"",v_data!A260)</f>
        <v/>
      </c>
      <c r="B261" s="2" t="s">
        <v>22</v>
      </c>
      <c r="C261" s="2">
        <f>VLOOKUP(B261,variables!$A$2:$B$6,2,FALSE)</f>
        <v>0.8</v>
      </c>
      <c r="D261" s="4">
        <v>43826</v>
      </c>
      <c r="E261" s="4">
        <v>43431</v>
      </c>
      <c r="F261" s="2" t="str">
        <f>IF($A261="","",INDEX(v_data!$B$2:$L$1000,MATCH($A261,v_data!$A$3:$A$1000,0)+1,MATCH(LOWER(F$1),v_data!$B$2:$L$2,0)))</f>
        <v/>
      </c>
      <c r="G261" s="2" t="str">
        <f t="shared" si="220"/>
        <v/>
      </c>
      <c r="H261" s="2" t="str">
        <f>IF($A261="","",INDEX(v_data!$B$2:$L$1000,MATCH($A261,v_data!$A$3:$A$1000,0)+1,MATCH(LOWER(H$1),v_data!$B$2:$L$2,0)))</f>
        <v/>
      </c>
      <c r="I261" s="2" t="str">
        <f t="shared" si="221"/>
        <v/>
      </c>
      <c r="J261" s="2" t="str">
        <f>IF($A261="","",INDEX(v_data!$B$2:$L$1000,MATCH($A261,v_data!$A$3:$A$1000,0)+1,MATCH(LOWER(J$1),v_data!$B$2:$L$2,0)))</f>
        <v/>
      </c>
      <c r="K261" s="2" t="str">
        <f t="shared" si="222"/>
        <v/>
      </c>
      <c r="L261" s="2" t="str">
        <f>IF($A261="","",INDEX(v_data!$B$2:$L$1000,MATCH($A261,v_data!$A$3:$A$1000,0)+1,MATCH(LOWER(L$1),v_data!$B$2:$L$2,0)))</f>
        <v/>
      </c>
      <c r="M261" s="2" t="str">
        <f t="shared" si="223"/>
        <v/>
      </c>
      <c r="N261" s="2" t="str">
        <f>IF($A261="","",INDEX(v_data!$B$2:$L$1000,MATCH($A261,v_data!$A$3:$A$1000,0)+1,MATCH(LOWER(N$1),v_data!$B$2:$L$2,0)))</f>
        <v/>
      </c>
      <c r="O261" s="2" t="str">
        <f t="shared" si="224"/>
        <v/>
      </c>
      <c r="P261" s="2" t="str">
        <f>IF($A261="","",INDEX(v_data!$B$2:$L$1000,MATCH($A261,v_data!$A$3:$A$1000,0)+1,MATCH(LOWER(P$1),v_data!$B$2:$L$2,0)))</f>
        <v/>
      </c>
      <c r="Q261" s="2" t="str">
        <f t="shared" si="225"/>
        <v/>
      </c>
      <c r="R261" s="2" t="str">
        <f>IF($A261="","",INDEX(v_data!$B$2:$L$1000,MATCH($A261,v_data!$A$3:$A$1000,0)+1,MATCH(LOWER(R$1),v_data!$B$2:$L$2,0)))</f>
        <v/>
      </c>
      <c r="S261" s="2" t="str">
        <f t="shared" si="226"/>
        <v/>
      </c>
      <c r="T261" s="2" t="str">
        <f>IF($A261="","",INDEX(v_data!$B$2:$L$1000,MATCH($A261,v_data!$A$3:$A$1000,0)+1,MATCH(LOWER(T$1),v_data!$B$2:$L$2,0)))</f>
        <v/>
      </c>
      <c r="U261" s="2" t="str">
        <f t="shared" si="227"/>
        <v/>
      </c>
      <c r="V261" s="2" t="str">
        <f>IF($A261="","",INDEX(v_data!$B$2:$L$1000,MATCH($A261,v_data!$A$3:$A$1000,0)+1,MATCH(LOWER(V$1),v_data!$B$2:$L$2,0)))</f>
        <v/>
      </c>
      <c r="W261" s="2" t="str">
        <f t="shared" si="228"/>
        <v/>
      </c>
      <c r="X261" s="2" t="str">
        <f>IF($A261="","",INDEX(v_data!$B$2:$L$1000,MATCH($A261,v_data!$A$3:$A$1000,0)+1,MATCH(LOWER(X$1),v_data!$B$2:$L$2,0)))</f>
        <v/>
      </c>
      <c r="Y261" s="2" t="str">
        <f t="shared" si="229"/>
        <v/>
      </c>
      <c r="Z261" s="2" t="str">
        <f>IF($A261="","",INDEX(v_data!$B$2:$L$1000,MATCH($A261,v_data!$A$3:$A$1000,0)+1,MATCH(LOWER(Z$1),v_data!$B$2:$L$2,0)))</f>
        <v/>
      </c>
      <c r="AA261" s="2" t="str">
        <f t="shared" si="230"/>
        <v/>
      </c>
      <c r="AB261" s="2" t="str">
        <f t="shared" si="231"/>
        <v/>
      </c>
      <c r="AC261" s="2">
        <f>(SUM(G261,I261,K261,M261,O261,Q261,S261,U261,W261,Y261,AA261)+IF(AND(G261&gt;0,I261&gt;0,K261&gt;0),100,0))*VLOOKUP(B261,variables!$A$2:$B$6,2,FALSE)</f>
        <v>80</v>
      </c>
      <c r="AD261" s="16" t="str">
        <f>IF($A261="","",INDEX(v_data!$B$2:$X$1000,MATCH($A261,v_data!$A$3:$A$1000,0)+1,MATCH(LOWER("hours"),v_data!$B$2:$X$2,0)))</f>
        <v/>
      </c>
    </row>
    <row r="262" spans="1:30" hidden="1" x14ac:dyDescent="0.25">
      <c r="A262" s="2" t="str">
        <f>IF(ISBLANK(v_data!A261),"",v_data!A261)</f>
        <v/>
      </c>
      <c r="B262" s="2" t="s">
        <v>22</v>
      </c>
      <c r="C262" s="2">
        <f>VLOOKUP(B262,variables!$A$2:$B$6,2,FALSE)</f>
        <v>0.8</v>
      </c>
      <c r="D262" s="4">
        <v>43826</v>
      </c>
      <c r="E262" s="4">
        <v>43431</v>
      </c>
      <c r="F262" s="2" t="str">
        <f>IF($A262="","",INDEX(v_data!$B$2:$L$1000,MATCH($A262,v_data!$A$3:$A$1000,0)+1,MATCH(LOWER(F$1),v_data!$B$2:$L$2,0)))</f>
        <v/>
      </c>
      <c r="G262" s="2" t="str">
        <f t="shared" si="220"/>
        <v/>
      </c>
      <c r="H262" s="2" t="str">
        <f>IF($A262="","",INDEX(v_data!$B$2:$L$1000,MATCH($A262,v_data!$A$3:$A$1000,0)+1,MATCH(LOWER(H$1),v_data!$B$2:$L$2,0)))</f>
        <v/>
      </c>
      <c r="I262" s="2" t="str">
        <f t="shared" si="221"/>
        <v/>
      </c>
      <c r="J262" s="2" t="str">
        <f>IF($A262="","",INDEX(v_data!$B$2:$L$1000,MATCH($A262,v_data!$A$3:$A$1000,0)+1,MATCH(LOWER(J$1),v_data!$B$2:$L$2,0)))</f>
        <v/>
      </c>
      <c r="K262" s="2" t="str">
        <f t="shared" si="222"/>
        <v/>
      </c>
      <c r="L262" s="2" t="str">
        <f>IF($A262="","",INDEX(v_data!$B$2:$L$1000,MATCH($A262,v_data!$A$3:$A$1000,0)+1,MATCH(LOWER(L$1),v_data!$B$2:$L$2,0)))</f>
        <v/>
      </c>
      <c r="M262" s="2" t="str">
        <f t="shared" si="223"/>
        <v/>
      </c>
      <c r="N262" s="2" t="str">
        <f>IF($A262="","",INDEX(v_data!$B$2:$L$1000,MATCH($A262,v_data!$A$3:$A$1000,0)+1,MATCH(LOWER(N$1),v_data!$B$2:$L$2,0)))</f>
        <v/>
      </c>
      <c r="O262" s="2" t="str">
        <f t="shared" si="224"/>
        <v/>
      </c>
      <c r="P262" s="2" t="str">
        <f>IF($A262="","",INDEX(v_data!$B$2:$L$1000,MATCH($A262,v_data!$A$3:$A$1000,0)+1,MATCH(LOWER(P$1),v_data!$B$2:$L$2,0)))</f>
        <v/>
      </c>
      <c r="Q262" s="2" t="str">
        <f t="shared" si="225"/>
        <v/>
      </c>
      <c r="R262" s="2" t="str">
        <f>IF($A262="","",INDEX(v_data!$B$2:$L$1000,MATCH($A262,v_data!$A$3:$A$1000,0)+1,MATCH(LOWER(R$1),v_data!$B$2:$L$2,0)))</f>
        <v/>
      </c>
      <c r="S262" s="2" t="str">
        <f t="shared" si="226"/>
        <v/>
      </c>
      <c r="T262" s="2" t="str">
        <f>IF($A262="","",INDEX(v_data!$B$2:$L$1000,MATCH($A262,v_data!$A$3:$A$1000,0)+1,MATCH(LOWER(T$1),v_data!$B$2:$L$2,0)))</f>
        <v/>
      </c>
      <c r="U262" s="2" t="str">
        <f t="shared" si="227"/>
        <v/>
      </c>
      <c r="V262" s="2" t="str">
        <f>IF($A262="","",INDEX(v_data!$B$2:$L$1000,MATCH($A262,v_data!$A$3:$A$1000,0)+1,MATCH(LOWER(V$1),v_data!$B$2:$L$2,0)))</f>
        <v/>
      </c>
      <c r="W262" s="2" t="str">
        <f t="shared" si="228"/>
        <v/>
      </c>
      <c r="X262" s="2" t="str">
        <f>IF($A262="","",INDEX(v_data!$B$2:$L$1000,MATCH($A262,v_data!$A$3:$A$1000,0)+1,MATCH(LOWER(X$1),v_data!$B$2:$L$2,0)))</f>
        <v/>
      </c>
      <c r="Y262" s="2" t="str">
        <f t="shared" si="229"/>
        <v/>
      </c>
      <c r="Z262" s="2" t="str">
        <f>IF($A262="","",INDEX(v_data!$B$2:$L$1000,MATCH($A262,v_data!$A$3:$A$1000,0)+1,MATCH(LOWER(Z$1),v_data!$B$2:$L$2,0)))</f>
        <v/>
      </c>
      <c r="AA262" s="2" t="str">
        <f t="shared" si="230"/>
        <v/>
      </c>
      <c r="AB262" s="2" t="str">
        <f t="shared" si="231"/>
        <v/>
      </c>
      <c r="AC262" s="2">
        <f>(SUM(G262,I262,K262,M262,O262,Q262,S262,U262,W262,Y262,AA262)+IF(AND(G262&gt;0,I262&gt;0,K262&gt;0),100,0))*VLOOKUP(B262,variables!$A$2:$B$6,2,FALSE)</f>
        <v>80</v>
      </c>
      <c r="AD262" s="16" t="str">
        <f>IF($A262="","",INDEX(v_data!$B$2:$X$1000,MATCH($A262,v_data!$A$3:$A$1000,0)+1,MATCH(LOWER("hours"),v_data!$B$2:$X$2,0)))</f>
        <v/>
      </c>
    </row>
    <row r="263" spans="1:30" hidden="1" x14ac:dyDescent="0.25">
      <c r="A263" s="2" t="str">
        <f>IF(ISBLANK(v_data!A262),"",v_data!A262)</f>
        <v/>
      </c>
      <c r="B263" s="2" t="s">
        <v>22</v>
      </c>
      <c r="C263" s="2">
        <f>VLOOKUP(B263,variables!$A$2:$B$6,2,FALSE)</f>
        <v>0.8</v>
      </c>
      <c r="D263" s="4">
        <v>43826</v>
      </c>
      <c r="E263" s="4">
        <v>43431</v>
      </c>
      <c r="F263" s="2" t="str">
        <f>IF($A263="","",INDEX(v_data!$B$2:$L$1000,MATCH($A263,v_data!$A$3:$A$1000,0)+1,MATCH(LOWER(F$1),v_data!$B$2:$L$2,0)))</f>
        <v/>
      </c>
      <c r="G263" s="2" t="str">
        <f t="shared" si="220"/>
        <v/>
      </c>
      <c r="H263" s="2" t="str">
        <f>IF($A263="","",INDEX(v_data!$B$2:$L$1000,MATCH($A263,v_data!$A$3:$A$1000,0)+1,MATCH(LOWER(H$1),v_data!$B$2:$L$2,0)))</f>
        <v/>
      </c>
      <c r="I263" s="2" t="str">
        <f t="shared" si="221"/>
        <v/>
      </c>
      <c r="J263" s="2" t="str">
        <f>IF($A263="","",INDEX(v_data!$B$2:$L$1000,MATCH($A263,v_data!$A$3:$A$1000,0)+1,MATCH(LOWER(J$1),v_data!$B$2:$L$2,0)))</f>
        <v/>
      </c>
      <c r="K263" s="2" t="str">
        <f t="shared" si="222"/>
        <v/>
      </c>
      <c r="L263" s="2" t="str">
        <f>IF($A263="","",INDEX(v_data!$B$2:$L$1000,MATCH($A263,v_data!$A$3:$A$1000,0)+1,MATCH(LOWER(L$1),v_data!$B$2:$L$2,0)))</f>
        <v/>
      </c>
      <c r="M263" s="2" t="str">
        <f t="shared" si="223"/>
        <v/>
      </c>
      <c r="N263" s="2" t="str">
        <f>IF($A263="","",INDEX(v_data!$B$2:$L$1000,MATCH($A263,v_data!$A$3:$A$1000,0)+1,MATCH(LOWER(N$1),v_data!$B$2:$L$2,0)))</f>
        <v/>
      </c>
      <c r="O263" s="2" t="str">
        <f t="shared" si="224"/>
        <v/>
      </c>
      <c r="P263" s="2" t="str">
        <f>IF($A263="","",INDEX(v_data!$B$2:$L$1000,MATCH($A263,v_data!$A$3:$A$1000,0)+1,MATCH(LOWER(P$1),v_data!$B$2:$L$2,0)))</f>
        <v/>
      </c>
      <c r="Q263" s="2" t="str">
        <f t="shared" si="225"/>
        <v/>
      </c>
      <c r="R263" s="2" t="str">
        <f>IF($A263="","",INDEX(v_data!$B$2:$L$1000,MATCH($A263,v_data!$A$3:$A$1000,0)+1,MATCH(LOWER(R$1),v_data!$B$2:$L$2,0)))</f>
        <v/>
      </c>
      <c r="S263" s="2" t="str">
        <f t="shared" si="226"/>
        <v/>
      </c>
      <c r="T263" s="2" t="str">
        <f>IF($A263="","",INDEX(v_data!$B$2:$L$1000,MATCH($A263,v_data!$A$3:$A$1000,0)+1,MATCH(LOWER(T$1),v_data!$B$2:$L$2,0)))</f>
        <v/>
      </c>
      <c r="U263" s="2" t="str">
        <f t="shared" si="227"/>
        <v/>
      </c>
      <c r="V263" s="2" t="str">
        <f>IF($A263="","",INDEX(v_data!$B$2:$L$1000,MATCH($A263,v_data!$A$3:$A$1000,0)+1,MATCH(LOWER(V$1),v_data!$B$2:$L$2,0)))</f>
        <v/>
      </c>
      <c r="W263" s="2" t="str">
        <f t="shared" si="228"/>
        <v/>
      </c>
      <c r="X263" s="2" t="str">
        <f>IF($A263="","",INDEX(v_data!$B$2:$L$1000,MATCH($A263,v_data!$A$3:$A$1000,0)+1,MATCH(LOWER(X$1),v_data!$B$2:$L$2,0)))</f>
        <v/>
      </c>
      <c r="Y263" s="2" t="str">
        <f t="shared" si="229"/>
        <v/>
      </c>
      <c r="Z263" s="2" t="str">
        <f>IF($A263="","",INDEX(v_data!$B$2:$L$1000,MATCH($A263,v_data!$A$3:$A$1000,0)+1,MATCH(LOWER(Z$1),v_data!$B$2:$L$2,0)))</f>
        <v/>
      </c>
      <c r="AA263" s="2" t="str">
        <f t="shared" si="230"/>
        <v/>
      </c>
      <c r="AB263" s="2" t="str">
        <f t="shared" si="231"/>
        <v/>
      </c>
      <c r="AC263" s="2">
        <f>(SUM(G263,I263,K263,M263,O263,Q263,S263,U263,W263,Y263,AA263)+IF(AND(G263&gt;0,I263&gt;0,K263&gt;0),100,0))*VLOOKUP(B263,variables!$A$2:$B$6,2,FALSE)</f>
        <v>80</v>
      </c>
      <c r="AD263" s="16" t="str">
        <f>IF($A263="","",INDEX(v_data!$B$2:$X$1000,MATCH($A263,v_data!$A$3:$A$1000,0)+1,MATCH(LOWER("hours"),v_data!$B$2:$X$2,0)))</f>
        <v/>
      </c>
    </row>
    <row r="264" spans="1:30" hidden="1" x14ac:dyDescent="0.25">
      <c r="A264" s="2" t="str">
        <f>IF(ISBLANK(v_data!A263),"",v_data!A263)</f>
        <v/>
      </c>
      <c r="B264" s="2" t="s">
        <v>22</v>
      </c>
      <c r="C264" s="2">
        <f>VLOOKUP(B264,variables!$A$2:$B$6,2,FALSE)</f>
        <v>0.8</v>
      </c>
      <c r="D264" s="4">
        <v>43826</v>
      </c>
      <c r="E264" s="4">
        <v>43431</v>
      </c>
      <c r="F264" s="2" t="str">
        <f>IF($A264="","",INDEX(v_data!$B$2:$L$1000,MATCH($A264,v_data!$A$3:$A$1000,0)+1,MATCH(LOWER(F$1),v_data!$B$2:$L$2,0)))</f>
        <v/>
      </c>
      <c r="G264" s="2" t="str">
        <f t="shared" si="220"/>
        <v/>
      </c>
      <c r="H264" s="2" t="str">
        <f>IF($A264="","",INDEX(v_data!$B$2:$L$1000,MATCH($A264,v_data!$A$3:$A$1000,0)+1,MATCH(LOWER(H$1),v_data!$B$2:$L$2,0)))</f>
        <v/>
      </c>
      <c r="I264" s="2" t="str">
        <f t="shared" si="221"/>
        <v/>
      </c>
      <c r="J264" s="2" t="str">
        <f>IF($A264="","",INDEX(v_data!$B$2:$L$1000,MATCH($A264,v_data!$A$3:$A$1000,0)+1,MATCH(LOWER(J$1),v_data!$B$2:$L$2,0)))</f>
        <v/>
      </c>
      <c r="K264" s="2" t="str">
        <f t="shared" si="222"/>
        <v/>
      </c>
      <c r="L264" s="2" t="str">
        <f>IF($A264="","",INDEX(v_data!$B$2:$L$1000,MATCH($A264,v_data!$A$3:$A$1000,0)+1,MATCH(LOWER(L$1),v_data!$B$2:$L$2,0)))</f>
        <v/>
      </c>
      <c r="M264" s="2" t="str">
        <f t="shared" si="223"/>
        <v/>
      </c>
      <c r="N264" s="2" t="str">
        <f>IF($A264="","",INDEX(v_data!$B$2:$L$1000,MATCH($A264,v_data!$A$3:$A$1000,0)+1,MATCH(LOWER(N$1),v_data!$B$2:$L$2,0)))</f>
        <v/>
      </c>
      <c r="O264" s="2" t="str">
        <f t="shared" si="224"/>
        <v/>
      </c>
      <c r="P264" s="2" t="str">
        <f>IF($A264="","",INDEX(v_data!$B$2:$L$1000,MATCH($A264,v_data!$A$3:$A$1000,0)+1,MATCH(LOWER(P$1),v_data!$B$2:$L$2,0)))</f>
        <v/>
      </c>
      <c r="Q264" s="2" t="str">
        <f t="shared" si="225"/>
        <v/>
      </c>
      <c r="R264" s="2" t="str">
        <f>IF($A264="","",INDEX(v_data!$B$2:$L$1000,MATCH($A264,v_data!$A$3:$A$1000,0)+1,MATCH(LOWER(R$1),v_data!$B$2:$L$2,0)))</f>
        <v/>
      </c>
      <c r="S264" s="2" t="str">
        <f t="shared" si="226"/>
        <v/>
      </c>
      <c r="T264" s="2" t="str">
        <f>IF($A264="","",INDEX(v_data!$B$2:$L$1000,MATCH($A264,v_data!$A$3:$A$1000,0)+1,MATCH(LOWER(T$1),v_data!$B$2:$L$2,0)))</f>
        <v/>
      </c>
      <c r="U264" s="2" t="str">
        <f t="shared" si="227"/>
        <v/>
      </c>
      <c r="V264" s="2" t="str">
        <f>IF($A264="","",INDEX(v_data!$B$2:$L$1000,MATCH($A264,v_data!$A$3:$A$1000,0)+1,MATCH(LOWER(V$1),v_data!$B$2:$L$2,0)))</f>
        <v/>
      </c>
      <c r="W264" s="2" t="str">
        <f t="shared" si="228"/>
        <v/>
      </c>
      <c r="X264" s="2" t="str">
        <f>IF($A264="","",INDEX(v_data!$B$2:$L$1000,MATCH($A264,v_data!$A$3:$A$1000,0)+1,MATCH(LOWER(X$1),v_data!$B$2:$L$2,0)))</f>
        <v/>
      </c>
      <c r="Y264" s="2" t="str">
        <f t="shared" si="229"/>
        <v/>
      </c>
      <c r="Z264" s="2" t="str">
        <f>IF($A264="","",INDEX(v_data!$B$2:$L$1000,MATCH($A264,v_data!$A$3:$A$1000,0)+1,MATCH(LOWER(Z$1),v_data!$B$2:$L$2,0)))</f>
        <v/>
      </c>
      <c r="AA264" s="2" t="str">
        <f t="shared" si="230"/>
        <v/>
      </c>
      <c r="AB264" s="2" t="str">
        <f t="shared" si="231"/>
        <v/>
      </c>
      <c r="AC264" s="2">
        <f>(SUM(G264,I264,K264,M264,O264,Q264,S264,U264,W264,Y264,AA264)+IF(AND(G264&gt;0,I264&gt;0,K264&gt;0),100,0))*VLOOKUP(B264,variables!$A$2:$B$6,2,FALSE)</f>
        <v>80</v>
      </c>
      <c r="AD264" s="16" t="str">
        <f>IF($A264="","",INDEX(v_data!$B$2:$X$1000,MATCH($A264,v_data!$A$3:$A$1000,0)+1,MATCH(LOWER("hours"),v_data!$B$2:$X$2,0)))</f>
        <v/>
      </c>
    </row>
    <row r="265" spans="1:30" hidden="1" x14ac:dyDescent="0.25">
      <c r="A265" s="2" t="str">
        <f>IF(ISBLANK(v_data!A264),"",v_data!A264)</f>
        <v/>
      </c>
      <c r="B265" s="2" t="s">
        <v>22</v>
      </c>
      <c r="C265" s="2">
        <f>VLOOKUP(B265,variables!$A$2:$B$6,2,FALSE)</f>
        <v>0.8</v>
      </c>
      <c r="D265" s="4">
        <v>43826</v>
      </c>
      <c r="E265" s="4">
        <v>43431</v>
      </c>
      <c r="F265" s="2" t="str">
        <f>IF($A265="","",INDEX(v_data!$B$2:$L$1000,MATCH($A265,v_data!$A$3:$A$1000,0)+1,MATCH(LOWER(F$1),v_data!$B$2:$L$2,0)))</f>
        <v/>
      </c>
      <c r="G265" s="2" t="str">
        <f t="shared" si="220"/>
        <v/>
      </c>
      <c r="H265" s="2" t="str">
        <f>IF($A265="","",INDEX(v_data!$B$2:$L$1000,MATCH($A265,v_data!$A$3:$A$1000,0)+1,MATCH(LOWER(H$1),v_data!$B$2:$L$2,0)))</f>
        <v/>
      </c>
      <c r="I265" s="2" t="str">
        <f t="shared" si="221"/>
        <v/>
      </c>
      <c r="J265" s="2" t="str">
        <f>IF($A265="","",INDEX(v_data!$B$2:$L$1000,MATCH($A265,v_data!$A$3:$A$1000,0)+1,MATCH(LOWER(J$1),v_data!$B$2:$L$2,0)))</f>
        <v/>
      </c>
      <c r="K265" s="2" t="str">
        <f t="shared" si="222"/>
        <v/>
      </c>
      <c r="L265" s="2" t="str">
        <f>IF($A265="","",INDEX(v_data!$B$2:$L$1000,MATCH($A265,v_data!$A$3:$A$1000,0)+1,MATCH(LOWER(L$1),v_data!$B$2:$L$2,0)))</f>
        <v/>
      </c>
      <c r="M265" s="2" t="str">
        <f t="shared" si="223"/>
        <v/>
      </c>
      <c r="N265" s="2" t="str">
        <f>IF($A265="","",INDEX(v_data!$B$2:$L$1000,MATCH($A265,v_data!$A$3:$A$1000,0)+1,MATCH(LOWER(N$1),v_data!$B$2:$L$2,0)))</f>
        <v/>
      </c>
      <c r="O265" s="2" t="str">
        <f t="shared" si="224"/>
        <v/>
      </c>
      <c r="P265" s="2" t="str">
        <f>IF($A265="","",INDEX(v_data!$B$2:$L$1000,MATCH($A265,v_data!$A$3:$A$1000,0)+1,MATCH(LOWER(P$1),v_data!$B$2:$L$2,0)))</f>
        <v/>
      </c>
      <c r="Q265" s="2" t="str">
        <f t="shared" si="225"/>
        <v/>
      </c>
      <c r="R265" s="2" t="str">
        <f>IF($A265="","",INDEX(v_data!$B$2:$L$1000,MATCH($A265,v_data!$A$3:$A$1000,0)+1,MATCH(LOWER(R$1),v_data!$B$2:$L$2,0)))</f>
        <v/>
      </c>
      <c r="S265" s="2" t="str">
        <f t="shared" si="226"/>
        <v/>
      </c>
      <c r="T265" s="2" t="str">
        <f>IF($A265="","",INDEX(v_data!$B$2:$L$1000,MATCH($A265,v_data!$A$3:$A$1000,0)+1,MATCH(LOWER(T$1),v_data!$B$2:$L$2,0)))</f>
        <v/>
      </c>
      <c r="U265" s="2" t="str">
        <f t="shared" si="227"/>
        <v/>
      </c>
      <c r="V265" s="2" t="str">
        <f>IF($A265="","",INDEX(v_data!$B$2:$L$1000,MATCH($A265,v_data!$A$3:$A$1000,0)+1,MATCH(LOWER(V$1),v_data!$B$2:$L$2,0)))</f>
        <v/>
      </c>
      <c r="W265" s="2" t="str">
        <f t="shared" si="228"/>
        <v/>
      </c>
      <c r="X265" s="2" t="str">
        <f>IF($A265="","",INDEX(v_data!$B$2:$L$1000,MATCH($A265,v_data!$A$3:$A$1000,0)+1,MATCH(LOWER(X$1),v_data!$B$2:$L$2,0)))</f>
        <v/>
      </c>
      <c r="Y265" s="2" t="str">
        <f t="shared" si="229"/>
        <v/>
      </c>
      <c r="Z265" s="2" t="str">
        <f>IF($A265="","",INDEX(v_data!$B$2:$L$1000,MATCH($A265,v_data!$A$3:$A$1000,0)+1,MATCH(LOWER(Z$1),v_data!$B$2:$L$2,0)))</f>
        <v/>
      </c>
      <c r="AA265" s="2" t="str">
        <f t="shared" si="230"/>
        <v/>
      </c>
      <c r="AB265" s="2" t="str">
        <f t="shared" si="231"/>
        <v/>
      </c>
      <c r="AC265" s="2">
        <f>(SUM(G265,I265,K265,M265,O265,Q265,S265,U265,W265,Y265,AA265)+IF(AND(G265&gt;0,I265&gt;0,K265&gt;0),100,0))*VLOOKUP(B265,variables!$A$2:$B$6,2,FALSE)</f>
        <v>80</v>
      </c>
      <c r="AD265" s="16" t="str">
        <f>IF($A265="","",INDEX(v_data!$B$2:$X$1000,MATCH($A265,v_data!$A$3:$A$1000,0)+1,MATCH(LOWER("hours"),v_data!$B$2:$X$2,0)))</f>
        <v/>
      </c>
    </row>
    <row r="266" spans="1:30" hidden="1" x14ac:dyDescent="0.25">
      <c r="A266" s="2" t="str">
        <f>IF(ISBLANK(v_data!A265),"",v_data!A265)</f>
        <v/>
      </c>
      <c r="B266" s="2" t="s">
        <v>22</v>
      </c>
      <c r="C266" s="2">
        <f>VLOOKUP(B266,variables!$A$2:$B$6,2,FALSE)</f>
        <v>0.8</v>
      </c>
      <c r="D266" s="4">
        <v>43826</v>
      </c>
      <c r="E266" s="4">
        <v>43431</v>
      </c>
      <c r="F266" s="2" t="str">
        <f>IF($A266="","",INDEX(v_data!$B$2:$L$1000,MATCH($A266,v_data!$A$3:$A$1000,0)+1,MATCH(LOWER(F$1),v_data!$B$2:$L$2,0)))</f>
        <v/>
      </c>
      <c r="G266" s="2" t="str">
        <f t="shared" si="220"/>
        <v/>
      </c>
      <c r="H266" s="2" t="str">
        <f>IF($A266="","",INDEX(v_data!$B$2:$L$1000,MATCH($A266,v_data!$A$3:$A$1000,0)+1,MATCH(LOWER(H$1),v_data!$B$2:$L$2,0)))</f>
        <v/>
      </c>
      <c r="I266" s="2" t="str">
        <f t="shared" si="221"/>
        <v/>
      </c>
      <c r="J266" s="2" t="str">
        <f>IF($A266="","",INDEX(v_data!$B$2:$L$1000,MATCH($A266,v_data!$A$3:$A$1000,0)+1,MATCH(LOWER(J$1),v_data!$B$2:$L$2,0)))</f>
        <v/>
      </c>
      <c r="K266" s="2" t="str">
        <f t="shared" si="222"/>
        <v/>
      </c>
      <c r="L266" s="2" t="str">
        <f>IF($A266="","",INDEX(v_data!$B$2:$L$1000,MATCH($A266,v_data!$A$3:$A$1000,0)+1,MATCH(LOWER(L$1),v_data!$B$2:$L$2,0)))</f>
        <v/>
      </c>
      <c r="M266" s="2" t="str">
        <f t="shared" si="223"/>
        <v/>
      </c>
      <c r="N266" s="2" t="str">
        <f>IF($A266="","",INDEX(v_data!$B$2:$L$1000,MATCH($A266,v_data!$A$3:$A$1000,0)+1,MATCH(LOWER(N$1),v_data!$B$2:$L$2,0)))</f>
        <v/>
      </c>
      <c r="O266" s="2" t="str">
        <f t="shared" si="224"/>
        <v/>
      </c>
      <c r="P266" s="2" t="str">
        <f>IF($A266="","",INDEX(v_data!$B$2:$L$1000,MATCH($A266,v_data!$A$3:$A$1000,0)+1,MATCH(LOWER(P$1),v_data!$B$2:$L$2,0)))</f>
        <v/>
      </c>
      <c r="Q266" s="2" t="str">
        <f t="shared" si="225"/>
        <v/>
      </c>
      <c r="R266" s="2" t="str">
        <f>IF($A266="","",INDEX(v_data!$B$2:$L$1000,MATCH($A266,v_data!$A$3:$A$1000,0)+1,MATCH(LOWER(R$1),v_data!$B$2:$L$2,0)))</f>
        <v/>
      </c>
      <c r="S266" s="2" t="str">
        <f t="shared" si="226"/>
        <v/>
      </c>
      <c r="T266" s="2" t="str">
        <f>IF($A266="","",INDEX(v_data!$B$2:$L$1000,MATCH($A266,v_data!$A$3:$A$1000,0)+1,MATCH(LOWER(T$1),v_data!$B$2:$L$2,0)))</f>
        <v/>
      </c>
      <c r="U266" s="2" t="str">
        <f t="shared" si="227"/>
        <v/>
      </c>
      <c r="V266" s="2" t="str">
        <f>IF($A266="","",INDEX(v_data!$B$2:$L$1000,MATCH($A266,v_data!$A$3:$A$1000,0)+1,MATCH(LOWER(V$1),v_data!$B$2:$L$2,0)))</f>
        <v/>
      </c>
      <c r="W266" s="2" t="str">
        <f t="shared" si="228"/>
        <v/>
      </c>
      <c r="X266" s="2" t="str">
        <f>IF($A266="","",INDEX(v_data!$B$2:$L$1000,MATCH($A266,v_data!$A$3:$A$1000,0)+1,MATCH(LOWER(X$1),v_data!$B$2:$L$2,0)))</f>
        <v/>
      </c>
      <c r="Y266" s="2" t="str">
        <f t="shared" si="229"/>
        <v/>
      </c>
      <c r="Z266" s="2" t="str">
        <f>IF($A266="","",INDEX(v_data!$B$2:$L$1000,MATCH($A266,v_data!$A$3:$A$1000,0)+1,MATCH(LOWER(Z$1),v_data!$B$2:$L$2,0)))</f>
        <v/>
      </c>
      <c r="AA266" s="2" t="str">
        <f t="shared" si="230"/>
        <v/>
      </c>
      <c r="AB266" s="2" t="str">
        <f t="shared" si="231"/>
        <v/>
      </c>
      <c r="AC266" s="2">
        <f>(SUM(G266,I266,K266,M266,O266,Q266,S266,U266,W266,Y266,AA266)+IF(AND(G266&gt;0,I266&gt;0,K266&gt;0),100,0))*VLOOKUP(B266,variables!$A$2:$B$6,2,FALSE)</f>
        <v>80</v>
      </c>
      <c r="AD266" s="16" t="str">
        <f>IF($A266="","",INDEX(v_data!$B$2:$X$1000,MATCH($A266,v_data!$A$3:$A$1000,0)+1,MATCH(LOWER("hours"),v_data!$B$2:$X$2,0)))</f>
        <v/>
      </c>
    </row>
    <row r="267" spans="1:30" hidden="1" x14ac:dyDescent="0.25">
      <c r="A267" s="2" t="str">
        <f>IF(ISBLANK(v_data!A266),"",v_data!A266)</f>
        <v/>
      </c>
      <c r="B267" s="2" t="s">
        <v>22</v>
      </c>
      <c r="C267" s="2">
        <f>VLOOKUP(B267,variables!$A$2:$B$6,2,FALSE)</f>
        <v>0.8</v>
      </c>
      <c r="D267" s="4">
        <v>43826</v>
      </c>
      <c r="E267" s="4">
        <v>43431</v>
      </c>
      <c r="F267" s="2" t="str">
        <f>IF($A267="","",INDEX(v_data!$B$2:$L$1000,MATCH($A267,v_data!$A$3:$A$1000,0)+1,MATCH(LOWER(F$1),v_data!$B$2:$L$2,0)))</f>
        <v/>
      </c>
      <c r="G267" s="2" t="str">
        <f t="shared" si="220"/>
        <v/>
      </c>
      <c r="H267" s="2" t="str">
        <f>IF($A267="","",INDEX(v_data!$B$2:$L$1000,MATCH($A267,v_data!$A$3:$A$1000,0)+1,MATCH(LOWER(H$1),v_data!$B$2:$L$2,0)))</f>
        <v/>
      </c>
      <c r="I267" s="2" t="str">
        <f t="shared" si="221"/>
        <v/>
      </c>
      <c r="J267" s="2" t="str">
        <f>IF($A267="","",INDEX(v_data!$B$2:$L$1000,MATCH($A267,v_data!$A$3:$A$1000,0)+1,MATCH(LOWER(J$1),v_data!$B$2:$L$2,0)))</f>
        <v/>
      </c>
      <c r="K267" s="2" t="str">
        <f t="shared" si="222"/>
        <v/>
      </c>
      <c r="L267" s="2" t="str">
        <f>IF($A267="","",INDEX(v_data!$B$2:$L$1000,MATCH($A267,v_data!$A$3:$A$1000,0)+1,MATCH(LOWER(L$1),v_data!$B$2:$L$2,0)))</f>
        <v/>
      </c>
      <c r="M267" s="2" t="str">
        <f t="shared" si="223"/>
        <v/>
      </c>
      <c r="N267" s="2" t="str">
        <f>IF($A267="","",INDEX(v_data!$B$2:$L$1000,MATCH($A267,v_data!$A$3:$A$1000,0)+1,MATCH(LOWER(N$1),v_data!$B$2:$L$2,0)))</f>
        <v/>
      </c>
      <c r="O267" s="2" t="str">
        <f t="shared" si="224"/>
        <v/>
      </c>
      <c r="P267" s="2" t="str">
        <f>IF($A267="","",INDEX(v_data!$B$2:$L$1000,MATCH($A267,v_data!$A$3:$A$1000,0)+1,MATCH(LOWER(P$1),v_data!$B$2:$L$2,0)))</f>
        <v/>
      </c>
      <c r="Q267" s="2" t="str">
        <f t="shared" si="225"/>
        <v/>
      </c>
      <c r="R267" s="2" t="str">
        <f>IF($A267="","",INDEX(v_data!$B$2:$L$1000,MATCH($A267,v_data!$A$3:$A$1000,0)+1,MATCH(LOWER(R$1),v_data!$B$2:$L$2,0)))</f>
        <v/>
      </c>
      <c r="S267" s="2" t="str">
        <f t="shared" si="226"/>
        <v/>
      </c>
      <c r="T267" s="2" t="str">
        <f>IF($A267="","",INDEX(v_data!$B$2:$L$1000,MATCH($A267,v_data!$A$3:$A$1000,0)+1,MATCH(LOWER(T$1),v_data!$B$2:$L$2,0)))</f>
        <v/>
      </c>
      <c r="U267" s="2" t="str">
        <f t="shared" si="227"/>
        <v/>
      </c>
      <c r="V267" s="2" t="str">
        <f>IF($A267="","",INDEX(v_data!$B$2:$L$1000,MATCH($A267,v_data!$A$3:$A$1000,0)+1,MATCH(LOWER(V$1),v_data!$B$2:$L$2,0)))</f>
        <v/>
      </c>
      <c r="W267" s="2" t="str">
        <f t="shared" si="228"/>
        <v/>
      </c>
      <c r="X267" s="2" t="str">
        <f>IF($A267="","",INDEX(v_data!$B$2:$L$1000,MATCH($A267,v_data!$A$3:$A$1000,0)+1,MATCH(LOWER(X$1),v_data!$B$2:$L$2,0)))</f>
        <v/>
      </c>
      <c r="Y267" s="2" t="str">
        <f t="shared" si="229"/>
        <v/>
      </c>
      <c r="Z267" s="2" t="str">
        <f>IF($A267="","",INDEX(v_data!$B$2:$L$1000,MATCH($A267,v_data!$A$3:$A$1000,0)+1,MATCH(LOWER(Z$1),v_data!$B$2:$L$2,0)))</f>
        <v/>
      </c>
      <c r="AA267" s="2" t="str">
        <f t="shared" si="230"/>
        <v/>
      </c>
      <c r="AB267" s="2" t="str">
        <f t="shared" si="231"/>
        <v/>
      </c>
      <c r="AC267" s="2">
        <f>(SUM(G267,I267,K267,M267,O267,Q267,S267,U267,W267,Y267,AA267)+IF(AND(G267&gt;0,I267&gt;0,K267&gt;0),100,0))*VLOOKUP(B267,variables!$A$2:$B$6,2,FALSE)</f>
        <v>80</v>
      </c>
      <c r="AD267" s="16" t="str">
        <f>IF($A267="","",INDEX(v_data!$B$2:$X$1000,MATCH($A267,v_data!$A$3:$A$1000,0)+1,MATCH(LOWER("hours"),v_data!$B$2:$X$2,0)))</f>
        <v/>
      </c>
    </row>
    <row r="268" spans="1:30" hidden="1" x14ac:dyDescent="0.25">
      <c r="A268" s="2" t="str">
        <f>IF(ISBLANK(v_data!A267),"",v_data!A267)</f>
        <v/>
      </c>
      <c r="B268" s="2" t="s">
        <v>22</v>
      </c>
      <c r="C268" s="2">
        <f>VLOOKUP(B268,variables!$A$2:$B$6,2,FALSE)</f>
        <v>0.8</v>
      </c>
      <c r="D268" s="4">
        <v>43826</v>
      </c>
      <c r="E268" s="4">
        <v>43431</v>
      </c>
      <c r="F268" s="2" t="str">
        <f>IF($A268="","",INDEX(v_data!$B$2:$L$1000,MATCH($A268,v_data!$A$3:$A$1000,0)+1,MATCH(LOWER(F$1),v_data!$B$2:$L$2,0)))</f>
        <v/>
      </c>
      <c r="G268" s="2" t="str">
        <f t="shared" si="220"/>
        <v/>
      </c>
      <c r="H268" s="2" t="str">
        <f>IF($A268="","",INDEX(v_data!$B$2:$L$1000,MATCH($A268,v_data!$A$3:$A$1000,0)+1,MATCH(LOWER(H$1),v_data!$B$2:$L$2,0)))</f>
        <v/>
      </c>
      <c r="I268" s="2" t="str">
        <f t="shared" si="221"/>
        <v/>
      </c>
      <c r="J268" s="2" t="str">
        <f>IF($A268="","",INDEX(v_data!$B$2:$L$1000,MATCH($A268,v_data!$A$3:$A$1000,0)+1,MATCH(LOWER(J$1),v_data!$B$2:$L$2,0)))</f>
        <v/>
      </c>
      <c r="K268" s="2" t="str">
        <f t="shared" si="222"/>
        <v/>
      </c>
      <c r="L268" s="2" t="str">
        <f>IF($A268="","",INDEX(v_data!$B$2:$L$1000,MATCH($A268,v_data!$A$3:$A$1000,0)+1,MATCH(LOWER(L$1),v_data!$B$2:$L$2,0)))</f>
        <v/>
      </c>
      <c r="M268" s="2" t="str">
        <f t="shared" si="223"/>
        <v/>
      </c>
      <c r="N268" s="2" t="str">
        <f>IF($A268="","",INDEX(v_data!$B$2:$L$1000,MATCH($A268,v_data!$A$3:$A$1000,0)+1,MATCH(LOWER(N$1),v_data!$B$2:$L$2,0)))</f>
        <v/>
      </c>
      <c r="O268" s="2" t="str">
        <f t="shared" si="224"/>
        <v/>
      </c>
      <c r="P268" s="2" t="str">
        <f>IF($A268="","",INDEX(v_data!$B$2:$L$1000,MATCH($A268,v_data!$A$3:$A$1000,0)+1,MATCH(LOWER(P$1),v_data!$B$2:$L$2,0)))</f>
        <v/>
      </c>
      <c r="Q268" s="2" t="str">
        <f t="shared" si="225"/>
        <v/>
      </c>
      <c r="R268" s="2" t="str">
        <f>IF($A268="","",INDEX(v_data!$B$2:$L$1000,MATCH($A268,v_data!$A$3:$A$1000,0)+1,MATCH(LOWER(R$1),v_data!$B$2:$L$2,0)))</f>
        <v/>
      </c>
      <c r="S268" s="2" t="str">
        <f t="shared" si="226"/>
        <v/>
      </c>
      <c r="T268" s="2" t="str">
        <f>IF($A268="","",INDEX(v_data!$B$2:$L$1000,MATCH($A268,v_data!$A$3:$A$1000,0)+1,MATCH(LOWER(T$1),v_data!$B$2:$L$2,0)))</f>
        <v/>
      </c>
      <c r="U268" s="2" t="str">
        <f t="shared" si="227"/>
        <v/>
      </c>
      <c r="V268" s="2" t="str">
        <f>IF($A268="","",INDEX(v_data!$B$2:$L$1000,MATCH($A268,v_data!$A$3:$A$1000,0)+1,MATCH(LOWER(V$1),v_data!$B$2:$L$2,0)))</f>
        <v/>
      </c>
      <c r="W268" s="2" t="str">
        <f t="shared" si="228"/>
        <v/>
      </c>
      <c r="X268" s="2" t="str">
        <f>IF($A268="","",INDEX(v_data!$B$2:$L$1000,MATCH($A268,v_data!$A$3:$A$1000,0)+1,MATCH(LOWER(X$1),v_data!$B$2:$L$2,0)))</f>
        <v/>
      </c>
      <c r="Y268" s="2" t="str">
        <f t="shared" si="229"/>
        <v/>
      </c>
      <c r="Z268" s="2" t="str">
        <f>IF($A268="","",INDEX(v_data!$B$2:$L$1000,MATCH($A268,v_data!$A$3:$A$1000,0)+1,MATCH(LOWER(Z$1),v_data!$B$2:$L$2,0)))</f>
        <v/>
      </c>
      <c r="AA268" s="2" t="str">
        <f t="shared" si="230"/>
        <v/>
      </c>
      <c r="AB268" s="2" t="str">
        <f t="shared" si="231"/>
        <v/>
      </c>
      <c r="AC268" s="2">
        <f>(SUM(G268,I268,K268,M268,O268,Q268,S268,U268,W268,Y268,AA268)+IF(AND(G268&gt;0,I268&gt;0,K268&gt;0),100,0))*VLOOKUP(B268,variables!$A$2:$B$6,2,FALSE)</f>
        <v>80</v>
      </c>
      <c r="AD268" s="16" t="str">
        <f>IF($A268="","",INDEX(v_data!$B$2:$X$1000,MATCH($A268,v_data!$A$3:$A$1000,0)+1,MATCH(LOWER("hours"),v_data!$B$2:$X$2,0)))</f>
        <v/>
      </c>
    </row>
    <row r="269" spans="1:30" hidden="1" x14ac:dyDescent="0.25">
      <c r="A269" s="2" t="str">
        <f>IF(ISBLANK(v_data!A268),"",v_data!A268)</f>
        <v/>
      </c>
      <c r="B269" s="2" t="s">
        <v>22</v>
      </c>
      <c r="C269" s="2">
        <f>VLOOKUP(B269,variables!$A$2:$B$6,2,FALSE)</f>
        <v>0.8</v>
      </c>
      <c r="D269" s="4">
        <v>43826</v>
      </c>
      <c r="E269" s="4">
        <v>43431</v>
      </c>
      <c r="F269" s="2" t="str">
        <f>IF($A269="","",INDEX(v_data!$B$2:$L$1000,MATCH($A269,v_data!$A$3:$A$1000,0)+1,MATCH(LOWER(F$1),v_data!$B$2:$L$2,0)))</f>
        <v/>
      </c>
      <c r="G269" s="2" t="str">
        <f t="shared" si="220"/>
        <v/>
      </c>
      <c r="H269" s="2" t="str">
        <f>IF($A269="","",INDEX(v_data!$B$2:$L$1000,MATCH($A269,v_data!$A$3:$A$1000,0)+1,MATCH(LOWER(H$1),v_data!$B$2:$L$2,0)))</f>
        <v/>
      </c>
      <c r="I269" s="2" t="str">
        <f t="shared" si="221"/>
        <v/>
      </c>
      <c r="J269" s="2" t="str">
        <f>IF($A269="","",INDEX(v_data!$B$2:$L$1000,MATCH($A269,v_data!$A$3:$A$1000,0)+1,MATCH(LOWER(J$1),v_data!$B$2:$L$2,0)))</f>
        <v/>
      </c>
      <c r="K269" s="2" t="str">
        <f t="shared" si="222"/>
        <v/>
      </c>
      <c r="L269" s="2" t="str">
        <f>IF($A269="","",INDEX(v_data!$B$2:$L$1000,MATCH($A269,v_data!$A$3:$A$1000,0)+1,MATCH(LOWER(L$1),v_data!$B$2:$L$2,0)))</f>
        <v/>
      </c>
      <c r="M269" s="2" t="str">
        <f t="shared" si="223"/>
        <v/>
      </c>
      <c r="N269" s="2" t="str">
        <f>IF($A269="","",INDEX(v_data!$B$2:$L$1000,MATCH($A269,v_data!$A$3:$A$1000,0)+1,MATCH(LOWER(N$1),v_data!$B$2:$L$2,0)))</f>
        <v/>
      </c>
      <c r="O269" s="2" t="str">
        <f t="shared" si="224"/>
        <v/>
      </c>
      <c r="P269" s="2" t="str">
        <f>IF($A269="","",INDEX(v_data!$B$2:$L$1000,MATCH($A269,v_data!$A$3:$A$1000,0)+1,MATCH(LOWER(P$1),v_data!$B$2:$L$2,0)))</f>
        <v/>
      </c>
      <c r="Q269" s="2" t="str">
        <f t="shared" si="225"/>
        <v/>
      </c>
      <c r="R269" s="2" t="str">
        <f>IF($A269="","",INDEX(v_data!$B$2:$L$1000,MATCH($A269,v_data!$A$3:$A$1000,0)+1,MATCH(LOWER(R$1),v_data!$B$2:$L$2,0)))</f>
        <v/>
      </c>
      <c r="S269" s="2" t="str">
        <f t="shared" si="226"/>
        <v/>
      </c>
      <c r="T269" s="2" t="str">
        <f>IF($A269="","",INDEX(v_data!$B$2:$L$1000,MATCH($A269,v_data!$A$3:$A$1000,0)+1,MATCH(LOWER(T$1),v_data!$B$2:$L$2,0)))</f>
        <v/>
      </c>
      <c r="U269" s="2" t="str">
        <f t="shared" si="227"/>
        <v/>
      </c>
      <c r="V269" s="2" t="str">
        <f>IF($A269="","",INDEX(v_data!$B$2:$L$1000,MATCH($A269,v_data!$A$3:$A$1000,0)+1,MATCH(LOWER(V$1),v_data!$B$2:$L$2,0)))</f>
        <v/>
      </c>
      <c r="W269" s="2" t="str">
        <f t="shared" si="228"/>
        <v/>
      </c>
      <c r="X269" s="2" t="str">
        <f>IF($A269="","",INDEX(v_data!$B$2:$L$1000,MATCH($A269,v_data!$A$3:$A$1000,0)+1,MATCH(LOWER(X$1),v_data!$B$2:$L$2,0)))</f>
        <v/>
      </c>
      <c r="Y269" s="2" t="str">
        <f t="shared" si="229"/>
        <v/>
      </c>
      <c r="Z269" s="2" t="str">
        <f>IF($A269="","",INDEX(v_data!$B$2:$L$1000,MATCH($A269,v_data!$A$3:$A$1000,0)+1,MATCH(LOWER(Z$1),v_data!$B$2:$L$2,0)))</f>
        <v/>
      </c>
      <c r="AA269" s="2" t="str">
        <f t="shared" si="230"/>
        <v/>
      </c>
      <c r="AB269" s="2" t="str">
        <f t="shared" si="231"/>
        <v/>
      </c>
      <c r="AC269" s="2">
        <f>(SUM(G269,I269,K269,M269,O269,Q269,S269,U269,W269,Y269,AA269)+IF(AND(G269&gt;0,I269&gt;0,K269&gt;0),100,0))*VLOOKUP(B269,variables!$A$2:$B$6,2,FALSE)</f>
        <v>80</v>
      </c>
      <c r="AD269" s="16" t="str">
        <f>IF($A269="","",INDEX(v_data!$B$2:$X$1000,MATCH($A269,v_data!$A$3:$A$1000,0)+1,MATCH(LOWER("hours"),v_data!$B$2:$X$2,0)))</f>
        <v/>
      </c>
    </row>
    <row r="270" spans="1:30" hidden="1" x14ac:dyDescent="0.25">
      <c r="A270" s="2" t="str">
        <f>IF(ISBLANK(v_data!A269),"",v_data!A269)</f>
        <v/>
      </c>
      <c r="B270" s="2" t="s">
        <v>22</v>
      </c>
      <c r="C270" s="2">
        <f>VLOOKUP(B270,variables!$A$2:$B$6,2,FALSE)</f>
        <v>0.8</v>
      </c>
      <c r="D270" s="4">
        <v>43826</v>
      </c>
      <c r="E270" s="4">
        <v>43431</v>
      </c>
      <c r="F270" s="2" t="str">
        <f>IF($A270="","",INDEX(v_data!$B$2:$L$1000,MATCH($A270,v_data!$A$3:$A$1000,0)+1,MATCH(LOWER(F$1),v_data!$B$2:$L$2,0)))</f>
        <v/>
      </c>
      <c r="G270" s="2" t="str">
        <f t="shared" si="220"/>
        <v/>
      </c>
      <c r="H270" s="2" t="str">
        <f>IF($A270="","",INDEX(v_data!$B$2:$L$1000,MATCH($A270,v_data!$A$3:$A$1000,0)+1,MATCH(LOWER(H$1),v_data!$B$2:$L$2,0)))</f>
        <v/>
      </c>
      <c r="I270" s="2" t="str">
        <f t="shared" si="221"/>
        <v/>
      </c>
      <c r="J270" s="2" t="str">
        <f>IF($A270="","",INDEX(v_data!$B$2:$L$1000,MATCH($A270,v_data!$A$3:$A$1000,0)+1,MATCH(LOWER(J$1),v_data!$B$2:$L$2,0)))</f>
        <v/>
      </c>
      <c r="K270" s="2" t="str">
        <f t="shared" si="222"/>
        <v/>
      </c>
      <c r="L270" s="2" t="str">
        <f>IF($A270="","",INDEX(v_data!$B$2:$L$1000,MATCH($A270,v_data!$A$3:$A$1000,0)+1,MATCH(LOWER(L$1),v_data!$B$2:$L$2,0)))</f>
        <v/>
      </c>
      <c r="M270" s="2" t="str">
        <f t="shared" si="223"/>
        <v/>
      </c>
      <c r="N270" s="2" t="str">
        <f>IF($A270="","",INDEX(v_data!$B$2:$L$1000,MATCH($A270,v_data!$A$3:$A$1000,0)+1,MATCH(LOWER(N$1),v_data!$B$2:$L$2,0)))</f>
        <v/>
      </c>
      <c r="O270" s="2" t="str">
        <f t="shared" si="224"/>
        <v/>
      </c>
      <c r="P270" s="2" t="str">
        <f>IF($A270="","",INDEX(v_data!$B$2:$L$1000,MATCH($A270,v_data!$A$3:$A$1000,0)+1,MATCH(LOWER(P$1),v_data!$B$2:$L$2,0)))</f>
        <v/>
      </c>
      <c r="Q270" s="2" t="str">
        <f t="shared" si="225"/>
        <v/>
      </c>
      <c r="R270" s="2" t="str">
        <f>IF($A270="","",INDEX(v_data!$B$2:$L$1000,MATCH($A270,v_data!$A$3:$A$1000,0)+1,MATCH(LOWER(R$1),v_data!$B$2:$L$2,0)))</f>
        <v/>
      </c>
      <c r="S270" s="2" t="str">
        <f t="shared" si="226"/>
        <v/>
      </c>
      <c r="T270" s="2" t="str">
        <f>IF($A270="","",INDEX(v_data!$B$2:$L$1000,MATCH($A270,v_data!$A$3:$A$1000,0)+1,MATCH(LOWER(T$1),v_data!$B$2:$L$2,0)))</f>
        <v/>
      </c>
      <c r="U270" s="2" t="str">
        <f t="shared" si="227"/>
        <v/>
      </c>
      <c r="V270" s="2" t="str">
        <f>IF($A270="","",INDEX(v_data!$B$2:$L$1000,MATCH($A270,v_data!$A$3:$A$1000,0)+1,MATCH(LOWER(V$1),v_data!$B$2:$L$2,0)))</f>
        <v/>
      </c>
      <c r="W270" s="2" t="str">
        <f t="shared" si="228"/>
        <v/>
      </c>
      <c r="X270" s="2" t="str">
        <f>IF($A270="","",INDEX(v_data!$B$2:$L$1000,MATCH($A270,v_data!$A$3:$A$1000,0)+1,MATCH(LOWER(X$1),v_data!$B$2:$L$2,0)))</f>
        <v/>
      </c>
      <c r="Y270" s="2" t="str">
        <f t="shared" si="229"/>
        <v/>
      </c>
      <c r="Z270" s="2" t="str">
        <f>IF($A270="","",INDEX(v_data!$B$2:$L$1000,MATCH($A270,v_data!$A$3:$A$1000,0)+1,MATCH(LOWER(Z$1),v_data!$B$2:$L$2,0)))</f>
        <v/>
      </c>
      <c r="AA270" s="2" t="str">
        <f t="shared" si="230"/>
        <v/>
      </c>
      <c r="AB270" s="2" t="str">
        <f t="shared" si="231"/>
        <v/>
      </c>
      <c r="AC270" s="2">
        <f>(SUM(G270,I270,K270,M270,O270,Q270,S270,U270,W270,Y270,AA270)+IF(AND(G270&gt;0,I270&gt;0,K270&gt;0),100,0))*VLOOKUP(B270,variables!$A$2:$B$6,2,FALSE)</f>
        <v>80</v>
      </c>
      <c r="AD270" s="16" t="str">
        <f>IF($A270="","",INDEX(v_data!$B$2:$X$1000,MATCH($A270,v_data!$A$3:$A$1000,0)+1,MATCH(LOWER("hours"),v_data!$B$2:$X$2,0)))</f>
        <v/>
      </c>
    </row>
    <row r="271" spans="1:30" hidden="1" x14ac:dyDescent="0.25">
      <c r="A271" s="2" t="str">
        <f>IF(ISBLANK(v_data!A270),"",v_data!A270)</f>
        <v/>
      </c>
      <c r="B271" s="2" t="s">
        <v>22</v>
      </c>
      <c r="C271" s="2">
        <f>VLOOKUP(B271,variables!$A$2:$B$6,2,FALSE)</f>
        <v>0.8</v>
      </c>
      <c r="D271" s="4">
        <v>43826</v>
      </c>
      <c r="E271" s="4">
        <v>43431</v>
      </c>
      <c r="F271" s="2" t="str">
        <f>IF($A271="","",INDEX(v_data!$B$2:$L$1000,MATCH($A271,v_data!$A$3:$A$1000,0)+1,MATCH(LOWER(F$1),v_data!$B$2:$L$2,0)))</f>
        <v/>
      </c>
      <c r="G271" s="2" t="str">
        <f t="shared" si="220"/>
        <v/>
      </c>
      <c r="H271" s="2" t="str">
        <f>IF($A271="","",INDEX(v_data!$B$2:$L$1000,MATCH($A271,v_data!$A$3:$A$1000,0)+1,MATCH(LOWER(H$1),v_data!$B$2:$L$2,0)))</f>
        <v/>
      </c>
      <c r="I271" s="2" t="str">
        <f t="shared" si="221"/>
        <v/>
      </c>
      <c r="J271" s="2" t="str">
        <f>IF($A271="","",INDEX(v_data!$B$2:$L$1000,MATCH($A271,v_data!$A$3:$A$1000,0)+1,MATCH(LOWER(J$1),v_data!$B$2:$L$2,0)))</f>
        <v/>
      </c>
      <c r="K271" s="2" t="str">
        <f t="shared" si="222"/>
        <v/>
      </c>
      <c r="L271" s="2" t="str">
        <f>IF($A271="","",INDEX(v_data!$B$2:$L$1000,MATCH($A271,v_data!$A$3:$A$1000,0)+1,MATCH(LOWER(L$1),v_data!$B$2:$L$2,0)))</f>
        <v/>
      </c>
      <c r="M271" s="2" t="str">
        <f t="shared" si="223"/>
        <v/>
      </c>
      <c r="N271" s="2" t="str">
        <f>IF($A271="","",INDEX(v_data!$B$2:$L$1000,MATCH($A271,v_data!$A$3:$A$1000,0)+1,MATCH(LOWER(N$1),v_data!$B$2:$L$2,0)))</f>
        <v/>
      </c>
      <c r="O271" s="2" t="str">
        <f t="shared" si="224"/>
        <v/>
      </c>
      <c r="P271" s="2" t="str">
        <f>IF($A271="","",INDEX(v_data!$B$2:$L$1000,MATCH($A271,v_data!$A$3:$A$1000,0)+1,MATCH(LOWER(P$1),v_data!$B$2:$L$2,0)))</f>
        <v/>
      </c>
      <c r="Q271" s="2" t="str">
        <f t="shared" si="225"/>
        <v/>
      </c>
      <c r="R271" s="2" t="str">
        <f>IF($A271="","",INDEX(v_data!$B$2:$L$1000,MATCH($A271,v_data!$A$3:$A$1000,0)+1,MATCH(LOWER(R$1),v_data!$B$2:$L$2,0)))</f>
        <v/>
      </c>
      <c r="S271" s="2" t="str">
        <f t="shared" si="226"/>
        <v/>
      </c>
      <c r="T271" s="2" t="str">
        <f>IF($A271="","",INDEX(v_data!$B$2:$L$1000,MATCH($A271,v_data!$A$3:$A$1000,0)+1,MATCH(LOWER(T$1),v_data!$B$2:$L$2,0)))</f>
        <v/>
      </c>
      <c r="U271" s="2" t="str">
        <f t="shared" si="227"/>
        <v/>
      </c>
      <c r="V271" s="2" t="str">
        <f>IF($A271="","",INDEX(v_data!$B$2:$L$1000,MATCH($A271,v_data!$A$3:$A$1000,0)+1,MATCH(LOWER(V$1),v_data!$B$2:$L$2,0)))</f>
        <v/>
      </c>
      <c r="W271" s="2" t="str">
        <f t="shared" si="228"/>
        <v/>
      </c>
      <c r="X271" s="2" t="str">
        <f>IF($A271="","",INDEX(v_data!$B$2:$L$1000,MATCH($A271,v_data!$A$3:$A$1000,0)+1,MATCH(LOWER(X$1),v_data!$B$2:$L$2,0)))</f>
        <v/>
      </c>
      <c r="Y271" s="2" t="str">
        <f t="shared" si="229"/>
        <v/>
      </c>
      <c r="Z271" s="2" t="str">
        <f>IF($A271="","",INDEX(v_data!$B$2:$L$1000,MATCH($A271,v_data!$A$3:$A$1000,0)+1,MATCH(LOWER(Z$1),v_data!$B$2:$L$2,0)))</f>
        <v/>
      </c>
      <c r="AA271" s="2" t="str">
        <f t="shared" si="230"/>
        <v/>
      </c>
      <c r="AB271" s="2" t="str">
        <f t="shared" si="231"/>
        <v/>
      </c>
      <c r="AC271" s="2">
        <f>(SUM(G271,I271,K271,M271,O271,Q271,S271,U271,W271,Y271,AA271)+IF(AND(G271&gt;0,I271&gt;0,K271&gt;0),100,0))*VLOOKUP(B271,variables!$A$2:$B$6,2,FALSE)</f>
        <v>80</v>
      </c>
      <c r="AD271" s="16" t="str">
        <f>IF($A271="","",INDEX(v_data!$B$2:$X$1000,MATCH($A271,v_data!$A$3:$A$1000,0)+1,MATCH(LOWER("hours"),v_data!$B$2:$X$2,0)))</f>
        <v/>
      </c>
    </row>
    <row r="272" spans="1:30" hidden="1" x14ac:dyDescent="0.25">
      <c r="A272" s="2" t="str">
        <f>IF(ISBLANK(v_data!A271),"",v_data!A271)</f>
        <v/>
      </c>
      <c r="B272" s="2" t="s">
        <v>22</v>
      </c>
      <c r="C272" s="2">
        <f>VLOOKUP(B272,variables!$A$2:$B$6,2,FALSE)</f>
        <v>0.8</v>
      </c>
      <c r="D272" s="4">
        <v>43826</v>
      </c>
      <c r="E272" s="4">
        <v>43431</v>
      </c>
      <c r="F272" s="2" t="str">
        <f>IF($A272="","",INDEX(v_data!$B$2:$L$1000,MATCH($A272,v_data!$A$3:$A$1000,0)+1,MATCH(LOWER(F$1),v_data!$B$2:$L$2,0)))</f>
        <v/>
      </c>
      <c r="G272" s="2" t="str">
        <f t="shared" si="220"/>
        <v/>
      </c>
      <c r="H272" s="2" t="str">
        <f>IF($A272="","",INDEX(v_data!$B$2:$L$1000,MATCH($A272,v_data!$A$3:$A$1000,0)+1,MATCH(LOWER(H$1),v_data!$B$2:$L$2,0)))</f>
        <v/>
      </c>
      <c r="I272" s="2" t="str">
        <f t="shared" si="221"/>
        <v/>
      </c>
      <c r="J272" s="2" t="str">
        <f>IF($A272="","",INDEX(v_data!$B$2:$L$1000,MATCH($A272,v_data!$A$3:$A$1000,0)+1,MATCH(LOWER(J$1),v_data!$B$2:$L$2,0)))</f>
        <v/>
      </c>
      <c r="K272" s="2" t="str">
        <f t="shared" si="222"/>
        <v/>
      </c>
      <c r="L272" s="2" t="str">
        <f>IF($A272="","",INDEX(v_data!$B$2:$L$1000,MATCH($A272,v_data!$A$3:$A$1000,0)+1,MATCH(LOWER(L$1),v_data!$B$2:$L$2,0)))</f>
        <v/>
      </c>
      <c r="M272" s="2" t="str">
        <f t="shared" si="223"/>
        <v/>
      </c>
      <c r="N272" s="2" t="str">
        <f>IF($A272="","",INDEX(v_data!$B$2:$L$1000,MATCH($A272,v_data!$A$3:$A$1000,0)+1,MATCH(LOWER(N$1),v_data!$B$2:$L$2,0)))</f>
        <v/>
      </c>
      <c r="O272" s="2" t="str">
        <f t="shared" si="224"/>
        <v/>
      </c>
      <c r="P272" s="2" t="str">
        <f>IF($A272="","",INDEX(v_data!$B$2:$L$1000,MATCH($A272,v_data!$A$3:$A$1000,0)+1,MATCH(LOWER(P$1),v_data!$B$2:$L$2,0)))</f>
        <v/>
      </c>
      <c r="Q272" s="2" t="str">
        <f t="shared" si="225"/>
        <v/>
      </c>
      <c r="R272" s="2" t="str">
        <f>IF($A272="","",INDEX(v_data!$B$2:$L$1000,MATCH($A272,v_data!$A$3:$A$1000,0)+1,MATCH(LOWER(R$1),v_data!$B$2:$L$2,0)))</f>
        <v/>
      </c>
      <c r="S272" s="2" t="str">
        <f t="shared" si="226"/>
        <v/>
      </c>
      <c r="T272" s="2" t="str">
        <f>IF($A272="","",INDEX(v_data!$B$2:$L$1000,MATCH($A272,v_data!$A$3:$A$1000,0)+1,MATCH(LOWER(T$1),v_data!$B$2:$L$2,0)))</f>
        <v/>
      </c>
      <c r="U272" s="2" t="str">
        <f t="shared" si="227"/>
        <v/>
      </c>
      <c r="V272" s="2" t="str">
        <f>IF($A272="","",INDEX(v_data!$B$2:$L$1000,MATCH($A272,v_data!$A$3:$A$1000,0)+1,MATCH(LOWER(V$1),v_data!$B$2:$L$2,0)))</f>
        <v/>
      </c>
      <c r="W272" s="2" t="str">
        <f t="shared" si="228"/>
        <v/>
      </c>
      <c r="X272" s="2" t="str">
        <f>IF($A272="","",INDEX(v_data!$B$2:$L$1000,MATCH($A272,v_data!$A$3:$A$1000,0)+1,MATCH(LOWER(X$1),v_data!$B$2:$L$2,0)))</f>
        <v/>
      </c>
      <c r="Y272" s="2" t="str">
        <f t="shared" si="229"/>
        <v/>
      </c>
      <c r="Z272" s="2" t="str">
        <f>IF($A272="","",INDEX(v_data!$B$2:$L$1000,MATCH($A272,v_data!$A$3:$A$1000,0)+1,MATCH(LOWER(Z$1),v_data!$B$2:$L$2,0)))</f>
        <v/>
      </c>
      <c r="AA272" s="2" t="str">
        <f t="shared" si="230"/>
        <v/>
      </c>
      <c r="AB272" s="2" t="str">
        <f t="shared" si="231"/>
        <v/>
      </c>
      <c r="AC272" s="2">
        <f>(SUM(G272,I272,K272,M272,O272,Q272,S272,U272,W272,Y272,AA272)+IF(AND(G272&gt;0,I272&gt;0,K272&gt;0),100,0))*VLOOKUP(B272,variables!$A$2:$B$6,2,FALSE)</f>
        <v>80</v>
      </c>
      <c r="AD272" s="16" t="str">
        <f>IF($A272="","",INDEX(v_data!$B$2:$X$1000,MATCH($A272,v_data!$A$3:$A$1000,0)+1,MATCH(LOWER("hours"),v_data!$B$2:$X$2,0)))</f>
        <v/>
      </c>
    </row>
    <row r="273" spans="1:30" hidden="1" x14ac:dyDescent="0.25">
      <c r="A273" s="2" t="str">
        <f>IF(ISBLANK(v_data!A272),"",v_data!A272)</f>
        <v/>
      </c>
      <c r="B273" s="2" t="s">
        <v>22</v>
      </c>
      <c r="C273" s="2">
        <f>VLOOKUP(B273,variables!$A$2:$B$6,2,FALSE)</f>
        <v>0.8</v>
      </c>
      <c r="D273" s="4">
        <v>43826</v>
      </c>
      <c r="E273" s="4">
        <v>43431</v>
      </c>
      <c r="F273" s="2" t="str">
        <f>IF($A273="","",INDEX(v_data!$B$2:$L$1000,MATCH($A273,v_data!$A$3:$A$1000,0)+1,MATCH(LOWER(F$1),v_data!$B$2:$L$2,0)))</f>
        <v/>
      </c>
      <c r="G273" s="2" t="str">
        <f t="shared" si="220"/>
        <v/>
      </c>
      <c r="H273" s="2" t="str">
        <f>IF($A273="","",INDEX(v_data!$B$2:$L$1000,MATCH($A273,v_data!$A$3:$A$1000,0)+1,MATCH(LOWER(H$1),v_data!$B$2:$L$2,0)))</f>
        <v/>
      </c>
      <c r="I273" s="2" t="str">
        <f t="shared" si="221"/>
        <v/>
      </c>
      <c r="J273" s="2" t="str">
        <f>IF($A273="","",INDEX(v_data!$B$2:$L$1000,MATCH($A273,v_data!$A$3:$A$1000,0)+1,MATCH(LOWER(J$1),v_data!$B$2:$L$2,0)))</f>
        <v/>
      </c>
      <c r="K273" s="2" t="str">
        <f t="shared" si="222"/>
        <v/>
      </c>
      <c r="L273" s="2" t="str">
        <f>IF($A273="","",INDEX(v_data!$B$2:$L$1000,MATCH($A273,v_data!$A$3:$A$1000,0)+1,MATCH(LOWER(L$1),v_data!$B$2:$L$2,0)))</f>
        <v/>
      </c>
      <c r="M273" s="2" t="str">
        <f t="shared" si="223"/>
        <v/>
      </c>
      <c r="N273" s="2" t="str">
        <f>IF($A273="","",INDEX(v_data!$B$2:$L$1000,MATCH($A273,v_data!$A$3:$A$1000,0)+1,MATCH(LOWER(N$1),v_data!$B$2:$L$2,0)))</f>
        <v/>
      </c>
      <c r="O273" s="2" t="str">
        <f t="shared" si="224"/>
        <v/>
      </c>
      <c r="P273" s="2" t="str">
        <f>IF($A273="","",INDEX(v_data!$B$2:$L$1000,MATCH($A273,v_data!$A$3:$A$1000,0)+1,MATCH(LOWER(P$1),v_data!$B$2:$L$2,0)))</f>
        <v/>
      </c>
      <c r="Q273" s="2" t="str">
        <f t="shared" si="225"/>
        <v/>
      </c>
      <c r="R273" s="2" t="str">
        <f>IF($A273="","",INDEX(v_data!$B$2:$L$1000,MATCH($A273,v_data!$A$3:$A$1000,0)+1,MATCH(LOWER(R$1),v_data!$B$2:$L$2,0)))</f>
        <v/>
      </c>
      <c r="S273" s="2" t="str">
        <f t="shared" si="226"/>
        <v/>
      </c>
      <c r="T273" s="2" t="str">
        <f>IF($A273="","",INDEX(v_data!$B$2:$L$1000,MATCH($A273,v_data!$A$3:$A$1000,0)+1,MATCH(LOWER(T$1),v_data!$B$2:$L$2,0)))</f>
        <v/>
      </c>
      <c r="U273" s="2" t="str">
        <f t="shared" si="227"/>
        <v/>
      </c>
      <c r="V273" s="2" t="str">
        <f>IF($A273="","",INDEX(v_data!$B$2:$L$1000,MATCH($A273,v_data!$A$3:$A$1000,0)+1,MATCH(LOWER(V$1),v_data!$B$2:$L$2,0)))</f>
        <v/>
      </c>
      <c r="W273" s="2" t="str">
        <f t="shared" si="228"/>
        <v/>
      </c>
      <c r="X273" s="2" t="str">
        <f>IF($A273="","",INDEX(v_data!$B$2:$L$1000,MATCH($A273,v_data!$A$3:$A$1000,0)+1,MATCH(LOWER(X$1),v_data!$B$2:$L$2,0)))</f>
        <v/>
      </c>
      <c r="Y273" s="2" t="str">
        <f t="shared" si="229"/>
        <v/>
      </c>
      <c r="Z273" s="2" t="str">
        <f>IF($A273="","",INDEX(v_data!$B$2:$L$1000,MATCH($A273,v_data!$A$3:$A$1000,0)+1,MATCH(LOWER(Z$1),v_data!$B$2:$L$2,0)))</f>
        <v/>
      </c>
      <c r="AA273" s="2" t="str">
        <f t="shared" si="230"/>
        <v/>
      </c>
      <c r="AB273" s="2" t="str">
        <f t="shared" si="231"/>
        <v/>
      </c>
      <c r="AC273" s="2">
        <f>(SUM(G273,I273,K273,M273,O273,Q273,S273,U273,W273,Y273,AA273)+IF(AND(G273&gt;0,I273&gt;0,K273&gt;0),100,0))*VLOOKUP(B273,variables!$A$2:$B$6,2,FALSE)</f>
        <v>80</v>
      </c>
      <c r="AD273" s="16" t="str">
        <f>IF($A273="","",INDEX(v_data!$B$2:$X$1000,MATCH($A273,v_data!$A$3:$A$1000,0)+1,MATCH(LOWER("hours"),v_data!$B$2:$X$2,0)))</f>
        <v/>
      </c>
    </row>
    <row r="274" spans="1:30" hidden="1" x14ac:dyDescent="0.25">
      <c r="A274" s="2" t="str">
        <f>IF(ISBLANK(v_data!A273),"",v_data!A273)</f>
        <v/>
      </c>
      <c r="B274" s="2" t="s">
        <v>22</v>
      </c>
      <c r="C274" s="2">
        <f>VLOOKUP(B274,variables!$A$2:$B$6,2,FALSE)</f>
        <v>0.8</v>
      </c>
      <c r="D274" s="4">
        <v>43826</v>
      </c>
      <c r="E274" s="4">
        <v>43431</v>
      </c>
      <c r="F274" s="2" t="str">
        <f>IF($A274="","",INDEX(v_data!$B$2:$L$1000,MATCH($A274,v_data!$A$3:$A$1000,0)+1,MATCH(LOWER(F$1),v_data!$B$2:$L$2,0)))</f>
        <v/>
      </c>
      <c r="G274" s="2" t="str">
        <f t="shared" si="220"/>
        <v/>
      </c>
      <c r="H274" s="2" t="str">
        <f>IF($A274="","",INDEX(v_data!$B$2:$L$1000,MATCH($A274,v_data!$A$3:$A$1000,0)+1,MATCH(LOWER(H$1),v_data!$B$2:$L$2,0)))</f>
        <v/>
      </c>
      <c r="I274" s="2" t="str">
        <f t="shared" si="221"/>
        <v/>
      </c>
      <c r="J274" s="2" t="str">
        <f>IF($A274="","",INDEX(v_data!$B$2:$L$1000,MATCH($A274,v_data!$A$3:$A$1000,0)+1,MATCH(LOWER(J$1),v_data!$B$2:$L$2,0)))</f>
        <v/>
      </c>
      <c r="K274" s="2" t="str">
        <f t="shared" si="222"/>
        <v/>
      </c>
      <c r="L274" s="2" t="str">
        <f>IF($A274="","",INDEX(v_data!$B$2:$L$1000,MATCH($A274,v_data!$A$3:$A$1000,0)+1,MATCH(LOWER(L$1),v_data!$B$2:$L$2,0)))</f>
        <v/>
      </c>
      <c r="M274" s="2" t="str">
        <f t="shared" si="223"/>
        <v/>
      </c>
      <c r="N274" s="2" t="str">
        <f>IF($A274="","",INDEX(v_data!$B$2:$L$1000,MATCH($A274,v_data!$A$3:$A$1000,0)+1,MATCH(LOWER(N$1),v_data!$B$2:$L$2,0)))</f>
        <v/>
      </c>
      <c r="O274" s="2" t="str">
        <f t="shared" si="224"/>
        <v/>
      </c>
      <c r="P274" s="2" t="str">
        <f>IF($A274="","",INDEX(v_data!$B$2:$L$1000,MATCH($A274,v_data!$A$3:$A$1000,0)+1,MATCH(LOWER(P$1),v_data!$B$2:$L$2,0)))</f>
        <v/>
      </c>
      <c r="Q274" s="2" t="str">
        <f t="shared" si="225"/>
        <v/>
      </c>
      <c r="R274" s="2" t="str">
        <f>IF($A274="","",INDEX(v_data!$B$2:$L$1000,MATCH($A274,v_data!$A$3:$A$1000,0)+1,MATCH(LOWER(R$1),v_data!$B$2:$L$2,0)))</f>
        <v/>
      </c>
      <c r="S274" s="2" t="str">
        <f t="shared" si="226"/>
        <v/>
      </c>
      <c r="T274" s="2" t="str">
        <f>IF($A274="","",INDEX(v_data!$B$2:$L$1000,MATCH($A274,v_data!$A$3:$A$1000,0)+1,MATCH(LOWER(T$1),v_data!$B$2:$L$2,0)))</f>
        <v/>
      </c>
      <c r="U274" s="2" t="str">
        <f t="shared" si="227"/>
        <v/>
      </c>
      <c r="V274" s="2" t="str">
        <f>IF($A274="","",INDEX(v_data!$B$2:$L$1000,MATCH($A274,v_data!$A$3:$A$1000,0)+1,MATCH(LOWER(V$1),v_data!$B$2:$L$2,0)))</f>
        <v/>
      </c>
      <c r="W274" s="2" t="str">
        <f t="shared" si="228"/>
        <v/>
      </c>
      <c r="X274" s="2" t="str">
        <f>IF($A274="","",INDEX(v_data!$B$2:$L$1000,MATCH($A274,v_data!$A$3:$A$1000,0)+1,MATCH(LOWER(X$1),v_data!$B$2:$L$2,0)))</f>
        <v/>
      </c>
      <c r="Y274" s="2" t="str">
        <f t="shared" si="229"/>
        <v/>
      </c>
      <c r="Z274" s="2" t="str">
        <f>IF($A274="","",INDEX(v_data!$B$2:$L$1000,MATCH($A274,v_data!$A$3:$A$1000,0)+1,MATCH(LOWER(Z$1),v_data!$B$2:$L$2,0)))</f>
        <v/>
      </c>
      <c r="AA274" s="2" t="str">
        <f t="shared" si="230"/>
        <v/>
      </c>
      <c r="AB274" s="2" t="str">
        <f t="shared" si="231"/>
        <v/>
      </c>
      <c r="AC274" s="2">
        <f>(SUM(G274,I274,K274,M274,O274,Q274,S274,U274,W274,Y274,AA274)+IF(AND(G274&gt;0,I274&gt;0,K274&gt;0),100,0))*VLOOKUP(B274,variables!$A$2:$B$6,2,FALSE)</f>
        <v>80</v>
      </c>
      <c r="AD274" s="16" t="str">
        <f>IF($A274="","",INDEX(v_data!$B$2:$X$1000,MATCH($A274,v_data!$A$3:$A$1000,0)+1,MATCH(LOWER("hours"),v_data!$B$2:$X$2,0)))</f>
        <v/>
      </c>
    </row>
    <row r="275" spans="1:30" hidden="1" x14ac:dyDescent="0.25">
      <c r="A275" s="2" t="str">
        <f>IF(ISBLANK(v_data!A274),"",v_data!A274)</f>
        <v/>
      </c>
      <c r="B275" s="2" t="s">
        <v>22</v>
      </c>
      <c r="C275" s="2">
        <f>VLOOKUP(B275,variables!$A$2:$B$6,2,FALSE)</f>
        <v>0.8</v>
      </c>
      <c r="D275" s="4">
        <v>43826</v>
      </c>
      <c r="E275" s="4">
        <v>43431</v>
      </c>
      <c r="F275" s="2" t="str">
        <f>IF($A275="","",INDEX(v_data!$B$2:$L$1000,MATCH($A275,v_data!$A$3:$A$1000,0)+1,MATCH(LOWER(F$1),v_data!$B$2:$L$2,0)))</f>
        <v/>
      </c>
      <c r="G275" s="2" t="str">
        <f t="shared" si="220"/>
        <v/>
      </c>
      <c r="H275" s="2" t="str">
        <f>IF($A275="","",INDEX(v_data!$B$2:$L$1000,MATCH($A275,v_data!$A$3:$A$1000,0)+1,MATCH(LOWER(H$1),v_data!$B$2:$L$2,0)))</f>
        <v/>
      </c>
      <c r="I275" s="2" t="str">
        <f t="shared" si="221"/>
        <v/>
      </c>
      <c r="J275" s="2" t="str">
        <f>IF($A275="","",INDEX(v_data!$B$2:$L$1000,MATCH($A275,v_data!$A$3:$A$1000,0)+1,MATCH(LOWER(J$1),v_data!$B$2:$L$2,0)))</f>
        <v/>
      </c>
      <c r="K275" s="2" t="str">
        <f t="shared" si="222"/>
        <v/>
      </c>
      <c r="L275" s="2" t="str">
        <f>IF($A275="","",INDEX(v_data!$B$2:$L$1000,MATCH($A275,v_data!$A$3:$A$1000,0)+1,MATCH(LOWER(L$1),v_data!$B$2:$L$2,0)))</f>
        <v/>
      </c>
      <c r="M275" s="2" t="str">
        <f t="shared" si="223"/>
        <v/>
      </c>
      <c r="N275" s="2" t="str">
        <f>IF($A275="","",INDEX(v_data!$B$2:$L$1000,MATCH($A275,v_data!$A$3:$A$1000,0)+1,MATCH(LOWER(N$1),v_data!$B$2:$L$2,0)))</f>
        <v/>
      </c>
      <c r="O275" s="2" t="str">
        <f t="shared" si="224"/>
        <v/>
      </c>
      <c r="P275" s="2" t="str">
        <f>IF($A275="","",INDEX(v_data!$B$2:$L$1000,MATCH($A275,v_data!$A$3:$A$1000,0)+1,MATCH(LOWER(P$1),v_data!$B$2:$L$2,0)))</f>
        <v/>
      </c>
      <c r="Q275" s="2" t="str">
        <f t="shared" si="225"/>
        <v/>
      </c>
      <c r="R275" s="2" t="str">
        <f>IF($A275="","",INDEX(v_data!$B$2:$L$1000,MATCH($A275,v_data!$A$3:$A$1000,0)+1,MATCH(LOWER(R$1),v_data!$B$2:$L$2,0)))</f>
        <v/>
      </c>
      <c r="S275" s="2" t="str">
        <f t="shared" si="226"/>
        <v/>
      </c>
      <c r="T275" s="2" t="str">
        <f>IF($A275="","",INDEX(v_data!$B$2:$L$1000,MATCH($A275,v_data!$A$3:$A$1000,0)+1,MATCH(LOWER(T$1),v_data!$B$2:$L$2,0)))</f>
        <v/>
      </c>
      <c r="U275" s="2" t="str">
        <f t="shared" si="227"/>
        <v/>
      </c>
      <c r="V275" s="2" t="str">
        <f>IF($A275="","",INDEX(v_data!$B$2:$L$1000,MATCH($A275,v_data!$A$3:$A$1000,0)+1,MATCH(LOWER(V$1),v_data!$B$2:$L$2,0)))</f>
        <v/>
      </c>
      <c r="W275" s="2" t="str">
        <f t="shared" si="228"/>
        <v/>
      </c>
      <c r="X275" s="2" t="str">
        <f>IF($A275="","",INDEX(v_data!$B$2:$L$1000,MATCH($A275,v_data!$A$3:$A$1000,0)+1,MATCH(LOWER(X$1),v_data!$B$2:$L$2,0)))</f>
        <v/>
      </c>
      <c r="Y275" s="2" t="str">
        <f t="shared" si="229"/>
        <v/>
      </c>
      <c r="Z275" s="2" t="str">
        <f>IF($A275="","",INDEX(v_data!$B$2:$L$1000,MATCH($A275,v_data!$A$3:$A$1000,0)+1,MATCH(LOWER(Z$1),v_data!$B$2:$L$2,0)))</f>
        <v/>
      </c>
      <c r="AA275" s="2" t="str">
        <f t="shared" si="230"/>
        <v/>
      </c>
      <c r="AB275" s="2" t="str">
        <f t="shared" si="231"/>
        <v/>
      </c>
      <c r="AC275" s="2">
        <f>(SUM(G275,I275,K275,M275,O275,Q275,S275,U275,W275,Y275,AA275)+IF(AND(G275&gt;0,I275&gt;0,K275&gt;0),100,0))*VLOOKUP(B275,variables!$A$2:$B$6,2,FALSE)</f>
        <v>80</v>
      </c>
      <c r="AD275" s="16" t="str">
        <f>IF($A275="","",INDEX(v_data!$B$2:$X$1000,MATCH($A275,v_data!$A$3:$A$1000,0)+1,MATCH(LOWER("hours"),v_data!$B$2:$X$2,0)))</f>
        <v/>
      </c>
    </row>
    <row r="276" spans="1:30" hidden="1" x14ac:dyDescent="0.25">
      <c r="A276" s="2" t="str">
        <f>IF(ISBLANK(v_data!A275),"",v_data!A275)</f>
        <v/>
      </c>
      <c r="B276" s="2" t="s">
        <v>22</v>
      </c>
      <c r="C276" s="2">
        <f>VLOOKUP(B276,variables!$A$2:$B$6,2,FALSE)</f>
        <v>0.8</v>
      </c>
      <c r="D276" s="4">
        <v>43826</v>
      </c>
      <c r="E276" s="4">
        <v>43431</v>
      </c>
      <c r="F276" s="2" t="str">
        <f>IF($A276="","",INDEX(v_data!$B$2:$L$1000,MATCH($A276,v_data!$A$3:$A$1000,0)+1,MATCH(LOWER(F$1),v_data!$B$2:$L$2,0)))</f>
        <v/>
      </c>
      <c r="G276" s="2" t="str">
        <f t="shared" si="220"/>
        <v/>
      </c>
      <c r="H276" s="2" t="str">
        <f>IF($A276="","",INDEX(v_data!$B$2:$L$1000,MATCH($A276,v_data!$A$3:$A$1000,0)+1,MATCH(LOWER(H$1),v_data!$B$2:$L$2,0)))</f>
        <v/>
      </c>
      <c r="I276" s="2" t="str">
        <f t="shared" si="221"/>
        <v/>
      </c>
      <c r="J276" s="2" t="str">
        <f>IF($A276="","",INDEX(v_data!$B$2:$L$1000,MATCH($A276,v_data!$A$3:$A$1000,0)+1,MATCH(LOWER(J$1),v_data!$B$2:$L$2,0)))</f>
        <v/>
      </c>
      <c r="K276" s="2" t="str">
        <f t="shared" si="222"/>
        <v/>
      </c>
      <c r="L276" s="2" t="str">
        <f>IF($A276="","",INDEX(v_data!$B$2:$L$1000,MATCH($A276,v_data!$A$3:$A$1000,0)+1,MATCH(LOWER(L$1),v_data!$B$2:$L$2,0)))</f>
        <v/>
      </c>
      <c r="M276" s="2" t="str">
        <f t="shared" si="223"/>
        <v/>
      </c>
      <c r="N276" s="2" t="str">
        <f>IF($A276="","",INDEX(v_data!$B$2:$L$1000,MATCH($A276,v_data!$A$3:$A$1000,0)+1,MATCH(LOWER(N$1),v_data!$B$2:$L$2,0)))</f>
        <v/>
      </c>
      <c r="O276" s="2" t="str">
        <f t="shared" si="224"/>
        <v/>
      </c>
      <c r="P276" s="2" t="str">
        <f>IF($A276="","",INDEX(v_data!$B$2:$L$1000,MATCH($A276,v_data!$A$3:$A$1000,0)+1,MATCH(LOWER(P$1),v_data!$B$2:$L$2,0)))</f>
        <v/>
      </c>
      <c r="Q276" s="2" t="str">
        <f t="shared" si="225"/>
        <v/>
      </c>
      <c r="R276" s="2" t="str">
        <f>IF($A276="","",INDEX(v_data!$B$2:$L$1000,MATCH($A276,v_data!$A$3:$A$1000,0)+1,MATCH(LOWER(R$1),v_data!$B$2:$L$2,0)))</f>
        <v/>
      </c>
      <c r="S276" s="2" t="str">
        <f t="shared" si="226"/>
        <v/>
      </c>
      <c r="T276" s="2" t="str">
        <f>IF($A276="","",INDEX(v_data!$B$2:$L$1000,MATCH($A276,v_data!$A$3:$A$1000,0)+1,MATCH(LOWER(T$1),v_data!$B$2:$L$2,0)))</f>
        <v/>
      </c>
      <c r="U276" s="2" t="str">
        <f t="shared" si="227"/>
        <v/>
      </c>
      <c r="V276" s="2" t="str">
        <f>IF($A276="","",INDEX(v_data!$B$2:$L$1000,MATCH($A276,v_data!$A$3:$A$1000,0)+1,MATCH(LOWER(V$1),v_data!$B$2:$L$2,0)))</f>
        <v/>
      </c>
      <c r="W276" s="2" t="str">
        <f t="shared" si="228"/>
        <v/>
      </c>
      <c r="X276" s="2" t="str">
        <f>IF($A276="","",INDEX(v_data!$B$2:$L$1000,MATCH($A276,v_data!$A$3:$A$1000,0)+1,MATCH(LOWER(X$1),v_data!$B$2:$L$2,0)))</f>
        <v/>
      </c>
      <c r="Y276" s="2" t="str">
        <f t="shared" si="229"/>
        <v/>
      </c>
      <c r="Z276" s="2" t="str">
        <f>IF($A276="","",INDEX(v_data!$B$2:$L$1000,MATCH($A276,v_data!$A$3:$A$1000,0)+1,MATCH(LOWER(Z$1),v_data!$B$2:$L$2,0)))</f>
        <v/>
      </c>
      <c r="AA276" s="2" t="str">
        <f t="shared" si="230"/>
        <v/>
      </c>
      <c r="AB276" s="2" t="str">
        <f t="shared" si="231"/>
        <v/>
      </c>
      <c r="AC276" s="2">
        <f>(SUM(G276,I276,K276,M276,O276,Q276,S276,U276,W276,Y276,AA276)+IF(AND(G276&gt;0,I276&gt;0,K276&gt;0),100,0))*VLOOKUP(B276,variables!$A$2:$B$6,2,FALSE)</f>
        <v>80</v>
      </c>
      <c r="AD276" s="16" t="str">
        <f>IF($A276="","",INDEX(v_data!$B$2:$X$1000,MATCH($A276,v_data!$A$3:$A$1000,0)+1,MATCH(LOWER("hours"),v_data!$B$2:$X$2,0)))</f>
        <v/>
      </c>
    </row>
    <row r="277" spans="1:30" hidden="1" x14ac:dyDescent="0.25">
      <c r="A277" s="2" t="str">
        <f>IF(ISBLANK(v_data!A276),"",v_data!A276)</f>
        <v/>
      </c>
      <c r="B277" s="2" t="s">
        <v>22</v>
      </c>
      <c r="C277" s="2">
        <f>VLOOKUP(B277,variables!$A$2:$B$6,2,FALSE)</f>
        <v>0.8</v>
      </c>
      <c r="D277" s="4">
        <v>43826</v>
      </c>
      <c r="E277" s="4">
        <v>43431</v>
      </c>
      <c r="F277" s="2" t="str">
        <f>IF($A277="","",INDEX(v_data!$B$2:$L$1000,MATCH($A277,v_data!$A$3:$A$1000,0)+1,MATCH(LOWER(F$1),v_data!$B$2:$L$2,0)))</f>
        <v/>
      </c>
      <c r="G277" s="2" t="str">
        <f t="shared" si="220"/>
        <v/>
      </c>
      <c r="H277" s="2" t="str">
        <f>IF($A277="","",INDEX(v_data!$B$2:$L$1000,MATCH($A277,v_data!$A$3:$A$1000,0)+1,MATCH(LOWER(H$1),v_data!$B$2:$L$2,0)))</f>
        <v/>
      </c>
      <c r="I277" s="2" t="str">
        <f t="shared" si="221"/>
        <v/>
      </c>
      <c r="J277" s="2" t="str">
        <f>IF($A277="","",INDEX(v_data!$B$2:$L$1000,MATCH($A277,v_data!$A$3:$A$1000,0)+1,MATCH(LOWER(J$1),v_data!$B$2:$L$2,0)))</f>
        <v/>
      </c>
      <c r="K277" s="2" t="str">
        <f t="shared" si="222"/>
        <v/>
      </c>
      <c r="L277" s="2" t="str">
        <f>IF($A277="","",INDEX(v_data!$B$2:$L$1000,MATCH($A277,v_data!$A$3:$A$1000,0)+1,MATCH(LOWER(L$1),v_data!$B$2:$L$2,0)))</f>
        <v/>
      </c>
      <c r="M277" s="2" t="str">
        <f t="shared" si="223"/>
        <v/>
      </c>
      <c r="N277" s="2" t="str">
        <f>IF($A277="","",INDEX(v_data!$B$2:$L$1000,MATCH($A277,v_data!$A$3:$A$1000,0)+1,MATCH(LOWER(N$1),v_data!$B$2:$L$2,0)))</f>
        <v/>
      </c>
      <c r="O277" s="2" t="str">
        <f t="shared" si="224"/>
        <v/>
      </c>
      <c r="P277" s="2" t="str">
        <f>IF($A277="","",INDEX(v_data!$B$2:$L$1000,MATCH($A277,v_data!$A$3:$A$1000,0)+1,MATCH(LOWER(P$1),v_data!$B$2:$L$2,0)))</f>
        <v/>
      </c>
      <c r="Q277" s="2" t="str">
        <f t="shared" si="225"/>
        <v/>
      </c>
      <c r="R277" s="2" t="str">
        <f>IF($A277="","",INDEX(v_data!$B$2:$L$1000,MATCH($A277,v_data!$A$3:$A$1000,0)+1,MATCH(LOWER(R$1),v_data!$B$2:$L$2,0)))</f>
        <v/>
      </c>
      <c r="S277" s="2" t="str">
        <f t="shared" si="226"/>
        <v/>
      </c>
      <c r="T277" s="2" t="str">
        <f>IF($A277="","",INDEX(v_data!$B$2:$L$1000,MATCH($A277,v_data!$A$3:$A$1000,0)+1,MATCH(LOWER(T$1),v_data!$B$2:$L$2,0)))</f>
        <v/>
      </c>
      <c r="U277" s="2" t="str">
        <f t="shared" si="227"/>
        <v/>
      </c>
      <c r="V277" s="2" t="str">
        <f>IF($A277="","",INDEX(v_data!$B$2:$L$1000,MATCH($A277,v_data!$A$3:$A$1000,0)+1,MATCH(LOWER(V$1),v_data!$B$2:$L$2,0)))</f>
        <v/>
      </c>
      <c r="W277" s="2" t="str">
        <f t="shared" si="228"/>
        <v/>
      </c>
      <c r="X277" s="2" t="str">
        <f>IF($A277="","",INDEX(v_data!$B$2:$L$1000,MATCH($A277,v_data!$A$3:$A$1000,0)+1,MATCH(LOWER(X$1),v_data!$B$2:$L$2,0)))</f>
        <v/>
      </c>
      <c r="Y277" s="2" t="str">
        <f t="shared" si="229"/>
        <v/>
      </c>
      <c r="Z277" s="2" t="str">
        <f>IF($A277="","",INDEX(v_data!$B$2:$L$1000,MATCH($A277,v_data!$A$3:$A$1000,0)+1,MATCH(LOWER(Z$1),v_data!$B$2:$L$2,0)))</f>
        <v/>
      </c>
      <c r="AA277" s="2" t="str">
        <f t="shared" si="230"/>
        <v/>
      </c>
      <c r="AB277" s="2" t="str">
        <f t="shared" si="231"/>
        <v/>
      </c>
      <c r="AC277" s="2">
        <f>(SUM(G277,I277,K277,M277,O277,Q277,S277,U277,W277,Y277,AA277)+IF(AND(G277&gt;0,I277&gt;0,K277&gt;0),100,0))*VLOOKUP(B277,variables!$A$2:$B$6,2,FALSE)</f>
        <v>80</v>
      </c>
      <c r="AD277" s="16" t="str">
        <f>IF($A277="","",INDEX(v_data!$B$2:$X$1000,MATCH($A277,v_data!$A$3:$A$1000,0)+1,MATCH(LOWER("hours"),v_data!$B$2:$X$2,0)))</f>
        <v/>
      </c>
    </row>
    <row r="278" spans="1:30" hidden="1" x14ac:dyDescent="0.25">
      <c r="A278" s="2" t="str">
        <f>IF(ISBLANK(v_data!A277),"",v_data!A277)</f>
        <v/>
      </c>
      <c r="B278" s="2" t="s">
        <v>22</v>
      </c>
      <c r="C278" s="2">
        <f>VLOOKUP(B278,variables!$A$2:$B$6,2,FALSE)</f>
        <v>0.8</v>
      </c>
      <c r="D278" s="4">
        <v>43826</v>
      </c>
      <c r="E278" s="4">
        <v>43431</v>
      </c>
      <c r="F278" s="2" t="str">
        <f>IF($A278="","",INDEX(v_data!$B$2:$L$1000,MATCH($A278,v_data!$A$3:$A$1000,0)+1,MATCH(LOWER(F$1),v_data!$B$2:$L$2,0)))</f>
        <v/>
      </c>
      <c r="G278" s="2" t="str">
        <f t="shared" si="220"/>
        <v/>
      </c>
      <c r="H278" s="2" t="str">
        <f>IF($A278="","",INDEX(v_data!$B$2:$L$1000,MATCH($A278,v_data!$A$3:$A$1000,0)+1,MATCH(LOWER(H$1),v_data!$B$2:$L$2,0)))</f>
        <v/>
      </c>
      <c r="I278" s="2" t="str">
        <f t="shared" si="221"/>
        <v/>
      </c>
      <c r="J278" s="2" t="str">
        <f>IF($A278="","",INDEX(v_data!$B$2:$L$1000,MATCH($A278,v_data!$A$3:$A$1000,0)+1,MATCH(LOWER(J$1),v_data!$B$2:$L$2,0)))</f>
        <v/>
      </c>
      <c r="K278" s="2" t="str">
        <f t="shared" si="222"/>
        <v/>
      </c>
      <c r="L278" s="2" t="str">
        <f>IF($A278="","",INDEX(v_data!$B$2:$L$1000,MATCH($A278,v_data!$A$3:$A$1000,0)+1,MATCH(LOWER(L$1),v_data!$B$2:$L$2,0)))</f>
        <v/>
      </c>
      <c r="M278" s="2" t="str">
        <f t="shared" si="223"/>
        <v/>
      </c>
      <c r="N278" s="2" t="str">
        <f>IF($A278="","",INDEX(v_data!$B$2:$L$1000,MATCH($A278,v_data!$A$3:$A$1000,0)+1,MATCH(LOWER(N$1),v_data!$B$2:$L$2,0)))</f>
        <v/>
      </c>
      <c r="O278" s="2" t="str">
        <f t="shared" si="224"/>
        <v/>
      </c>
      <c r="P278" s="2" t="str">
        <f>IF($A278="","",INDEX(v_data!$B$2:$L$1000,MATCH($A278,v_data!$A$3:$A$1000,0)+1,MATCH(LOWER(P$1),v_data!$B$2:$L$2,0)))</f>
        <v/>
      </c>
      <c r="Q278" s="2" t="str">
        <f t="shared" si="225"/>
        <v/>
      </c>
      <c r="R278" s="2" t="str">
        <f>IF($A278="","",INDEX(v_data!$B$2:$L$1000,MATCH($A278,v_data!$A$3:$A$1000,0)+1,MATCH(LOWER(R$1),v_data!$B$2:$L$2,0)))</f>
        <v/>
      </c>
      <c r="S278" s="2" t="str">
        <f t="shared" si="226"/>
        <v/>
      </c>
      <c r="T278" s="2" t="str">
        <f>IF($A278="","",INDEX(v_data!$B$2:$L$1000,MATCH($A278,v_data!$A$3:$A$1000,0)+1,MATCH(LOWER(T$1),v_data!$B$2:$L$2,0)))</f>
        <v/>
      </c>
      <c r="U278" s="2" t="str">
        <f t="shared" si="227"/>
        <v/>
      </c>
      <c r="V278" s="2" t="str">
        <f>IF($A278="","",INDEX(v_data!$B$2:$L$1000,MATCH($A278,v_data!$A$3:$A$1000,0)+1,MATCH(LOWER(V$1),v_data!$B$2:$L$2,0)))</f>
        <v/>
      </c>
      <c r="W278" s="2" t="str">
        <f t="shared" si="228"/>
        <v/>
      </c>
      <c r="X278" s="2" t="str">
        <f>IF($A278="","",INDEX(v_data!$B$2:$L$1000,MATCH($A278,v_data!$A$3:$A$1000,0)+1,MATCH(LOWER(X$1),v_data!$B$2:$L$2,0)))</f>
        <v/>
      </c>
      <c r="Y278" s="2" t="str">
        <f t="shared" si="229"/>
        <v/>
      </c>
      <c r="Z278" s="2" t="str">
        <f>IF($A278="","",INDEX(v_data!$B$2:$L$1000,MATCH($A278,v_data!$A$3:$A$1000,0)+1,MATCH(LOWER(Z$1),v_data!$B$2:$L$2,0)))</f>
        <v/>
      </c>
      <c r="AA278" s="2" t="str">
        <f t="shared" si="230"/>
        <v/>
      </c>
      <c r="AB278" s="2" t="str">
        <f t="shared" si="231"/>
        <v/>
      </c>
      <c r="AC278" s="2">
        <f>(SUM(G278,I278,K278,M278,O278,Q278,S278,U278,W278,Y278,AA278)+IF(AND(G278&gt;0,I278&gt;0,K278&gt;0),100,0))*VLOOKUP(B278,variables!$A$2:$B$6,2,FALSE)</f>
        <v>80</v>
      </c>
      <c r="AD278" s="16" t="str">
        <f>IF($A278="","",INDEX(v_data!$B$2:$X$1000,MATCH($A278,v_data!$A$3:$A$1000,0)+1,MATCH(LOWER("hours"),v_data!$B$2:$X$2,0)))</f>
        <v/>
      </c>
    </row>
    <row r="279" spans="1:30" hidden="1" x14ac:dyDescent="0.25">
      <c r="A279" s="2" t="str">
        <f>IF(ISBLANK(v_data!A278),"",v_data!A278)</f>
        <v/>
      </c>
      <c r="B279" s="2" t="s">
        <v>22</v>
      </c>
      <c r="C279" s="2">
        <f>VLOOKUP(B279,variables!$A$2:$B$6,2,FALSE)</f>
        <v>0.8</v>
      </c>
      <c r="D279" s="4">
        <v>43826</v>
      </c>
      <c r="E279" s="4">
        <v>43431</v>
      </c>
      <c r="F279" s="2" t="str">
        <f>IF($A279="","",INDEX(v_data!$B$2:$L$1000,MATCH($A279,v_data!$A$3:$A$1000,0)+1,MATCH(LOWER(F$1),v_data!$B$2:$L$2,0)))</f>
        <v/>
      </c>
      <c r="G279" s="2" t="str">
        <f t="shared" si="220"/>
        <v/>
      </c>
      <c r="H279" s="2" t="str">
        <f>IF($A279="","",INDEX(v_data!$B$2:$L$1000,MATCH($A279,v_data!$A$3:$A$1000,0)+1,MATCH(LOWER(H$1),v_data!$B$2:$L$2,0)))</f>
        <v/>
      </c>
      <c r="I279" s="2" t="str">
        <f t="shared" si="221"/>
        <v/>
      </c>
      <c r="J279" s="2" t="str">
        <f>IF($A279="","",INDEX(v_data!$B$2:$L$1000,MATCH($A279,v_data!$A$3:$A$1000,0)+1,MATCH(LOWER(J$1),v_data!$B$2:$L$2,0)))</f>
        <v/>
      </c>
      <c r="K279" s="2" t="str">
        <f t="shared" si="222"/>
        <v/>
      </c>
      <c r="L279" s="2" t="str">
        <f>IF($A279="","",INDEX(v_data!$B$2:$L$1000,MATCH($A279,v_data!$A$3:$A$1000,0)+1,MATCH(LOWER(L$1),v_data!$B$2:$L$2,0)))</f>
        <v/>
      </c>
      <c r="M279" s="2" t="str">
        <f t="shared" si="223"/>
        <v/>
      </c>
      <c r="N279" s="2" t="str">
        <f>IF($A279="","",INDEX(v_data!$B$2:$L$1000,MATCH($A279,v_data!$A$3:$A$1000,0)+1,MATCH(LOWER(N$1),v_data!$B$2:$L$2,0)))</f>
        <v/>
      </c>
      <c r="O279" s="2" t="str">
        <f t="shared" si="224"/>
        <v/>
      </c>
      <c r="P279" s="2" t="str">
        <f>IF($A279="","",INDEX(v_data!$B$2:$L$1000,MATCH($A279,v_data!$A$3:$A$1000,0)+1,MATCH(LOWER(P$1),v_data!$B$2:$L$2,0)))</f>
        <v/>
      </c>
      <c r="Q279" s="2" t="str">
        <f t="shared" si="225"/>
        <v/>
      </c>
      <c r="R279" s="2" t="str">
        <f>IF($A279="","",INDEX(v_data!$B$2:$L$1000,MATCH($A279,v_data!$A$3:$A$1000,0)+1,MATCH(LOWER(R$1),v_data!$B$2:$L$2,0)))</f>
        <v/>
      </c>
      <c r="S279" s="2" t="str">
        <f t="shared" si="226"/>
        <v/>
      </c>
      <c r="T279" s="2" t="str">
        <f>IF($A279="","",INDEX(v_data!$B$2:$L$1000,MATCH($A279,v_data!$A$3:$A$1000,0)+1,MATCH(LOWER(T$1),v_data!$B$2:$L$2,0)))</f>
        <v/>
      </c>
      <c r="U279" s="2" t="str">
        <f t="shared" si="227"/>
        <v/>
      </c>
      <c r="V279" s="2" t="str">
        <f>IF($A279="","",INDEX(v_data!$B$2:$L$1000,MATCH($A279,v_data!$A$3:$A$1000,0)+1,MATCH(LOWER(V$1),v_data!$B$2:$L$2,0)))</f>
        <v/>
      </c>
      <c r="W279" s="2" t="str">
        <f t="shared" si="228"/>
        <v/>
      </c>
      <c r="X279" s="2" t="str">
        <f>IF($A279="","",INDEX(v_data!$B$2:$L$1000,MATCH($A279,v_data!$A$3:$A$1000,0)+1,MATCH(LOWER(X$1),v_data!$B$2:$L$2,0)))</f>
        <v/>
      </c>
      <c r="Y279" s="2" t="str">
        <f t="shared" si="229"/>
        <v/>
      </c>
      <c r="Z279" s="2" t="str">
        <f>IF($A279="","",INDEX(v_data!$B$2:$L$1000,MATCH($A279,v_data!$A$3:$A$1000,0)+1,MATCH(LOWER(Z$1),v_data!$B$2:$L$2,0)))</f>
        <v/>
      </c>
      <c r="AA279" s="2" t="str">
        <f t="shared" si="230"/>
        <v/>
      </c>
      <c r="AB279" s="2" t="str">
        <f t="shared" si="231"/>
        <v/>
      </c>
      <c r="AC279" s="2">
        <f>(SUM(G279,I279,K279,M279,O279,Q279,S279,U279,W279,Y279,AA279)+IF(AND(G279&gt;0,I279&gt;0,K279&gt;0),100,0))*VLOOKUP(B279,variables!$A$2:$B$6,2,FALSE)</f>
        <v>80</v>
      </c>
      <c r="AD279" s="16" t="str">
        <f>IF($A279="","",INDEX(v_data!$B$2:$X$1000,MATCH($A279,v_data!$A$3:$A$1000,0)+1,MATCH(LOWER("hours"),v_data!$B$2:$X$2,0)))</f>
        <v/>
      </c>
    </row>
    <row r="280" spans="1:30" hidden="1" x14ac:dyDescent="0.25">
      <c r="A280" s="2" t="str">
        <f>IF(ISBLANK(v_data!A279),"",v_data!A279)</f>
        <v/>
      </c>
      <c r="B280" s="2" t="s">
        <v>22</v>
      </c>
      <c r="C280" s="2">
        <f>VLOOKUP(B280,variables!$A$2:$B$6,2,FALSE)</f>
        <v>0.8</v>
      </c>
      <c r="D280" s="4">
        <v>43826</v>
      </c>
      <c r="E280" s="4">
        <v>43431</v>
      </c>
      <c r="F280" s="2" t="str">
        <f>IF($A280="","",INDEX(v_data!$B$2:$L$1000,MATCH($A280,v_data!$A$3:$A$1000,0)+1,MATCH(LOWER(F$1),v_data!$B$2:$L$2,0)))</f>
        <v/>
      </c>
      <c r="G280" s="2" t="str">
        <f t="shared" ref="G280:G300" si="232">IF($A280="","",F280*G$2)</f>
        <v/>
      </c>
      <c r="H280" s="2" t="str">
        <f>IF($A280="","",INDEX(v_data!$B$2:$L$1000,MATCH($A280,v_data!$A$3:$A$1000,0)+1,MATCH(LOWER(H$1),v_data!$B$2:$L$2,0)))</f>
        <v/>
      </c>
      <c r="I280" s="2" t="str">
        <f t="shared" ref="I280:I300" si="233">IF($A280="","",H280*I$2)</f>
        <v/>
      </c>
      <c r="J280" s="2" t="str">
        <f>IF($A280="","",INDEX(v_data!$B$2:$L$1000,MATCH($A280,v_data!$A$3:$A$1000,0)+1,MATCH(LOWER(J$1),v_data!$B$2:$L$2,0)))</f>
        <v/>
      </c>
      <c r="K280" s="2" t="str">
        <f t="shared" ref="K280:K300" si="234">IF($A280="","",J280*K$2)</f>
        <v/>
      </c>
      <c r="L280" s="2" t="str">
        <f>IF($A280="","",INDEX(v_data!$B$2:$L$1000,MATCH($A280,v_data!$A$3:$A$1000,0)+1,MATCH(LOWER(L$1),v_data!$B$2:$L$2,0)))</f>
        <v/>
      </c>
      <c r="M280" s="2" t="str">
        <f t="shared" ref="M280:M300" si="235">IF($A280="","",L280*M$2)</f>
        <v/>
      </c>
      <c r="N280" s="2" t="str">
        <f>IF($A280="","",INDEX(v_data!$B$2:$L$1000,MATCH($A280,v_data!$A$3:$A$1000,0)+1,MATCH(LOWER(N$1),v_data!$B$2:$L$2,0)))</f>
        <v/>
      </c>
      <c r="O280" s="2" t="str">
        <f t="shared" ref="O280:O300" si="236">IF($A280="","",N280*O$2)</f>
        <v/>
      </c>
      <c r="P280" s="2" t="str">
        <f>IF($A280="","",INDEX(v_data!$B$2:$L$1000,MATCH($A280,v_data!$A$3:$A$1000,0)+1,MATCH(LOWER(P$1),v_data!$B$2:$L$2,0)))</f>
        <v/>
      </c>
      <c r="Q280" s="2" t="str">
        <f t="shared" ref="Q280:Q300" si="237">IF($A280="","",P280*Q$2)</f>
        <v/>
      </c>
      <c r="R280" s="2" t="str">
        <f>IF($A280="","",INDEX(v_data!$B$2:$L$1000,MATCH($A280,v_data!$A$3:$A$1000,0)+1,MATCH(LOWER(R$1),v_data!$B$2:$L$2,0)))</f>
        <v/>
      </c>
      <c r="S280" s="2" t="str">
        <f t="shared" ref="S280:S300" si="238">IF($A280="","",R280*S$2)</f>
        <v/>
      </c>
      <c r="T280" s="2" t="str">
        <f>IF($A280="","",INDEX(v_data!$B$2:$L$1000,MATCH($A280,v_data!$A$3:$A$1000,0)+1,MATCH(LOWER(T$1),v_data!$B$2:$L$2,0)))</f>
        <v/>
      </c>
      <c r="U280" s="2" t="str">
        <f t="shared" ref="U280:U300" si="239">IF($A280="","",T280*U$2)</f>
        <v/>
      </c>
      <c r="V280" s="2" t="str">
        <f>IF($A280="","",INDEX(v_data!$B$2:$L$1000,MATCH($A280,v_data!$A$3:$A$1000,0)+1,MATCH(LOWER(V$1),v_data!$B$2:$L$2,0)))</f>
        <v/>
      </c>
      <c r="W280" s="2" t="str">
        <f t="shared" ref="W280:W300" si="240">IF($A280="","",V280*W$2)</f>
        <v/>
      </c>
      <c r="X280" s="2" t="str">
        <f>IF($A280="","",INDEX(v_data!$B$2:$L$1000,MATCH($A280,v_data!$A$3:$A$1000,0)+1,MATCH(LOWER(X$1),v_data!$B$2:$L$2,0)))</f>
        <v/>
      </c>
      <c r="Y280" s="2" t="str">
        <f t="shared" ref="Y280:Y300" si="241">IF($A280="","",X280*Y$2)</f>
        <v/>
      </c>
      <c r="Z280" s="2" t="str">
        <f>IF($A280="","",INDEX(v_data!$B$2:$L$1000,MATCH($A280,v_data!$A$3:$A$1000,0)+1,MATCH(LOWER(Z$1),v_data!$B$2:$L$2,0)))</f>
        <v/>
      </c>
      <c r="AA280" s="2" t="str">
        <f t="shared" ref="AA280:AA300" si="242">IF($A280="","",Z280*AA$2)</f>
        <v/>
      </c>
      <c r="AB280" s="2" t="str">
        <f t="shared" ref="AB280:AB300" si="243">IF(A280="","",SUM(G280,I280,K280,M280,O280,Q280,S280,U280,W280,Y280,AA280))</f>
        <v/>
      </c>
      <c r="AC280" s="2">
        <f>(SUM(G280,I280,K280,M280,O280,Q280,S280,U280,W280,Y280,AA280)+IF(AND(G280&gt;0,I280&gt;0,K280&gt;0),100,0))*VLOOKUP(B280,variables!$A$2:$B$6,2,FALSE)</f>
        <v>80</v>
      </c>
      <c r="AD280" s="16" t="str">
        <f>IF($A280="","",INDEX(v_data!$B$2:$X$1000,MATCH($A280,v_data!$A$3:$A$1000,0)+1,MATCH(LOWER("hours"),v_data!$B$2:$X$2,0)))</f>
        <v/>
      </c>
    </row>
    <row r="281" spans="1:30" hidden="1" x14ac:dyDescent="0.25">
      <c r="A281" s="2" t="str">
        <f>IF(ISBLANK(v_data!A280),"",v_data!A280)</f>
        <v/>
      </c>
      <c r="B281" s="2" t="s">
        <v>22</v>
      </c>
      <c r="C281" s="2">
        <f>VLOOKUP(B281,variables!$A$2:$B$6,2,FALSE)</f>
        <v>0.8</v>
      </c>
      <c r="D281" s="4">
        <v>43826</v>
      </c>
      <c r="E281" s="4">
        <v>43431</v>
      </c>
      <c r="F281" s="2" t="str">
        <f>IF($A281="","",INDEX(v_data!$B$2:$L$1000,MATCH($A281,v_data!$A$3:$A$1000,0)+1,MATCH(LOWER(F$1),v_data!$B$2:$L$2,0)))</f>
        <v/>
      </c>
      <c r="G281" s="2" t="str">
        <f t="shared" si="232"/>
        <v/>
      </c>
      <c r="H281" s="2" t="str">
        <f>IF($A281="","",INDEX(v_data!$B$2:$L$1000,MATCH($A281,v_data!$A$3:$A$1000,0)+1,MATCH(LOWER(H$1),v_data!$B$2:$L$2,0)))</f>
        <v/>
      </c>
      <c r="I281" s="2" t="str">
        <f t="shared" si="233"/>
        <v/>
      </c>
      <c r="J281" s="2" t="str">
        <f>IF($A281="","",INDEX(v_data!$B$2:$L$1000,MATCH($A281,v_data!$A$3:$A$1000,0)+1,MATCH(LOWER(J$1),v_data!$B$2:$L$2,0)))</f>
        <v/>
      </c>
      <c r="K281" s="2" t="str">
        <f t="shared" si="234"/>
        <v/>
      </c>
      <c r="L281" s="2" t="str">
        <f>IF($A281="","",INDEX(v_data!$B$2:$L$1000,MATCH($A281,v_data!$A$3:$A$1000,0)+1,MATCH(LOWER(L$1),v_data!$B$2:$L$2,0)))</f>
        <v/>
      </c>
      <c r="M281" s="2" t="str">
        <f t="shared" si="235"/>
        <v/>
      </c>
      <c r="N281" s="2" t="str">
        <f>IF($A281="","",INDEX(v_data!$B$2:$L$1000,MATCH($A281,v_data!$A$3:$A$1000,0)+1,MATCH(LOWER(N$1),v_data!$B$2:$L$2,0)))</f>
        <v/>
      </c>
      <c r="O281" s="2" t="str">
        <f t="shared" si="236"/>
        <v/>
      </c>
      <c r="P281" s="2" t="str">
        <f>IF($A281="","",INDEX(v_data!$B$2:$L$1000,MATCH($A281,v_data!$A$3:$A$1000,0)+1,MATCH(LOWER(P$1),v_data!$B$2:$L$2,0)))</f>
        <v/>
      </c>
      <c r="Q281" s="2" t="str">
        <f t="shared" si="237"/>
        <v/>
      </c>
      <c r="R281" s="2" t="str">
        <f>IF($A281="","",INDEX(v_data!$B$2:$L$1000,MATCH($A281,v_data!$A$3:$A$1000,0)+1,MATCH(LOWER(R$1),v_data!$B$2:$L$2,0)))</f>
        <v/>
      </c>
      <c r="S281" s="2" t="str">
        <f t="shared" si="238"/>
        <v/>
      </c>
      <c r="T281" s="2" t="str">
        <f>IF($A281="","",INDEX(v_data!$B$2:$L$1000,MATCH($A281,v_data!$A$3:$A$1000,0)+1,MATCH(LOWER(T$1),v_data!$B$2:$L$2,0)))</f>
        <v/>
      </c>
      <c r="U281" s="2" t="str">
        <f t="shared" si="239"/>
        <v/>
      </c>
      <c r="V281" s="2" t="str">
        <f>IF($A281="","",INDEX(v_data!$B$2:$L$1000,MATCH($A281,v_data!$A$3:$A$1000,0)+1,MATCH(LOWER(V$1),v_data!$B$2:$L$2,0)))</f>
        <v/>
      </c>
      <c r="W281" s="2" t="str">
        <f t="shared" si="240"/>
        <v/>
      </c>
      <c r="X281" s="2" t="str">
        <f>IF($A281="","",INDEX(v_data!$B$2:$L$1000,MATCH($A281,v_data!$A$3:$A$1000,0)+1,MATCH(LOWER(X$1),v_data!$B$2:$L$2,0)))</f>
        <v/>
      </c>
      <c r="Y281" s="2" t="str">
        <f t="shared" si="241"/>
        <v/>
      </c>
      <c r="Z281" s="2" t="str">
        <f>IF($A281="","",INDEX(v_data!$B$2:$L$1000,MATCH($A281,v_data!$A$3:$A$1000,0)+1,MATCH(LOWER(Z$1),v_data!$B$2:$L$2,0)))</f>
        <v/>
      </c>
      <c r="AA281" s="2" t="str">
        <f t="shared" si="242"/>
        <v/>
      </c>
      <c r="AB281" s="2" t="str">
        <f t="shared" si="243"/>
        <v/>
      </c>
      <c r="AC281" s="2">
        <f>(SUM(G281,I281,K281,M281,O281,Q281,S281,U281,W281,Y281,AA281)+IF(AND(G281&gt;0,I281&gt;0,K281&gt;0),100,0))*VLOOKUP(B281,variables!$A$2:$B$6,2,FALSE)</f>
        <v>80</v>
      </c>
      <c r="AD281" s="16" t="str">
        <f>IF($A281="","",INDEX(v_data!$B$2:$X$1000,MATCH($A281,v_data!$A$3:$A$1000,0)+1,MATCH(LOWER("hours"),v_data!$B$2:$X$2,0)))</f>
        <v/>
      </c>
    </row>
    <row r="282" spans="1:30" hidden="1" x14ac:dyDescent="0.25">
      <c r="A282" s="2" t="str">
        <f>IF(ISBLANK(v_data!A281),"",v_data!A281)</f>
        <v/>
      </c>
      <c r="B282" s="2" t="s">
        <v>22</v>
      </c>
      <c r="C282" s="2">
        <f>VLOOKUP(B282,variables!$A$2:$B$6,2,FALSE)</f>
        <v>0.8</v>
      </c>
      <c r="D282" s="4">
        <v>43826</v>
      </c>
      <c r="E282" s="4">
        <v>43431</v>
      </c>
      <c r="F282" s="2" t="str">
        <f>IF($A282="","",INDEX(v_data!$B$2:$L$1000,MATCH($A282,v_data!$A$3:$A$1000,0)+1,MATCH(LOWER(F$1),v_data!$B$2:$L$2,0)))</f>
        <v/>
      </c>
      <c r="G282" s="2" t="str">
        <f t="shared" si="232"/>
        <v/>
      </c>
      <c r="H282" s="2" t="str">
        <f>IF($A282="","",INDEX(v_data!$B$2:$L$1000,MATCH($A282,v_data!$A$3:$A$1000,0)+1,MATCH(LOWER(H$1),v_data!$B$2:$L$2,0)))</f>
        <v/>
      </c>
      <c r="I282" s="2" t="str">
        <f t="shared" si="233"/>
        <v/>
      </c>
      <c r="J282" s="2" t="str">
        <f>IF($A282="","",INDEX(v_data!$B$2:$L$1000,MATCH($A282,v_data!$A$3:$A$1000,0)+1,MATCH(LOWER(J$1),v_data!$B$2:$L$2,0)))</f>
        <v/>
      </c>
      <c r="K282" s="2" t="str">
        <f t="shared" si="234"/>
        <v/>
      </c>
      <c r="L282" s="2" t="str">
        <f>IF($A282="","",INDEX(v_data!$B$2:$L$1000,MATCH($A282,v_data!$A$3:$A$1000,0)+1,MATCH(LOWER(L$1),v_data!$B$2:$L$2,0)))</f>
        <v/>
      </c>
      <c r="M282" s="2" t="str">
        <f t="shared" si="235"/>
        <v/>
      </c>
      <c r="N282" s="2" t="str">
        <f>IF($A282="","",INDEX(v_data!$B$2:$L$1000,MATCH($A282,v_data!$A$3:$A$1000,0)+1,MATCH(LOWER(N$1),v_data!$B$2:$L$2,0)))</f>
        <v/>
      </c>
      <c r="O282" s="2" t="str">
        <f t="shared" si="236"/>
        <v/>
      </c>
      <c r="P282" s="2" t="str">
        <f>IF($A282="","",INDEX(v_data!$B$2:$L$1000,MATCH($A282,v_data!$A$3:$A$1000,0)+1,MATCH(LOWER(P$1),v_data!$B$2:$L$2,0)))</f>
        <v/>
      </c>
      <c r="Q282" s="2" t="str">
        <f t="shared" si="237"/>
        <v/>
      </c>
      <c r="R282" s="2" t="str">
        <f>IF($A282="","",INDEX(v_data!$B$2:$L$1000,MATCH($A282,v_data!$A$3:$A$1000,0)+1,MATCH(LOWER(R$1),v_data!$B$2:$L$2,0)))</f>
        <v/>
      </c>
      <c r="S282" s="2" t="str">
        <f t="shared" si="238"/>
        <v/>
      </c>
      <c r="T282" s="2" t="str">
        <f>IF($A282="","",INDEX(v_data!$B$2:$L$1000,MATCH($A282,v_data!$A$3:$A$1000,0)+1,MATCH(LOWER(T$1),v_data!$B$2:$L$2,0)))</f>
        <v/>
      </c>
      <c r="U282" s="2" t="str">
        <f t="shared" si="239"/>
        <v/>
      </c>
      <c r="V282" s="2" t="str">
        <f>IF($A282="","",INDEX(v_data!$B$2:$L$1000,MATCH($A282,v_data!$A$3:$A$1000,0)+1,MATCH(LOWER(V$1),v_data!$B$2:$L$2,0)))</f>
        <v/>
      </c>
      <c r="W282" s="2" t="str">
        <f t="shared" si="240"/>
        <v/>
      </c>
      <c r="X282" s="2" t="str">
        <f>IF($A282="","",INDEX(v_data!$B$2:$L$1000,MATCH($A282,v_data!$A$3:$A$1000,0)+1,MATCH(LOWER(X$1),v_data!$B$2:$L$2,0)))</f>
        <v/>
      </c>
      <c r="Y282" s="2" t="str">
        <f t="shared" si="241"/>
        <v/>
      </c>
      <c r="Z282" s="2" t="str">
        <f>IF($A282="","",INDEX(v_data!$B$2:$L$1000,MATCH($A282,v_data!$A$3:$A$1000,0)+1,MATCH(LOWER(Z$1),v_data!$B$2:$L$2,0)))</f>
        <v/>
      </c>
      <c r="AA282" s="2" t="str">
        <f t="shared" si="242"/>
        <v/>
      </c>
      <c r="AB282" s="2" t="str">
        <f t="shared" si="243"/>
        <v/>
      </c>
      <c r="AC282" s="2">
        <f>(SUM(G282,I282,K282,M282,O282,Q282,S282,U282,W282,Y282,AA282)+IF(AND(G282&gt;0,I282&gt;0,K282&gt;0),100,0))*VLOOKUP(B282,variables!$A$2:$B$6,2,FALSE)</f>
        <v>80</v>
      </c>
      <c r="AD282" s="16" t="str">
        <f>IF($A282="","",INDEX(v_data!$B$2:$X$1000,MATCH($A282,v_data!$A$3:$A$1000,0)+1,MATCH(LOWER("hours"),v_data!$B$2:$X$2,0)))</f>
        <v/>
      </c>
    </row>
    <row r="283" spans="1:30" hidden="1" x14ac:dyDescent="0.25">
      <c r="A283" s="2" t="str">
        <f>IF(ISBLANK(v_data!A282),"",v_data!A282)</f>
        <v/>
      </c>
      <c r="B283" s="2" t="s">
        <v>22</v>
      </c>
      <c r="C283" s="2">
        <f>VLOOKUP(B283,variables!$A$2:$B$6,2,FALSE)</f>
        <v>0.8</v>
      </c>
      <c r="D283" s="4">
        <v>43826</v>
      </c>
      <c r="E283" s="4">
        <v>43431</v>
      </c>
      <c r="F283" s="2" t="str">
        <f>IF($A283="","",INDEX(v_data!$B$2:$L$1000,MATCH($A283,v_data!$A$3:$A$1000,0)+1,MATCH(LOWER(F$1),v_data!$B$2:$L$2,0)))</f>
        <v/>
      </c>
      <c r="G283" s="2" t="str">
        <f t="shared" si="232"/>
        <v/>
      </c>
      <c r="H283" s="2" t="str">
        <f>IF($A283="","",INDEX(v_data!$B$2:$L$1000,MATCH($A283,v_data!$A$3:$A$1000,0)+1,MATCH(LOWER(H$1),v_data!$B$2:$L$2,0)))</f>
        <v/>
      </c>
      <c r="I283" s="2" t="str">
        <f t="shared" si="233"/>
        <v/>
      </c>
      <c r="J283" s="2" t="str">
        <f>IF($A283="","",INDEX(v_data!$B$2:$L$1000,MATCH($A283,v_data!$A$3:$A$1000,0)+1,MATCH(LOWER(J$1),v_data!$B$2:$L$2,0)))</f>
        <v/>
      </c>
      <c r="K283" s="2" t="str">
        <f t="shared" si="234"/>
        <v/>
      </c>
      <c r="L283" s="2" t="str">
        <f>IF($A283="","",INDEX(v_data!$B$2:$L$1000,MATCH($A283,v_data!$A$3:$A$1000,0)+1,MATCH(LOWER(L$1),v_data!$B$2:$L$2,0)))</f>
        <v/>
      </c>
      <c r="M283" s="2" t="str">
        <f t="shared" si="235"/>
        <v/>
      </c>
      <c r="N283" s="2" t="str">
        <f>IF($A283="","",INDEX(v_data!$B$2:$L$1000,MATCH($A283,v_data!$A$3:$A$1000,0)+1,MATCH(LOWER(N$1),v_data!$B$2:$L$2,0)))</f>
        <v/>
      </c>
      <c r="O283" s="2" t="str">
        <f t="shared" si="236"/>
        <v/>
      </c>
      <c r="P283" s="2" t="str">
        <f>IF($A283="","",INDEX(v_data!$B$2:$L$1000,MATCH($A283,v_data!$A$3:$A$1000,0)+1,MATCH(LOWER(P$1),v_data!$B$2:$L$2,0)))</f>
        <v/>
      </c>
      <c r="Q283" s="2" t="str">
        <f t="shared" si="237"/>
        <v/>
      </c>
      <c r="R283" s="2" t="str">
        <f>IF($A283="","",INDEX(v_data!$B$2:$L$1000,MATCH($A283,v_data!$A$3:$A$1000,0)+1,MATCH(LOWER(R$1),v_data!$B$2:$L$2,0)))</f>
        <v/>
      </c>
      <c r="S283" s="2" t="str">
        <f t="shared" si="238"/>
        <v/>
      </c>
      <c r="T283" s="2" t="str">
        <f>IF($A283="","",INDEX(v_data!$B$2:$L$1000,MATCH($A283,v_data!$A$3:$A$1000,0)+1,MATCH(LOWER(T$1),v_data!$B$2:$L$2,0)))</f>
        <v/>
      </c>
      <c r="U283" s="2" t="str">
        <f t="shared" si="239"/>
        <v/>
      </c>
      <c r="V283" s="2" t="str">
        <f>IF($A283="","",INDEX(v_data!$B$2:$L$1000,MATCH($A283,v_data!$A$3:$A$1000,0)+1,MATCH(LOWER(V$1),v_data!$B$2:$L$2,0)))</f>
        <v/>
      </c>
      <c r="W283" s="2" t="str">
        <f t="shared" si="240"/>
        <v/>
      </c>
      <c r="X283" s="2" t="str">
        <f>IF($A283="","",INDEX(v_data!$B$2:$L$1000,MATCH($A283,v_data!$A$3:$A$1000,0)+1,MATCH(LOWER(X$1),v_data!$B$2:$L$2,0)))</f>
        <v/>
      </c>
      <c r="Y283" s="2" t="str">
        <f t="shared" si="241"/>
        <v/>
      </c>
      <c r="Z283" s="2" t="str">
        <f>IF($A283="","",INDEX(v_data!$B$2:$L$1000,MATCH($A283,v_data!$A$3:$A$1000,0)+1,MATCH(LOWER(Z$1),v_data!$B$2:$L$2,0)))</f>
        <v/>
      </c>
      <c r="AA283" s="2" t="str">
        <f t="shared" si="242"/>
        <v/>
      </c>
      <c r="AB283" s="2" t="str">
        <f t="shared" si="243"/>
        <v/>
      </c>
      <c r="AC283" s="2">
        <f>(SUM(G283,I283,K283,M283,O283,Q283,S283,U283,W283,Y283,AA283)+IF(AND(G283&gt;0,I283&gt;0,K283&gt;0),100,0))*VLOOKUP(B283,variables!$A$2:$B$6,2,FALSE)</f>
        <v>80</v>
      </c>
      <c r="AD283" s="16" t="str">
        <f>IF($A283="","",INDEX(v_data!$B$2:$X$1000,MATCH($A283,v_data!$A$3:$A$1000,0)+1,MATCH(LOWER("hours"),v_data!$B$2:$X$2,0)))</f>
        <v/>
      </c>
    </row>
    <row r="284" spans="1:30" hidden="1" x14ac:dyDescent="0.25">
      <c r="A284" s="2" t="str">
        <f>IF(ISBLANK(v_data!A283),"",v_data!A283)</f>
        <v/>
      </c>
      <c r="B284" s="2" t="s">
        <v>22</v>
      </c>
      <c r="C284" s="2">
        <f>VLOOKUP(B284,variables!$A$2:$B$6,2,FALSE)</f>
        <v>0.8</v>
      </c>
      <c r="D284" s="4">
        <v>43826</v>
      </c>
      <c r="E284" s="4">
        <v>43431</v>
      </c>
      <c r="F284" s="2" t="str">
        <f>IF($A284="","",INDEX(v_data!$B$2:$L$1000,MATCH($A284,v_data!$A$3:$A$1000,0)+1,MATCH(LOWER(F$1),v_data!$B$2:$L$2,0)))</f>
        <v/>
      </c>
      <c r="G284" s="2" t="str">
        <f t="shared" si="232"/>
        <v/>
      </c>
      <c r="H284" s="2" t="str">
        <f>IF($A284="","",INDEX(v_data!$B$2:$L$1000,MATCH($A284,v_data!$A$3:$A$1000,0)+1,MATCH(LOWER(H$1),v_data!$B$2:$L$2,0)))</f>
        <v/>
      </c>
      <c r="I284" s="2" t="str">
        <f t="shared" si="233"/>
        <v/>
      </c>
      <c r="J284" s="2" t="str">
        <f>IF($A284="","",INDEX(v_data!$B$2:$L$1000,MATCH($A284,v_data!$A$3:$A$1000,0)+1,MATCH(LOWER(J$1),v_data!$B$2:$L$2,0)))</f>
        <v/>
      </c>
      <c r="K284" s="2" t="str">
        <f t="shared" si="234"/>
        <v/>
      </c>
      <c r="L284" s="2" t="str">
        <f>IF($A284="","",INDEX(v_data!$B$2:$L$1000,MATCH($A284,v_data!$A$3:$A$1000,0)+1,MATCH(LOWER(L$1),v_data!$B$2:$L$2,0)))</f>
        <v/>
      </c>
      <c r="M284" s="2" t="str">
        <f t="shared" si="235"/>
        <v/>
      </c>
      <c r="N284" s="2" t="str">
        <f>IF($A284="","",INDEX(v_data!$B$2:$L$1000,MATCH($A284,v_data!$A$3:$A$1000,0)+1,MATCH(LOWER(N$1),v_data!$B$2:$L$2,0)))</f>
        <v/>
      </c>
      <c r="O284" s="2" t="str">
        <f t="shared" si="236"/>
        <v/>
      </c>
      <c r="P284" s="2" t="str">
        <f>IF($A284="","",INDEX(v_data!$B$2:$L$1000,MATCH($A284,v_data!$A$3:$A$1000,0)+1,MATCH(LOWER(P$1),v_data!$B$2:$L$2,0)))</f>
        <v/>
      </c>
      <c r="Q284" s="2" t="str">
        <f t="shared" si="237"/>
        <v/>
      </c>
      <c r="R284" s="2" t="str">
        <f>IF($A284="","",INDEX(v_data!$B$2:$L$1000,MATCH($A284,v_data!$A$3:$A$1000,0)+1,MATCH(LOWER(R$1),v_data!$B$2:$L$2,0)))</f>
        <v/>
      </c>
      <c r="S284" s="2" t="str">
        <f t="shared" si="238"/>
        <v/>
      </c>
      <c r="T284" s="2" t="str">
        <f>IF($A284="","",INDEX(v_data!$B$2:$L$1000,MATCH($A284,v_data!$A$3:$A$1000,0)+1,MATCH(LOWER(T$1),v_data!$B$2:$L$2,0)))</f>
        <v/>
      </c>
      <c r="U284" s="2" t="str">
        <f t="shared" si="239"/>
        <v/>
      </c>
      <c r="V284" s="2" t="str">
        <f>IF($A284="","",INDEX(v_data!$B$2:$L$1000,MATCH($A284,v_data!$A$3:$A$1000,0)+1,MATCH(LOWER(V$1),v_data!$B$2:$L$2,0)))</f>
        <v/>
      </c>
      <c r="W284" s="2" t="str">
        <f t="shared" si="240"/>
        <v/>
      </c>
      <c r="X284" s="2" t="str">
        <f>IF($A284="","",INDEX(v_data!$B$2:$L$1000,MATCH($A284,v_data!$A$3:$A$1000,0)+1,MATCH(LOWER(X$1),v_data!$B$2:$L$2,0)))</f>
        <v/>
      </c>
      <c r="Y284" s="2" t="str">
        <f t="shared" si="241"/>
        <v/>
      </c>
      <c r="Z284" s="2" t="str">
        <f>IF($A284="","",INDEX(v_data!$B$2:$L$1000,MATCH($A284,v_data!$A$3:$A$1000,0)+1,MATCH(LOWER(Z$1),v_data!$B$2:$L$2,0)))</f>
        <v/>
      </c>
      <c r="AA284" s="2" t="str">
        <f t="shared" si="242"/>
        <v/>
      </c>
      <c r="AB284" s="2" t="str">
        <f t="shared" si="243"/>
        <v/>
      </c>
      <c r="AC284" s="2">
        <f>(SUM(G284,I284,K284,M284,O284,Q284,S284,U284,W284,Y284,AA284)+IF(AND(G284&gt;0,I284&gt;0,K284&gt;0),100,0))*VLOOKUP(B284,variables!$A$2:$B$6,2,FALSE)</f>
        <v>80</v>
      </c>
      <c r="AD284" s="16" t="str">
        <f>IF($A284="","",INDEX(v_data!$B$2:$X$1000,MATCH($A284,v_data!$A$3:$A$1000,0)+1,MATCH(LOWER("hours"),v_data!$B$2:$X$2,0)))</f>
        <v/>
      </c>
    </row>
    <row r="285" spans="1:30" hidden="1" x14ac:dyDescent="0.25">
      <c r="A285" s="2" t="str">
        <f>IF(ISBLANK(v_data!A284),"",v_data!A284)</f>
        <v/>
      </c>
      <c r="B285" s="2" t="s">
        <v>22</v>
      </c>
      <c r="C285" s="2">
        <f>VLOOKUP(B285,variables!$A$2:$B$6,2,FALSE)</f>
        <v>0.8</v>
      </c>
      <c r="D285" s="4">
        <v>43826</v>
      </c>
      <c r="E285" s="4">
        <v>43431</v>
      </c>
      <c r="F285" s="2" t="str">
        <f>IF($A285="","",INDEX(v_data!$B$2:$L$1000,MATCH($A285,v_data!$A$3:$A$1000,0)+1,MATCH(LOWER(F$1),v_data!$B$2:$L$2,0)))</f>
        <v/>
      </c>
      <c r="G285" s="2" t="str">
        <f t="shared" si="232"/>
        <v/>
      </c>
      <c r="H285" s="2" t="str">
        <f>IF($A285="","",INDEX(v_data!$B$2:$L$1000,MATCH($A285,v_data!$A$3:$A$1000,0)+1,MATCH(LOWER(H$1),v_data!$B$2:$L$2,0)))</f>
        <v/>
      </c>
      <c r="I285" s="2" t="str">
        <f t="shared" si="233"/>
        <v/>
      </c>
      <c r="J285" s="2" t="str">
        <f>IF($A285="","",INDEX(v_data!$B$2:$L$1000,MATCH($A285,v_data!$A$3:$A$1000,0)+1,MATCH(LOWER(J$1),v_data!$B$2:$L$2,0)))</f>
        <v/>
      </c>
      <c r="K285" s="2" t="str">
        <f t="shared" si="234"/>
        <v/>
      </c>
      <c r="L285" s="2" t="str">
        <f>IF($A285="","",INDEX(v_data!$B$2:$L$1000,MATCH($A285,v_data!$A$3:$A$1000,0)+1,MATCH(LOWER(L$1),v_data!$B$2:$L$2,0)))</f>
        <v/>
      </c>
      <c r="M285" s="2" t="str">
        <f t="shared" si="235"/>
        <v/>
      </c>
      <c r="N285" s="2" t="str">
        <f>IF($A285="","",INDEX(v_data!$B$2:$L$1000,MATCH($A285,v_data!$A$3:$A$1000,0)+1,MATCH(LOWER(N$1),v_data!$B$2:$L$2,0)))</f>
        <v/>
      </c>
      <c r="O285" s="2" t="str">
        <f t="shared" si="236"/>
        <v/>
      </c>
      <c r="P285" s="2" t="str">
        <f>IF($A285="","",INDEX(v_data!$B$2:$L$1000,MATCH($A285,v_data!$A$3:$A$1000,0)+1,MATCH(LOWER(P$1),v_data!$B$2:$L$2,0)))</f>
        <v/>
      </c>
      <c r="Q285" s="2" t="str">
        <f t="shared" si="237"/>
        <v/>
      </c>
      <c r="R285" s="2" t="str">
        <f>IF($A285="","",INDEX(v_data!$B$2:$L$1000,MATCH($A285,v_data!$A$3:$A$1000,0)+1,MATCH(LOWER(R$1),v_data!$B$2:$L$2,0)))</f>
        <v/>
      </c>
      <c r="S285" s="2" t="str">
        <f t="shared" si="238"/>
        <v/>
      </c>
      <c r="T285" s="2" t="str">
        <f>IF($A285="","",INDEX(v_data!$B$2:$L$1000,MATCH($A285,v_data!$A$3:$A$1000,0)+1,MATCH(LOWER(T$1),v_data!$B$2:$L$2,0)))</f>
        <v/>
      </c>
      <c r="U285" s="2" t="str">
        <f t="shared" si="239"/>
        <v/>
      </c>
      <c r="V285" s="2" t="str">
        <f>IF($A285="","",INDEX(v_data!$B$2:$L$1000,MATCH($A285,v_data!$A$3:$A$1000,0)+1,MATCH(LOWER(V$1),v_data!$B$2:$L$2,0)))</f>
        <v/>
      </c>
      <c r="W285" s="2" t="str">
        <f t="shared" si="240"/>
        <v/>
      </c>
      <c r="X285" s="2" t="str">
        <f>IF($A285="","",INDEX(v_data!$B$2:$L$1000,MATCH($A285,v_data!$A$3:$A$1000,0)+1,MATCH(LOWER(X$1),v_data!$B$2:$L$2,0)))</f>
        <v/>
      </c>
      <c r="Y285" s="2" t="str">
        <f t="shared" si="241"/>
        <v/>
      </c>
      <c r="Z285" s="2" t="str">
        <f>IF($A285="","",INDEX(v_data!$B$2:$L$1000,MATCH($A285,v_data!$A$3:$A$1000,0)+1,MATCH(LOWER(Z$1),v_data!$B$2:$L$2,0)))</f>
        <v/>
      </c>
      <c r="AA285" s="2" t="str">
        <f t="shared" si="242"/>
        <v/>
      </c>
      <c r="AB285" s="2" t="str">
        <f t="shared" si="243"/>
        <v/>
      </c>
      <c r="AC285" s="2">
        <f>(SUM(G285,I285,K285,M285,O285,Q285,S285,U285,W285,Y285,AA285)+IF(AND(G285&gt;0,I285&gt;0,K285&gt;0),100,0))*VLOOKUP(B285,variables!$A$2:$B$6,2,FALSE)</f>
        <v>80</v>
      </c>
      <c r="AD285" s="16" t="str">
        <f>IF($A285="","",INDEX(v_data!$B$2:$X$1000,MATCH($A285,v_data!$A$3:$A$1000,0)+1,MATCH(LOWER("hours"),v_data!$B$2:$X$2,0)))</f>
        <v/>
      </c>
    </row>
    <row r="286" spans="1:30" hidden="1" x14ac:dyDescent="0.25">
      <c r="A286" s="2" t="str">
        <f>IF(ISBLANK(v_data!A285),"",v_data!A285)</f>
        <v/>
      </c>
      <c r="B286" s="2" t="s">
        <v>22</v>
      </c>
      <c r="C286" s="2">
        <f>VLOOKUP(B286,variables!$A$2:$B$6,2,FALSE)</f>
        <v>0.8</v>
      </c>
      <c r="D286" s="4">
        <v>43826</v>
      </c>
      <c r="E286" s="4">
        <v>43431</v>
      </c>
      <c r="F286" s="2" t="str">
        <f>IF($A286="","",INDEX(v_data!$B$2:$L$1000,MATCH($A286,v_data!$A$3:$A$1000,0)+1,MATCH(LOWER(F$1),v_data!$B$2:$L$2,0)))</f>
        <v/>
      </c>
      <c r="G286" s="2" t="str">
        <f t="shared" si="232"/>
        <v/>
      </c>
      <c r="H286" s="2" t="str">
        <f>IF($A286="","",INDEX(v_data!$B$2:$L$1000,MATCH($A286,v_data!$A$3:$A$1000,0)+1,MATCH(LOWER(H$1),v_data!$B$2:$L$2,0)))</f>
        <v/>
      </c>
      <c r="I286" s="2" t="str">
        <f t="shared" si="233"/>
        <v/>
      </c>
      <c r="J286" s="2" t="str">
        <f>IF($A286="","",INDEX(v_data!$B$2:$L$1000,MATCH($A286,v_data!$A$3:$A$1000,0)+1,MATCH(LOWER(J$1),v_data!$B$2:$L$2,0)))</f>
        <v/>
      </c>
      <c r="K286" s="2" t="str">
        <f t="shared" si="234"/>
        <v/>
      </c>
      <c r="L286" s="2" t="str">
        <f>IF($A286="","",INDEX(v_data!$B$2:$L$1000,MATCH($A286,v_data!$A$3:$A$1000,0)+1,MATCH(LOWER(L$1),v_data!$B$2:$L$2,0)))</f>
        <v/>
      </c>
      <c r="M286" s="2" t="str">
        <f t="shared" si="235"/>
        <v/>
      </c>
      <c r="N286" s="2" t="str">
        <f>IF($A286="","",INDEX(v_data!$B$2:$L$1000,MATCH($A286,v_data!$A$3:$A$1000,0)+1,MATCH(LOWER(N$1),v_data!$B$2:$L$2,0)))</f>
        <v/>
      </c>
      <c r="O286" s="2" t="str">
        <f t="shared" si="236"/>
        <v/>
      </c>
      <c r="P286" s="2" t="str">
        <f>IF($A286="","",INDEX(v_data!$B$2:$L$1000,MATCH($A286,v_data!$A$3:$A$1000,0)+1,MATCH(LOWER(P$1),v_data!$B$2:$L$2,0)))</f>
        <v/>
      </c>
      <c r="Q286" s="2" t="str">
        <f t="shared" si="237"/>
        <v/>
      </c>
      <c r="R286" s="2" t="str">
        <f>IF($A286="","",INDEX(v_data!$B$2:$L$1000,MATCH($A286,v_data!$A$3:$A$1000,0)+1,MATCH(LOWER(R$1),v_data!$B$2:$L$2,0)))</f>
        <v/>
      </c>
      <c r="S286" s="2" t="str">
        <f t="shared" si="238"/>
        <v/>
      </c>
      <c r="T286" s="2" t="str">
        <f>IF($A286="","",INDEX(v_data!$B$2:$L$1000,MATCH($A286,v_data!$A$3:$A$1000,0)+1,MATCH(LOWER(T$1),v_data!$B$2:$L$2,0)))</f>
        <v/>
      </c>
      <c r="U286" s="2" t="str">
        <f t="shared" si="239"/>
        <v/>
      </c>
      <c r="V286" s="2" t="str">
        <f>IF($A286="","",INDEX(v_data!$B$2:$L$1000,MATCH($A286,v_data!$A$3:$A$1000,0)+1,MATCH(LOWER(V$1),v_data!$B$2:$L$2,0)))</f>
        <v/>
      </c>
      <c r="W286" s="2" t="str">
        <f t="shared" si="240"/>
        <v/>
      </c>
      <c r="X286" s="2" t="str">
        <f>IF($A286="","",INDEX(v_data!$B$2:$L$1000,MATCH($A286,v_data!$A$3:$A$1000,0)+1,MATCH(LOWER(X$1),v_data!$B$2:$L$2,0)))</f>
        <v/>
      </c>
      <c r="Y286" s="2" t="str">
        <f t="shared" si="241"/>
        <v/>
      </c>
      <c r="Z286" s="2" t="str">
        <f>IF($A286="","",INDEX(v_data!$B$2:$L$1000,MATCH($A286,v_data!$A$3:$A$1000,0)+1,MATCH(LOWER(Z$1),v_data!$B$2:$L$2,0)))</f>
        <v/>
      </c>
      <c r="AA286" s="2" t="str">
        <f t="shared" si="242"/>
        <v/>
      </c>
      <c r="AB286" s="2" t="str">
        <f t="shared" si="243"/>
        <v/>
      </c>
      <c r="AC286" s="2">
        <f>(SUM(G286,I286,K286,M286,O286,Q286,S286,U286,W286,Y286,AA286)+IF(AND(G286&gt;0,I286&gt;0,K286&gt;0),100,0))*VLOOKUP(B286,variables!$A$2:$B$6,2,FALSE)</f>
        <v>80</v>
      </c>
      <c r="AD286" s="16" t="str">
        <f>IF($A286="","",INDEX(v_data!$B$2:$X$1000,MATCH($A286,v_data!$A$3:$A$1000,0)+1,MATCH(LOWER("hours"),v_data!$B$2:$X$2,0)))</f>
        <v/>
      </c>
    </row>
    <row r="287" spans="1:30" hidden="1" x14ac:dyDescent="0.25">
      <c r="A287" s="2" t="str">
        <f>IF(ISBLANK(v_data!A286),"",v_data!A286)</f>
        <v/>
      </c>
      <c r="B287" s="2" t="s">
        <v>22</v>
      </c>
      <c r="C287" s="2">
        <f>VLOOKUP(B287,variables!$A$2:$B$6,2,FALSE)</f>
        <v>0.8</v>
      </c>
      <c r="D287" s="4">
        <v>43826</v>
      </c>
      <c r="E287" s="4">
        <v>43431</v>
      </c>
      <c r="F287" s="2" t="str">
        <f>IF($A287="","",INDEX(v_data!$B$2:$L$1000,MATCH($A287,v_data!$A$3:$A$1000,0)+1,MATCH(LOWER(F$1),v_data!$B$2:$L$2,0)))</f>
        <v/>
      </c>
      <c r="G287" s="2" t="str">
        <f t="shared" si="232"/>
        <v/>
      </c>
      <c r="H287" s="2" t="str">
        <f>IF($A287="","",INDEX(v_data!$B$2:$L$1000,MATCH($A287,v_data!$A$3:$A$1000,0)+1,MATCH(LOWER(H$1),v_data!$B$2:$L$2,0)))</f>
        <v/>
      </c>
      <c r="I287" s="2" t="str">
        <f t="shared" si="233"/>
        <v/>
      </c>
      <c r="J287" s="2" t="str">
        <f>IF($A287="","",INDEX(v_data!$B$2:$L$1000,MATCH($A287,v_data!$A$3:$A$1000,0)+1,MATCH(LOWER(J$1),v_data!$B$2:$L$2,0)))</f>
        <v/>
      </c>
      <c r="K287" s="2" t="str">
        <f t="shared" si="234"/>
        <v/>
      </c>
      <c r="L287" s="2" t="str">
        <f>IF($A287="","",INDEX(v_data!$B$2:$L$1000,MATCH($A287,v_data!$A$3:$A$1000,0)+1,MATCH(LOWER(L$1),v_data!$B$2:$L$2,0)))</f>
        <v/>
      </c>
      <c r="M287" s="2" t="str">
        <f t="shared" si="235"/>
        <v/>
      </c>
      <c r="N287" s="2" t="str">
        <f>IF($A287="","",INDEX(v_data!$B$2:$L$1000,MATCH($A287,v_data!$A$3:$A$1000,0)+1,MATCH(LOWER(N$1),v_data!$B$2:$L$2,0)))</f>
        <v/>
      </c>
      <c r="O287" s="2" t="str">
        <f t="shared" si="236"/>
        <v/>
      </c>
      <c r="P287" s="2" t="str">
        <f>IF($A287="","",INDEX(v_data!$B$2:$L$1000,MATCH($A287,v_data!$A$3:$A$1000,0)+1,MATCH(LOWER(P$1),v_data!$B$2:$L$2,0)))</f>
        <v/>
      </c>
      <c r="Q287" s="2" t="str">
        <f t="shared" si="237"/>
        <v/>
      </c>
      <c r="R287" s="2" t="str">
        <f>IF($A287="","",INDEX(v_data!$B$2:$L$1000,MATCH($A287,v_data!$A$3:$A$1000,0)+1,MATCH(LOWER(R$1),v_data!$B$2:$L$2,0)))</f>
        <v/>
      </c>
      <c r="S287" s="2" t="str">
        <f t="shared" si="238"/>
        <v/>
      </c>
      <c r="T287" s="2" t="str">
        <f>IF($A287="","",INDEX(v_data!$B$2:$L$1000,MATCH($A287,v_data!$A$3:$A$1000,0)+1,MATCH(LOWER(T$1),v_data!$B$2:$L$2,0)))</f>
        <v/>
      </c>
      <c r="U287" s="2" t="str">
        <f t="shared" si="239"/>
        <v/>
      </c>
      <c r="V287" s="2" t="str">
        <f>IF($A287="","",INDEX(v_data!$B$2:$L$1000,MATCH($A287,v_data!$A$3:$A$1000,0)+1,MATCH(LOWER(V$1),v_data!$B$2:$L$2,0)))</f>
        <v/>
      </c>
      <c r="W287" s="2" t="str">
        <f t="shared" si="240"/>
        <v/>
      </c>
      <c r="X287" s="2" t="str">
        <f>IF($A287="","",INDEX(v_data!$B$2:$L$1000,MATCH($A287,v_data!$A$3:$A$1000,0)+1,MATCH(LOWER(X$1),v_data!$B$2:$L$2,0)))</f>
        <v/>
      </c>
      <c r="Y287" s="2" t="str">
        <f t="shared" si="241"/>
        <v/>
      </c>
      <c r="Z287" s="2" t="str">
        <f>IF($A287="","",INDEX(v_data!$B$2:$L$1000,MATCH($A287,v_data!$A$3:$A$1000,0)+1,MATCH(LOWER(Z$1),v_data!$B$2:$L$2,0)))</f>
        <v/>
      </c>
      <c r="AA287" s="2" t="str">
        <f t="shared" si="242"/>
        <v/>
      </c>
      <c r="AB287" s="2" t="str">
        <f t="shared" si="243"/>
        <v/>
      </c>
      <c r="AC287" s="2">
        <f>(SUM(G287,I287,K287,M287,O287,Q287,S287,U287,W287,Y287,AA287)+IF(AND(G287&gt;0,I287&gt;0,K287&gt;0),100,0))*VLOOKUP(B287,variables!$A$2:$B$6,2,FALSE)</f>
        <v>80</v>
      </c>
      <c r="AD287" s="16" t="str">
        <f>IF($A287="","",INDEX(v_data!$B$2:$X$1000,MATCH($A287,v_data!$A$3:$A$1000,0)+1,MATCH(LOWER("hours"),v_data!$B$2:$X$2,0)))</f>
        <v/>
      </c>
    </row>
    <row r="288" spans="1:30" hidden="1" x14ac:dyDescent="0.25">
      <c r="A288" s="2" t="str">
        <f>IF(ISBLANK(v_data!A287),"",v_data!A287)</f>
        <v/>
      </c>
      <c r="B288" s="2" t="s">
        <v>22</v>
      </c>
      <c r="C288" s="2">
        <f>VLOOKUP(B288,variables!$A$2:$B$6,2,FALSE)</f>
        <v>0.8</v>
      </c>
      <c r="D288" s="4">
        <v>43826</v>
      </c>
      <c r="E288" s="4">
        <v>43431</v>
      </c>
      <c r="F288" s="2" t="str">
        <f>IF($A288="","",INDEX(v_data!$B$2:$L$1000,MATCH($A288,v_data!$A$3:$A$1000,0)+1,MATCH(LOWER(F$1),v_data!$B$2:$L$2,0)))</f>
        <v/>
      </c>
      <c r="G288" s="2" t="str">
        <f t="shared" si="232"/>
        <v/>
      </c>
      <c r="H288" s="2" t="str">
        <f>IF($A288="","",INDEX(v_data!$B$2:$L$1000,MATCH($A288,v_data!$A$3:$A$1000,0)+1,MATCH(LOWER(H$1),v_data!$B$2:$L$2,0)))</f>
        <v/>
      </c>
      <c r="I288" s="2" t="str">
        <f t="shared" si="233"/>
        <v/>
      </c>
      <c r="J288" s="2" t="str">
        <f>IF($A288="","",INDEX(v_data!$B$2:$L$1000,MATCH($A288,v_data!$A$3:$A$1000,0)+1,MATCH(LOWER(J$1),v_data!$B$2:$L$2,0)))</f>
        <v/>
      </c>
      <c r="K288" s="2" t="str">
        <f t="shared" si="234"/>
        <v/>
      </c>
      <c r="L288" s="2" t="str">
        <f>IF($A288="","",INDEX(v_data!$B$2:$L$1000,MATCH($A288,v_data!$A$3:$A$1000,0)+1,MATCH(LOWER(L$1),v_data!$B$2:$L$2,0)))</f>
        <v/>
      </c>
      <c r="M288" s="2" t="str">
        <f t="shared" si="235"/>
        <v/>
      </c>
      <c r="N288" s="2" t="str">
        <f>IF($A288="","",INDEX(v_data!$B$2:$L$1000,MATCH($A288,v_data!$A$3:$A$1000,0)+1,MATCH(LOWER(N$1),v_data!$B$2:$L$2,0)))</f>
        <v/>
      </c>
      <c r="O288" s="2" t="str">
        <f t="shared" si="236"/>
        <v/>
      </c>
      <c r="P288" s="2" t="str">
        <f>IF($A288="","",INDEX(v_data!$B$2:$L$1000,MATCH($A288,v_data!$A$3:$A$1000,0)+1,MATCH(LOWER(P$1),v_data!$B$2:$L$2,0)))</f>
        <v/>
      </c>
      <c r="Q288" s="2" t="str">
        <f t="shared" si="237"/>
        <v/>
      </c>
      <c r="R288" s="2" t="str">
        <f>IF($A288="","",INDEX(v_data!$B$2:$L$1000,MATCH($A288,v_data!$A$3:$A$1000,0)+1,MATCH(LOWER(R$1),v_data!$B$2:$L$2,0)))</f>
        <v/>
      </c>
      <c r="S288" s="2" t="str">
        <f t="shared" si="238"/>
        <v/>
      </c>
      <c r="T288" s="2" t="str">
        <f>IF($A288="","",INDEX(v_data!$B$2:$L$1000,MATCH($A288,v_data!$A$3:$A$1000,0)+1,MATCH(LOWER(T$1),v_data!$B$2:$L$2,0)))</f>
        <v/>
      </c>
      <c r="U288" s="2" t="str">
        <f t="shared" si="239"/>
        <v/>
      </c>
      <c r="V288" s="2" t="str">
        <f>IF($A288="","",INDEX(v_data!$B$2:$L$1000,MATCH($A288,v_data!$A$3:$A$1000,0)+1,MATCH(LOWER(V$1),v_data!$B$2:$L$2,0)))</f>
        <v/>
      </c>
      <c r="W288" s="2" t="str">
        <f t="shared" si="240"/>
        <v/>
      </c>
      <c r="X288" s="2" t="str">
        <f>IF($A288="","",INDEX(v_data!$B$2:$L$1000,MATCH($A288,v_data!$A$3:$A$1000,0)+1,MATCH(LOWER(X$1),v_data!$B$2:$L$2,0)))</f>
        <v/>
      </c>
      <c r="Y288" s="2" t="str">
        <f t="shared" si="241"/>
        <v/>
      </c>
      <c r="Z288" s="2" t="str">
        <f>IF($A288="","",INDEX(v_data!$B$2:$L$1000,MATCH($A288,v_data!$A$3:$A$1000,0)+1,MATCH(LOWER(Z$1),v_data!$B$2:$L$2,0)))</f>
        <v/>
      </c>
      <c r="AA288" s="2" t="str">
        <f t="shared" si="242"/>
        <v/>
      </c>
      <c r="AB288" s="2" t="str">
        <f t="shared" si="243"/>
        <v/>
      </c>
      <c r="AC288" s="2">
        <f>(SUM(G288,I288,K288,M288,O288,Q288,S288,U288,W288,Y288,AA288)+IF(AND(G288&gt;0,I288&gt;0,K288&gt;0),100,0))*VLOOKUP(B288,variables!$A$2:$B$6,2,FALSE)</f>
        <v>80</v>
      </c>
      <c r="AD288" s="16" t="str">
        <f>IF($A288="","",INDEX(v_data!$B$2:$X$1000,MATCH($A288,v_data!$A$3:$A$1000,0)+1,MATCH(LOWER("hours"),v_data!$B$2:$X$2,0)))</f>
        <v/>
      </c>
    </row>
    <row r="289" spans="1:30" hidden="1" x14ac:dyDescent="0.25">
      <c r="A289" s="2" t="str">
        <f>IF(ISBLANK(v_data!A288),"",v_data!A288)</f>
        <v/>
      </c>
      <c r="B289" s="2" t="s">
        <v>22</v>
      </c>
      <c r="C289" s="2">
        <f>VLOOKUP(B289,variables!$A$2:$B$6,2,FALSE)</f>
        <v>0.8</v>
      </c>
      <c r="D289" s="4">
        <v>43826</v>
      </c>
      <c r="E289" s="4">
        <v>43431</v>
      </c>
      <c r="F289" s="2" t="str">
        <f>IF($A289="","",INDEX(v_data!$B$2:$L$1000,MATCH($A289,v_data!$A$3:$A$1000,0)+1,MATCH(LOWER(F$1),v_data!$B$2:$L$2,0)))</f>
        <v/>
      </c>
      <c r="G289" s="2" t="str">
        <f t="shared" si="232"/>
        <v/>
      </c>
      <c r="H289" s="2" t="str">
        <f>IF($A289="","",INDEX(v_data!$B$2:$L$1000,MATCH($A289,v_data!$A$3:$A$1000,0)+1,MATCH(LOWER(H$1),v_data!$B$2:$L$2,0)))</f>
        <v/>
      </c>
      <c r="I289" s="2" t="str">
        <f t="shared" si="233"/>
        <v/>
      </c>
      <c r="J289" s="2" t="str">
        <f>IF($A289="","",INDEX(v_data!$B$2:$L$1000,MATCH($A289,v_data!$A$3:$A$1000,0)+1,MATCH(LOWER(J$1),v_data!$B$2:$L$2,0)))</f>
        <v/>
      </c>
      <c r="K289" s="2" t="str">
        <f t="shared" si="234"/>
        <v/>
      </c>
      <c r="L289" s="2" t="str">
        <f>IF($A289="","",INDEX(v_data!$B$2:$L$1000,MATCH($A289,v_data!$A$3:$A$1000,0)+1,MATCH(LOWER(L$1),v_data!$B$2:$L$2,0)))</f>
        <v/>
      </c>
      <c r="M289" s="2" t="str">
        <f t="shared" si="235"/>
        <v/>
      </c>
      <c r="N289" s="2" t="str">
        <f>IF($A289="","",INDEX(v_data!$B$2:$L$1000,MATCH($A289,v_data!$A$3:$A$1000,0)+1,MATCH(LOWER(N$1),v_data!$B$2:$L$2,0)))</f>
        <v/>
      </c>
      <c r="O289" s="2" t="str">
        <f t="shared" si="236"/>
        <v/>
      </c>
      <c r="P289" s="2" t="str">
        <f>IF($A289="","",INDEX(v_data!$B$2:$L$1000,MATCH($A289,v_data!$A$3:$A$1000,0)+1,MATCH(LOWER(P$1),v_data!$B$2:$L$2,0)))</f>
        <v/>
      </c>
      <c r="Q289" s="2" t="str">
        <f t="shared" si="237"/>
        <v/>
      </c>
      <c r="R289" s="2" t="str">
        <f>IF($A289="","",INDEX(v_data!$B$2:$L$1000,MATCH($A289,v_data!$A$3:$A$1000,0)+1,MATCH(LOWER(R$1),v_data!$B$2:$L$2,0)))</f>
        <v/>
      </c>
      <c r="S289" s="2" t="str">
        <f t="shared" si="238"/>
        <v/>
      </c>
      <c r="T289" s="2" t="str">
        <f>IF($A289="","",INDEX(v_data!$B$2:$L$1000,MATCH($A289,v_data!$A$3:$A$1000,0)+1,MATCH(LOWER(T$1),v_data!$B$2:$L$2,0)))</f>
        <v/>
      </c>
      <c r="U289" s="2" t="str">
        <f t="shared" si="239"/>
        <v/>
      </c>
      <c r="V289" s="2" t="str">
        <f>IF($A289="","",INDEX(v_data!$B$2:$L$1000,MATCH($A289,v_data!$A$3:$A$1000,0)+1,MATCH(LOWER(V$1),v_data!$B$2:$L$2,0)))</f>
        <v/>
      </c>
      <c r="W289" s="2" t="str">
        <f t="shared" si="240"/>
        <v/>
      </c>
      <c r="X289" s="2" t="str">
        <f>IF($A289="","",INDEX(v_data!$B$2:$L$1000,MATCH($A289,v_data!$A$3:$A$1000,0)+1,MATCH(LOWER(X$1),v_data!$B$2:$L$2,0)))</f>
        <v/>
      </c>
      <c r="Y289" s="2" t="str">
        <f t="shared" si="241"/>
        <v/>
      </c>
      <c r="Z289" s="2" t="str">
        <f>IF($A289="","",INDEX(v_data!$B$2:$L$1000,MATCH($A289,v_data!$A$3:$A$1000,0)+1,MATCH(LOWER(Z$1),v_data!$B$2:$L$2,0)))</f>
        <v/>
      </c>
      <c r="AA289" s="2" t="str">
        <f t="shared" si="242"/>
        <v/>
      </c>
      <c r="AB289" s="2" t="str">
        <f t="shared" si="243"/>
        <v/>
      </c>
      <c r="AC289" s="2">
        <f>(SUM(G289,I289,K289,M289,O289,Q289,S289,U289,W289,Y289,AA289)+IF(AND(G289&gt;0,I289&gt;0,K289&gt;0),100,0))*VLOOKUP(B289,variables!$A$2:$B$6,2,FALSE)</f>
        <v>80</v>
      </c>
      <c r="AD289" s="16" t="str">
        <f>IF($A289="","",INDEX(v_data!$B$2:$X$1000,MATCH($A289,v_data!$A$3:$A$1000,0)+1,MATCH(LOWER("hours"),v_data!$B$2:$X$2,0)))</f>
        <v/>
      </c>
    </row>
    <row r="290" spans="1:30" hidden="1" x14ac:dyDescent="0.25">
      <c r="A290" s="2" t="str">
        <f>IF(ISBLANK(v_data!A289),"",v_data!A289)</f>
        <v/>
      </c>
      <c r="B290" s="2" t="s">
        <v>22</v>
      </c>
      <c r="C290" s="2">
        <f>VLOOKUP(B290,variables!$A$2:$B$6,2,FALSE)</f>
        <v>0.8</v>
      </c>
      <c r="D290" s="4">
        <v>43826</v>
      </c>
      <c r="E290" s="4">
        <v>43431</v>
      </c>
      <c r="F290" s="2" t="str">
        <f>IF($A290="","",INDEX(v_data!$B$2:$L$1000,MATCH($A290,v_data!$A$3:$A$1000,0)+1,MATCH(LOWER(F$1),v_data!$B$2:$L$2,0)))</f>
        <v/>
      </c>
      <c r="G290" s="2" t="str">
        <f t="shared" si="232"/>
        <v/>
      </c>
      <c r="H290" s="2" t="str">
        <f>IF($A290="","",INDEX(v_data!$B$2:$L$1000,MATCH($A290,v_data!$A$3:$A$1000,0)+1,MATCH(LOWER(H$1),v_data!$B$2:$L$2,0)))</f>
        <v/>
      </c>
      <c r="I290" s="2" t="str">
        <f t="shared" si="233"/>
        <v/>
      </c>
      <c r="J290" s="2" t="str">
        <f>IF($A290="","",INDEX(v_data!$B$2:$L$1000,MATCH($A290,v_data!$A$3:$A$1000,0)+1,MATCH(LOWER(J$1),v_data!$B$2:$L$2,0)))</f>
        <v/>
      </c>
      <c r="K290" s="2" t="str">
        <f t="shared" si="234"/>
        <v/>
      </c>
      <c r="L290" s="2" t="str">
        <f>IF($A290="","",INDEX(v_data!$B$2:$L$1000,MATCH($A290,v_data!$A$3:$A$1000,0)+1,MATCH(LOWER(L$1),v_data!$B$2:$L$2,0)))</f>
        <v/>
      </c>
      <c r="M290" s="2" t="str">
        <f t="shared" si="235"/>
        <v/>
      </c>
      <c r="N290" s="2" t="str">
        <f>IF($A290="","",INDEX(v_data!$B$2:$L$1000,MATCH($A290,v_data!$A$3:$A$1000,0)+1,MATCH(LOWER(N$1),v_data!$B$2:$L$2,0)))</f>
        <v/>
      </c>
      <c r="O290" s="2" t="str">
        <f t="shared" si="236"/>
        <v/>
      </c>
      <c r="P290" s="2" t="str">
        <f>IF($A290="","",INDEX(v_data!$B$2:$L$1000,MATCH($A290,v_data!$A$3:$A$1000,0)+1,MATCH(LOWER(P$1),v_data!$B$2:$L$2,0)))</f>
        <v/>
      </c>
      <c r="Q290" s="2" t="str">
        <f t="shared" si="237"/>
        <v/>
      </c>
      <c r="R290" s="2" t="str">
        <f>IF($A290="","",INDEX(v_data!$B$2:$L$1000,MATCH($A290,v_data!$A$3:$A$1000,0)+1,MATCH(LOWER(R$1),v_data!$B$2:$L$2,0)))</f>
        <v/>
      </c>
      <c r="S290" s="2" t="str">
        <f t="shared" si="238"/>
        <v/>
      </c>
      <c r="T290" s="2" t="str">
        <f>IF($A290="","",INDEX(v_data!$B$2:$L$1000,MATCH($A290,v_data!$A$3:$A$1000,0)+1,MATCH(LOWER(T$1),v_data!$B$2:$L$2,0)))</f>
        <v/>
      </c>
      <c r="U290" s="2" t="str">
        <f t="shared" si="239"/>
        <v/>
      </c>
      <c r="V290" s="2" t="str">
        <f>IF($A290="","",INDEX(v_data!$B$2:$L$1000,MATCH($A290,v_data!$A$3:$A$1000,0)+1,MATCH(LOWER(V$1),v_data!$B$2:$L$2,0)))</f>
        <v/>
      </c>
      <c r="W290" s="2" t="str">
        <f t="shared" si="240"/>
        <v/>
      </c>
      <c r="X290" s="2" t="str">
        <f>IF($A290="","",INDEX(v_data!$B$2:$L$1000,MATCH($A290,v_data!$A$3:$A$1000,0)+1,MATCH(LOWER(X$1),v_data!$B$2:$L$2,0)))</f>
        <v/>
      </c>
      <c r="Y290" s="2" t="str">
        <f t="shared" si="241"/>
        <v/>
      </c>
      <c r="Z290" s="2" t="str">
        <f>IF($A290="","",INDEX(v_data!$B$2:$L$1000,MATCH($A290,v_data!$A$3:$A$1000,0)+1,MATCH(LOWER(Z$1),v_data!$B$2:$L$2,0)))</f>
        <v/>
      </c>
      <c r="AA290" s="2" t="str">
        <f t="shared" si="242"/>
        <v/>
      </c>
      <c r="AB290" s="2" t="str">
        <f t="shared" si="243"/>
        <v/>
      </c>
      <c r="AC290" s="2">
        <f>(SUM(G290,I290,K290,M290,O290,Q290,S290,U290,W290,Y290,AA290)+IF(AND(G290&gt;0,I290&gt;0,K290&gt;0),100,0))*VLOOKUP(B290,variables!$A$2:$B$6,2,FALSE)</f>
        <v>80</v>
      </c>
      <c r="AD290" s="16" t="str">
        <f>IF($A290="","",INDEX(v_data!$B$2:$X$1000,MATCH($A290,v_data!$A$3:$A$1000,0)+1,MATCH(LOWER("hours"),v_data!$B$2:$X$2,0)))</f>
        <v/>
      </c>
    </row>
    <row r="291" spans="1:30" hidden="1" x14ac:dyDescent="0.25">
      <c r="A291" s="2" t="str">
        <f>IF(ISBLANK(v_data!A290),"",v_data!A290)</f>
        <v/>
      </c>
      <c r="B291" s="2" t="s">
        <v>22</v>
      </c>
      <c r="C291" s="2">
        <f>VLOOKUP(B291,variables!$A$2:$B$6,2,FALSE)</f>
        <v>0.8</v>
      </c>
      <c r="D291" s="4">
        <v>43826</v>
      </c>
      <c r="E291" s="4">
        <v>43431</v>
      </c>
      <c r="F291" s="2" t="str">
        <f>IF($A291="","",INDEX(v_data!$B$2:$L$1000,MATCH($A291,v_data!$A$3:$A$1000,0)+1,MATCH(LOWER(F$1),v_data!$B$2:$L$2,0)))</f>
        <v/>
      </c>
      <c r="G291" s="2" t="str">
        <f t="shared" si="232"/>
        <v/>
      </c>
      <c r="H291" s="2" t="str">
        <f>IF($A291="","",INDEX(v_data!$B$2:$L$1000,MATCH($A291,v_data!$A$3:$A$1000,0)+1,MATCH(LOWER(H$1),v_data!$B$2:$L$2,0)))</f>
        <v/>
      </c>
      <c r="I291" s="2" t="str">
        <f t="shared" si="233"/>
        <v/>
      </c>
      <c r="J291" s="2" t="str">
        <f>IF($A291="","",INDEX(v_data!$B$2:$L$1000,MATCH($A291,v_data!$A$3:$A$1000,0)+1,MATCH(LOWER(J$1),v_data!$B$2:$L$2,0)))</f>
        <v/>
      </c>
      <c r="K291" s="2" t="str">
        <f t="shared" si="234"/>
        <v/>
      </c>
      <c r="L291" s="2" t="str">
        <f>IF($A291="","",INDEX(v_data!$B$2:$L$1000,MATCH($A291,v_data!$A$3:$A$1000,0)+1,MATCH(LOWER(L$1),v_data!$B$2:$L$2,0)))</f>
        <v/>
      </c>
      <c r="M291" s="2" t="str">
        <f t="shared" si="235"/>
        <v/>
      </c>
      <c r="N291" s="2" t="str">
        <f>IF($A291="","",INDEX(v_data!$B$2:$L$1000,MATCH($A291,v_data!$A$3:$A$1000,0)+1,MATCH(LOWER(N$1),v_data!$B$2:$L$2,0)))</f>
        <v/>
      </c>
      <c r="O291" s="2" t="str">
        <f t="shared" si="236"/>
        <v/>
      </c>
      <c r="P291" s="2" t="str">
        <f>IF($A291="","",INDEX(v_data!$B$2:$L$1000,MATCH($A291,v_data!$A$3:$A$1000,0)+1,MATCH(LOWER(P$1),v_data!$B$2:$L$2,0)))</f>
        <v/>
      </c>
      <c r="Q291" s="2" t="str">
        <f t="shared" si="237"/>
        <v/>
      </c>
      <c r="R291" s="2" t="str">
        <f>IF($A291="","",INDEX(v_data!$B$2:$L$1000,MATCH($A291,v_data!$A$3:$A$1000,0)+1,MATCH(LOWER(R$1),v_data!$B$2:$L$2,0)))</f>
        <v/>
      </c>
      <c r="S291" s="2" t="str">
        <f t="shared" si="238"/>
        <v/>
      </c>
      <c r="T291" s="2" t="str">
        <f>IF($A291="","",INDEX(v_data!$B$2:$L$1000,MATCH($A291,v_data!$A$3:$A$1000,0)+1,MATCH(LOWER(T$1),v_data!$B$2:$L$2,0)))</f>
        <v/>
      </c>
      <c r="U291" s="2" t="str">
        <f t="shared" si="239"/>
        <v/>
      </c>
      <c r="V291" s="2" t="str">
        <f>IF($A291="","",INDEX(v_data!$B$2:$L$1000,MATCH($A291,v_data!$A$3:$A$1000,0)+1,MATCH(LOWER(V$1),v_data!$B$2:$L$2,0)))</f>
        <v/>
      </c>
      <c r="W291" s="2" t="str">
        <f t="shared" si="240"/>
        <v/>
      </c>
      <c r="X291" s="2" t="str">
        <f>IF($A291="","",INDEX(v_data!$B$2:$L$1000,MATCH($A291,v_data!$A$3:$A$1000,0)+1,MATCH(LOWER(X$1),v_data!$B$2:$L$2,0)))</f>
        <v/>
      </c>
      <c r="Y291" s="2" t="str">
        <f t="shared" si="241"/>
        <v/>
      </c>
      <c r="Z291" s="2" t="str">
        <f>IF($A291="","",INDEX(v_data!$B$2:$L$1000,MATCH($A291,v_data!$A$3:$A$1000,0)+1,MATCH(LOWER(Z$1),v_data!$B$2:$L$2,0)))</f>
        <v/>
      </c>
      <c r="AA291" s="2" t="str">
        <f t="shared" si="242"/>
        <v/>
      </c>
      <c r="AB291" s="2" t="str">
        <f t="shared" si="243"/>
        <v/>
      </c>
      <c r="AC291" s="2">
        <f>(SUM(G291,I291,K291,M291,O291,Q291,S291,U291,W291,Y291,AA291)+IF(AND(G291&gt;0,I291&gt;0,K291&gt;0),100,0))*VLOOKUP(B291,variables!$A$2:$B$6,2,FALSE)</f>
        <v>80</v>
      </c>
      <c r="AD291" s="16" t="str">
        <f>IF($A291="","",INDEX(v_data!$B$2:$X$1000,MATCH($A291,v_data!$A$3:$A$1000,0)+1,MATCH(LOWER("hours"),v_data!$B$2:$X$2,0)))</f>
        <v/>
      </c>
    </row>
    <row r="292" spans="1:30" hidden="1" x14ac:dyDescent="0.25">
      <c r="A292" s="2" t="str">
        <f>IF(ISBLANK(v_data!A291),"",v_data!A291)</f>
        <v/>
      </c>
      <c r="B292" s="2" t="s">
        <v>22</v>
      </c>
      <c r="C292" s="2">
        <f>VLOOKUP(B292,variables!$A$2:$B$6,2,FALSE)</f>
        <v>0.8</v>
      </c>
      <c r="D292" s="4">
        <v>43826</v>
      </c>
      <c r="E292" s="4">
        <v>43431</v>
      </c>
      <c r="F292" s="2" t="str">
        <f>IF($A292="","",INDEX(v_data!$B$2:$L$1000,MATCH($A292,v_data!$A$3:$A$1000,0)+1,MATCH(LOWER(F$1),v_data!$B$2:$L$2,0)))</f>
        <v/>
      </c>
      <c r="G292" s="2" t="str">
        <f t="shared" si="232"/>
        <v/>
      </c>
      <c r="H292" s="2" t="str">
        <f>IF($A292="","",INDEX(v_data!$B$2:$L$1000,MATCH($A292,v_data!$A$3:$A$1000,0)+1,MATCH(LOWER(H$1),v_data!$B$2:$L$2,0)))</f>
        <v/>
      </c>
      <c r="I292" s="2" t="str">
        <f t="shared" si="233"/>
        <v/>
      </c>
      <c r="J292" s="2" t="str">
        <f>IF($A292="","",INDEX(v_data!$B$2:$L$1000,MATCH($A292,v_data!$A$3:$A$1000,0)+1,MATCH(LOWER(J$1),v_data!$B$2:$L$2,0)))</f>
        <v/>
      </c>
      <c r="K292" s="2" t="str">
        <f t="shared" si="234"/>
        <v/>
      </c>
      <c r="L292" s="2" t="str">
        <f>IF($A292="","",INDEX(v_data!$B$2:$L$1000,MATCH($A292,v_data!$A$3:$A$1000,0)+1,MATCH(LOWER(L$1),v_data!$B$2:$L$2,0)))</f>
        <v/>
      </c>
      <c r="M292" s="2" t="str">
        <f t="shared" si="235"/>
        <v/>
      </c>
      <c r="N292" s="2" t="str">
        <f>IF($A292="","",INDEX(v_data!$B$2:$L$1000,MATCH($A292,v_data!$A$3:$A$1000,0)+1,MATCH(LOWER(N$1),v_data!$B$2:$L$2,0)))</f>
        <v/>
      </c>
      <c r="O292" s="2" t="str">
        <f t="shared" si="236"/>
        <v/>
      </c>
      <c r="P292" s="2" t="str">
        <f>IF($A292="","",INDEX(v_data!$B$2:$L$1000,MATCH($A292,v_data!$A$3:$A$1000,0)+1,MATCH(LOWER(P$1),v_data!$B$2:$L$2,0)))</f>
        <v/>
      </c>
      <c r="Q292" s="2" t="str">
        <f t="shared" si="237"/>
        <v/>
      </c>
      <c r="R292" s="2" t="str">
        <f>IF($A292="","",INDEX(v_data!$B$2:$L$1000,MATCH($A292,v_data!$A$3:$A$1000,0)+1,MATCH(LOWER(R$1),v_data!$B$2:$L$2,0)))</f>
        <v/>
      </c>
      <c r="S292" s="2" t="str">
        <f t="shared" si="238"/>
        <v/>
      </c>
      <c r="T292" s="2" t="str">
        <f>IF($A292="","",INDEX(v_data!$B$2:$L$1000,MATCH($A292,v_data!$A$3:$A$1000,0)+1,MATCH(LOWER(T$1),v_data!$B$2:$L$2,0)))</f>
        <v/>
      </c>
      <c r="U292" s="2" t="str">
        <f t="shared" si="239"/>
        <v/>
      </c>
      <c r="V292" s="2" t="str">
        <f>IF($A292="","",INDEX(v_data!$B$2:$L$1000,MATCH($A292,v_data!$A$3:$A$1000,0)+1,MATCH(LOWER(V$1),v_data!$B$2:$L$2,0)))</f>
        <v/>
      </c>
      <c r="W292" s="2" t="str">
        <f t="shared" si="240"/>
        <v/>
      </c>
      <c r="X292" s="2" t="str">
        <f>IF($A292="","",INDEX(v_data!$B$2:$L$1000,MATCH($A292,v_data!$A$3:$A$1000,0)+1,MATCH(LOWER(X$1),v_data!$B$2:$L$2,0)))</f>
        <v/>
      </c>
      <c r="Y292" s="2" t="str">
        <f t="shared" si="241"/>
        <v/>
      </c>
      <c r="Z292" s="2" t="str">
        <f>IF($A292="","",INDEX(v_data!$B$2:$L$1000,MATCH($A292,v_data!$A$3:$A$1000,0)+1,MATCH(LOWER(Z$1),v_data!$B$2:$L$2,0)))</f>
        <v/>
      </c>
      <c r="AA292" s="2" t="str">
        <f t="shared" si="242"/>
        <v/>
      </c>
      <c r="AB292" s="2" t="str">
        <f t="shared" si="243"/>
        <v/>
      </c>
      <c r="AC292" s="2">
        <f>(SUM(G292,I292,K292,M292,O292,Q292,S292,U292,W292,Y292,AA292)+IF(AND(G292&gt;0,I292&gt;0,K292&gt;0),100,0))*VLOOKUP(B292,variables!$A$2:$B$6,2,FALSE)</f>
        <v>80</v>
      </c>
      <c r="AD292" s="16" t="str">
        <f>IF($A292="","",INDEX(v_data!$B$2:$X$1000,MATCH($A292,v_data!$A$3:$A$1000,0)+1,MATCH(LOWER("hours"),v_data!$B$2:$X$2,0)))</f>
        <v/>
      </c>
    </row>
    <row r="293" spans="1:30" hidden="1" x14ac:dyDescent="0.25">
      <c r="A293" s="2" t="str">
        <f>IF(ISBLANK(v_data!A292),"",v_data!A292)</f>
        <v/>
      </c>
      <c r="B293" s="2" t="s">
        <v>22</v>
      </c>
      <c r="C293" s="2">
        <f>VLOOKUP(B293,variables!$A$2:$B$6,2,FALSE)</f>
        <v>0.8</v>
      </c>
      <c r="D293" s="4">
        <v>43826</v>
      </c>
      <c r="E293" s="4">
        <v>43431</v>
      </c>
      <c r="F293" s="2" t="str">
        <f>IF($A293="","",INDEX(v_data!$B$2:$L$1000,MATCH($A293,v_data!$A$3:$A$1000,0)+1,MATCH(LOWER(F$1),v_data!$B$2:$L$2,0)))</f>
        <v/>
      </c>
      <c r="G293" s="2" t="str">
        <f t="shared" si="232"/>
        <v/>
      </c>
      <c r="H293" s="2" t="str">
        <f>IF($A293="","",INDEX(v_data!$B$2:$L$1000,MATCH($A293,v_data!$A$3:$A$1000,0)+1,MATCH(LOWER(H$1),v_data!$B$2:$L$2,0)))</f>
        <v/>
      </c>
      <c r="I293" s="2" t="str">
        <f t="shared" si="233"/>
        <v/>
      </c>
      <c r="J293" s="2" t="str">
        <f>IF($A293="","",INDEX(v_data!$B$2:$L$1000,MATCH($A293,v_data!$A$3:$A$1000,0)+1,MATCH(LOWER(J$1),v_data!$B$2:$L$2,0)))</f>
        <v/>
      </c>
      <c r="K293" s="2" t="str">
        <f t="shared" si="234"/>
        <v/>
      </c>
      <c r="L293" s="2" t="str">
        <f>IF($A293="","",INDEX(v_data!$B$2:$L$1000,MATCH($A293,v_data!$A$3:$A$1000,0)+1,MATCH(LOWER(L$1),v_data!$B$2:$L$2,0)))</f>
        <v/>
      </c>
      <c r="M293" s="2" t="str">
        <f t="shared" si="235"/>
        <v/>
      </c>
      <c r="N293" s="2" t="str">
        <f>IF($A293="","",INDEX(v_data!$B$2:$L$1000,MATCH($A293,v_data!$A$3:$A$1000,0)+1,MATCH(LOWER(N$1),v_data!$B$2:$L$2,0)))</f>
        <v/>
      </c>
      <c r="O293" s="2" t="str">
        <f t="shared" si="236"/>
        <v/>
      </c>
      <c r="P293" s="2" t="str">
        <f>IF($A293="","",INDEX(v_data!$B$2:$L$1000,MATCH($A293,v_data!$A$3:$A$1000,0)+1,MATCH(LOWER(P$1),v_data!$B$2:$L$2,0)))</f>
        <v/>
      </c>
      <c r="Q293" s="2" t="str">
        <f t="shared" si="237"/>
        <v/>
      </c>
      <c r="R293" s="2" t="str">
        <f>IF($A293="","",INDEX(v_data!$B$2:$L$1000,MATCH($A293,v_data!$A$3:$A$1000,0)+1,MATCH(LOWER(R$1),v_data!$B$2:$L$2,0)))</f>
        <v/>
      </c>
      <c r="S293" s="2" t="str">
        <f t="shared" si="238"/>
        <v/>
      </c>
      <c r="T293" s="2" t="str">
        <f>IF($A293="","",INDEX(v_data!$B$2:$L$1000,MATCH($A293,v_data!$A$3:$A$1000,0)+1,MATCH(LOWER(T$1),v_data!$B$2:$L$2,0)))</f>
        <v/>
      </c>
      <c r="U293" s="2" t="str">
        <f t="shared" si="239"/>
        <v/>
      </c>
      <c r="V293" s="2" t="str">
        <f>IF($A293="","",INDEX(v_data!$B$2:$L$1000,MATCH($A293,v_data!$A$3:$A$1000,0)+1,MATCH(LOWER(V$1),v_data!$B$2:$L$2,0)))</f>
        <v/>
      </c>
      <c r="W293" s="2" t="str">
        <f t="shared" si="240"/>
        <v/>
      </c>
      <c r="X293" s="2" t="str">
        <f>IF($A293="","",INDEX(v_data!$B$2:$L$1000,MATCH($A293,v_data!$A$3:$A$1000,0)+1,MATCH(LOWER(X$1),v_data!$B$2:$L$2,0)))</f>
        <v/>
      </c>
      <c r="Y293" s="2" t="str">
        <f t="shared" si="241"/>
        <v/>
      </c>
      <c r="Z293" s="2" t="str">
        <f>IF($A293="","",INDEX(v_data!$B$2:$L$1000,MATCH($A293,v_data!$A$3:$A$1000,0)+1,MATCH(LOWER(Z$1),v_data!$B$2:$L$2,0)))</f>
        <v/>
      </c>
      <c r="AA293" s="2" t="str">
        <f t="shared" si="242"/>
        <v/>
      </c>
      <c r="AB293" s="2" t="str">
        <f t="shared" si="243"/>
        <v/>
      </c>
      <c r="AC293" s="2">
        <f>(SUM(G293,I293,K293,M293,O293,Q293,S293,U293,W293,Y293,AA293)+IF(AND(G293&gt;0,I293&gt;0,K293&gt;0),100,0))*VLOOKUP(B293,variables!$A$2:$B$6,2,FALSE)</f>
        <v>80</v>
      </c>
      <c r="AD293" s="16" t="str">
        <f>IF($A293="","",INDEX(v_data!$B$2:$X$1000,MATCH($A293,v_data!$A$3:$A$1000,0)+1,MATCH(LOWER("hours"),v_data!$B$2:$X$2,0)))</f>
        <v/>
      </c>
    </row>
    <row r="294" spans="1:30" hidden="1" x14ac:dyDescent="0.25">
      <c r="A294" s="2" t="str">
        <f>IF(ISBLANK(v_data!A293),"",v_data!A293)</f>
        <v/>
      </c>
      <c r="B294" s="2" t="s">
        <v>22</v>
      </c>
      <c r="C294" s="2">
        <f>VLOOKUP(B294,variables!$A$2:$B$6,2,FALSE)</f>
        <v>0.8</v>
      </c>
      <c r="D294" s="4">
        <v>43826</v>
      </c>
      <c r="E294" s="4">
        <v>43431</v>
      </c>
      <c r="F294" s="2" t="str">
        <f>IF($A294="","",INDEX(v_data!$B$2:$L$1000,MATCH($A294,v_data!$A$3:$A$1000,0)+1,MATCH(LOWER(F$1),v_data!$B$2:$L$2,0)))</f>
        <v/>
      </c>
      <c r="G294" s="2" t="str">
        <f t="shared" si="232"/>
        <v/>
      </c>
      <c r="H294" s="2" t="str">
        <f>IF($A294="","",INDEX(v_data!$B$2:$L$1000,MATCH($A294,v_data!$A$3:$A$1000,0)+1,MATCH(LOWER(H$1),v_data!$B$2:$L$2,0)))</f>
        <v/>
      </c>
      <c r="I294" s="2" t="str">
        <f t="shared" si="233"/>
        <v/>
      </c>
      <c r="J294" s="2" t="str">
        <f>IF($A294="","",INDEX(v_data!$B$2:$L$1000,MATCH($A294,v_data!$A$3:$A$1000,0)+1,MATCH(LOWER(J$1),v_data!$B$2:$L$2,0)))</f>
        <v/>
      </c>
      <c r="K294" s="2" t="str">
        <f t="shared" si="234"/>
        <v/>
      </c>
      <c r="L294" s="2" t="str">
        <f>IF($A294="","",INDEX(v_data!$B$2:$L$1000,MATCH($A294,v_data!$A$3:$A$1000,0)+1,MATCH(LOWER(L$1),v_data!$B$2:$L$2,0)))</f>
        <v/>
      </c>
      <c r="M294" s="2" t="str">
        <f t="shared" si="235"/>
        <v/>
      </c>
      <c r="N294" s="2" t="str">
        <f>IF($A294="","",INDEX(v_data!$B$2:$L$1000,MATCH($A294,v_data!$A$3:$A$1000,0)+1,MATCH(LOWER(N$1),v_data!$B$2:$L$2,0)))</f>
        <v/>
      </c>
      <c r="O294" s="2" t="str">
        <f t="shared" si="236"/>
        <v/>
      </c>
      <c r="P294" s="2" t="str">
        <f>IF($A294="","",INDEX(v_data!$B$2:$L$1000,MATCH($A294,v_data!$A$3:$A$1000,0)+1,MATCH(LOWER(P$1),v_data!$B$2:$L$2,0)))</f>
        <v/>
      </c>
      <c r="Q294" s="2" t="str">
        <f t="shared" si="237"/>
        <v/>
      </c>
      <c r="R294" s="2" t="str">
        <f>IF($A294="","",INDEX(v_data!$B$2:$L$1000,MATCH($A294,v_data!$A$3:$A$1000,0)+1,MATCH(LOWER(R$1),v_data!$B$2:$L$2,0)))</f>
        <v/>
      </c>
      <c r="S294" s="2" t="str">
        <f t="shared" si="238"/>
        <v/>
      </c>
      <c r="T294" s="2" t="str">
        <f>IF($A294="","",INDEX(v_data!$B$2:$L$1000,MATCH($A294,v_data!$A$3:$A$1000,0)+1,MATCH(LOWER(T$1),v_data!$B$2:$L$2,0)))</f>
        <v/>
      </c>
      <c r="U294" s="2" t="str">
        <f t="shared" si="239"/>
        <v/>
      </c>
      <c r="V294" s="2" t="str">
        <f>IF($A294="","",INDEX(v_data!$B$2:$L$1000,MATCH($A294,v_data!$A$3:$A$1000,0)+1,MATCH(LOWER(V$1),v_data!$B$2:$L$2,0)))</f>
        <v/>
      </c>
      <c r="W294" s="2" t="str">
        <f t="shared" si="240"/>
        <v/>
      </c>
      <c r="X294" s="2" t="str">
        <f>IF($A294="","",INDEX(v_data!$B$2:$L$1000,MATCH($A294,v_data!$A$3:$A$1000,0)+1,MATCH(LOWER(X$1),v_data!$B$2:$L$2,0)))</f>
        <v/>
      </c>
      <c r="Y294" s="2" t="str">
        <f t="shared" si="241"/>
        <v/>
      </c>
      <c r="Z294" s="2" t="str">
        <f>IF($A294="","",INDEX(v_data!$B$2:$L$1000,MATCH($A294,v_data!$A$3:$A$1000,0)+1,MATCH(LOWER(Z$1),v_data!$B$2:$L$2,0)))</f>
        <v/>
      </c>
      <c r="AA294" s="2" t="str">
        <f t="shared" si="242"/>
        <v/>
      </c>
      <c r="AB294" s="2" t="str">
        <f t="shared" si="243"/>
        <v/>
      </c>
      <c r="AC294" s="2">
        <f>(SUM(G294,I294,K294,M294,O294,Q294,S294,U294,W294,Y294,AA294)+IF(AND(G294&gt;0,I294&gt;0,K294&gt;0),100,0))*VLOOKUP(B294,variables!$A$2:$B$6,2,FALSE)</f>
        <v>80</v>
      </c>
      <c r="AD294" s="16" t="str">
        <f>IF($A294="","",INDEX(v_data!$B$2:$X$1000,MATCH($A294,v_data!$A$3:$A$1000,0)+1,MATCH(LOWER("hours"),v_data!$B$2:$X$2,0)))</f>
        <v/>
      </c>
    </row>
    <row r="295" spans="1:30" hidden="1" x14ac:dyDescent="0.25">
      <c r="A295" s="2" t="str">
        <f>IF(ISBLANK(v_data!A294),"",v_data!A294)</f>
        <v/>
      </c>
      <c r="B295" s="2" t="s">
        <v>22</v>
      </c>
      <c r="C295" s="2">
        <f>VLOOKUP(B295,variables!$A$2:$B$6,2,FALSE)</f>
        <v>0.8</v>
      </c>
      <c r="D295" s="4">
        <v>43826</v>
      </c>
      <c r="E295" s="4">
        <v>43431</v>
      </c>
      <c r="F295" s="2" t="str">
        <f>IF($A295="","",INDEX(v_data!$B$2:$L$1000,MATCH($A295,v_data!$A$3:$A$1000,0)+1,MATCH(LOWER(F$1),v_data!$B$2:$L$2,0)))</f>
        <v/>
      </c>
      <c r="G295" s="2" t="str">
        <f t="shared" si="232"/>
        <v/>
      </c>
      <c r="H295" s="2" t="str">
        <f>IF($A295="","",INDEX(v_data!$B$2:$L$1000,MATCH($A295,v_data!$A$3:$A$1000,0)+1,MATCH(LOWER(H$1),v_data!$B$2:$L$2,0)))</f>
        <v/>
      </c>
      <c r="I295" s="2" t="str">
        <f t="shared" si="233"/>
        <v/>
      </c>
      <c r="J295" s="2" t="str">
        <f>IF($A295="","",INDEX(v_data!$B$2:$L$1000,MATCH($A295,v_data!$A$3:$A$1000,0)+1,MATCH(LOWER(J$1),v_data!$B$2:$L$2,0)))</f>
        <v/>
      </c>
      <c r="K295" s="2" t="str">
        <f t="shared" si="234"/>
        <v/>
      </c>
      <c r="L295" s="2" t="str">
        <f>IF($A295="","",INDEX(v_data!$B$2:$L$1000,MATCH($A295,v_data!$A$3:$A$1000,0)+1,MATCH(LOWER(L$1),v_data!$B$2:$L$2,0)))</f>
        <v/>
      </c>
      <c r="M295" s="2" t="str">
        <f t="shared" si="235"/>
        <v/>
      </c>
      <c r="N295" s="2" t="str">
        <f>IF($A295="","",INDEX(v_data!$B$2:$L$1000,MATCH($A295,v_data!$A$3:$A$1000,0)+1,MATCH(LOWER(N$1),v_data!$B$2:$L$2,0)))</f>
        <v/>
      </c>
      <c r="O295" s="2" t="str">
        <f t="shared" si="236"/>
        <v/>
      </c>
      <c r="P295" s="2" t="str">
        <f>IF($A295="","",INDEX(v_data!$B$2:$L$1000,MATCH($A295,v_data!$A$3:$A$1000,0)+1,MATCH(LOWER(P$1),v_data!$B$2:$L$2,0)))</f>
        <v/>
      </c>
      <c r="Q295" s="2" t="str">
        <f t="shared" si="237"/>
        <v/>
      </c>
      <c r="R295" s="2" t="str">
        <f>IF($A295="","",INDEX(v_data!$B$2:$L$1000,MATCH($A295,v_data!$A$3:$A$1000,0)+1,MATCH(LOWER(R$1),v_data!$B$2:$L$2,0)))</f>
        <v/>
      </c>
      <c r="S295" s="2" t="str">
        <f t="shared" si="238"/>
        <v/>
      </c>
      <c r="T295" s="2" t="str">
        <f>IF($A295="","",INDEX(v_data!$B$2:$L$1000,MATCH($A295,v_data!$A$3:$A$1000,0)+1,MATCH(LOWER(T$1),v_data!$B$2:$L$2,0)))</f>
        <v/>
      </c>
      <c r="U295" s="2" t="str">
        <f t="shared" si="239"/>
        <v/>
      </c>
      <c r="V295" s="2" t="str">
        <f>IF($A295="","",INDEX(v_data!$B$2:$L$1000,MATCH($A295,v_data!$A$3:$A$1000,0)+1,MATCH(LOWER(V$1),v_data!$B$2:$L$2,0)))</f>
        <v/>
      </c>
      <c r="W295" s="2" t="str">
        <f t="shared" si="240"/>
        <v/>
      </c>
      <c r="X295" s="2" t="str">
        <f>IF($A295="","",INDEX(v_data!$B$2:$L$1000,MATCH($A295,v_data!$A$3:$A$1000,0)+1,MATCH(LOWER(X$1),v_data!$B$2:$L$2,0)))</f>
        <v/>
      </c>
      <c r="Y295" s="2" t="str">
        <f t="shared" si="241"/>
        <v/>
      </c>
      <c r="Z295" s="2" t="str">
        <f>IF($A295="","",INDEX(v_data!$B$2:$L$1000,MATCH($A295,v_data!$A$3:$A$1000,0)+1,MATCH(LOWER(Z$1),v_data!$B$2:$L$2,0)))</f>
        <v/>
      </c>
      <c r="AA295" s="2" t="str">
        <f t="shared" si="242"/>
        <v/>
      </c>
      <c r="AB295" s="2" t="str">
        <f t="shared" si="243"/>
        <v/>
      </c>
      <c r="AC295" s="2">
        <f>(SUM(G295,I295,K295,M295,O295,Q295,S295,U295,W295,Y295,AA295)+IF(AND(G295&gt;0,I295&gt;0,K295&gt;0),100,0))*VLOOKUP(B295,variables!$A$2:$B$6,2,FALSE)</f>
        <v>80</v>
      </c>
      <c r="AD295" s="16" t="str">
        <f>IF($A295="","",INDEX(v_data!$B$2:$X$1000,MATCH($A295,v_data!$A$3:$A$1000,0)+1,MATCH(LOWER("hours"),v_data!$B$2:$X$2,0)))</f>
        <v/>
      </c>
    </row>
    <row r="296" spans="1:30" hidden="1" x14ac:dyDescent="0.25">
      <c r="A296" s="2" t="str">
        <f>IF(ISBLANK(v_data!A295),"",v_data!A295)</f>
        <v/>
      </c>
      <c r="B296" s="2" t="s">
        <v>22</v>
      </c>
      <c r="C296" s="2">
        <f>VLOOKUP(B296,variables!$A$2:$B$6,2,FALSE)</f>
        <v>0.8</v>
      </c>
      <c r="D296" s="4">
        <v>43826</v>
      </c>
      <c r="E296" s="4">
        <v>43431</v>
      </c>
      <c r="F296" s="2" t="str">
        <f>IF($A296="","",INDEX(v_data!$B$2:$L$1000,MATCH($A296,v_data!$A$3:$A$1000,0)+1,MATCH(LOWER(F$1),v_data!$B$2:$L$2,0)))</f>
        <v/>
      </c>
      <c r="G296" s="2" t="str">
        <f t="shared" si="232"/>
        <v/>
      </c>
      <c r="H296" s="2" t="str">
        <f>IF($A296="","",INDEX(v_data!$B$2:$L$1000,MATCH($A296,v_data!$A$3:$A$1000,0)+1,MATCH(LOWER(H$1),v_data!$B$2:$L$2,0)))</f>
        <v/>
      </c>
      <c r="I296" s="2" t="str">
        <f t="shared" si="233"/>
        <v/>
      </c>
      <c r="J296" s="2" t="str">
        <f>IF($A296="","",INDEX(v_data!$B$2:$L$1000,MATCH($A296,v_data!$A$3:$A$1000,0)+1,MATCH(LOWER(J$1),v_data!$B$2:$L$2,0)))</f>
        <v/>
      </c>
      <c r="K296" s="2" t="str">
        <f t="shared" si="234"/>
        <v/>
      </c>
      <c r="L296" s="2" t="str">
        <f>IF($A296="","",INDEX(v_data!$B$2:$L$1000,MATCH($A296,v_data!$A$3:$A$1000,0)+1,MATCH(LOWER(L$1),v_data!$B$2:$L$2,0)))</f>
        <v/>
      </c>
      <c r="M296" s="2" t="str">
        <f t="shared" si="235"/>
        <v/>
      </c>
      <c r="N296" s="2" t="str">
        <f>IF($A296="","",INDEX(v_data!$B$2:$L$1000,MATCH($A296,v_data!$A$3:$A$1000,0)+1,MATCH(LOWER(N$1),v_data!$B$2:$L$2,0)))</f>
        <v/>
      </c>
      <c r="O296" s="2" t="str">
        <f t="shared" si="236"/>
        <v/>
      </c>
      <c r="P296" s="2" t="str">
        <f>IF($A296="","",INDEX(v_data!$B$2:$L$1000,MATCH($A296,v_data!$A$3:$A$1000,0)+1,MATCH(LOWER(P$1),v_data!$B$2:$L$2,0)))</f>
        <v/>
      </c>
      <c r="Q296" s="2" t="str">
        <f t="shared" si="237"/>
        <v/>
      </c>
      <c r="R296" s="2" t="str">
        <f>IF($A296="","",INDEX(v_data!$B$2:$L$1000,MATCH($A296,v_data!$A$3:$A$1000,0)+1,MATCH(LOWER(R$1),v_data!$B$2:$L$2,0)))</f>
        <v/>
      </c>
      <c r="S296" s="2" t="str">
        <f t="shared" si="238"/>
        <v/>
      </c>
      <c r="T296" s="2" t="str">
        <f>IF($A296="","",INDEX(v_data!$B$2:$L$1000,MATCH($A296,v_data!$A$3:$A$1000,0)+1,MATCH(LOWER(T$1),v_data!$B$2:$L$2,0)))</f>
        <v/>
      </c>
      <c r="U296" s="2" t="str">
        <f t="shared" si="239"/>
        <v/>
      </c>
      <c r="V296" s="2" t="str">
        <f>IF($A296="","",INDEX(v_data!$B$2:$L$1000,MATCH($A296,v_data!$A$3:$A$1000,0)+1,MATCH(LOWER(V$1),v_data!$B$2:$L$2,0)))</f>
        <v/>
      </c>
      <c r="W296" s="2" t="str">
        <f t="shared" si="240"/>
        <v/>
      </c>
      <c r="X296" s="2" t="str">
        <f>IF($A296="","",INDEX(v_data!$B$2:$L$1000,MATCH($A296,v_data!$A$3:$A$1000,0)+1,MATCH(LOWER(X$1),v_data!$B$2:$L$2,0)))</f>
        <v/>
      </c>
      <c r="Y296" s="2" t="str">
        <f t="shared" si="241"/>
        <v/>
      </c>
      <c r="Z296" s="2" t="str">
        <f>IF($A296="","",INDEX(v_data!$B$2:$L$1000,MATCH($A296,v_data!$A$3:$A$1000,0)+1,MATCH(LOWER(Z$1),v_data!$B$2:$L$2,0)))</f>
        <v/>
      </c>
      <c r="AA296" s="2" t="str">
        <f t="shared" si="242"/>
        <v/>
      </c>
      <c r="AB296" s="2" t="str">
        <f t="shared" si="243"/>
        <v/>
      </c>
      <c r="AC296" s="2">
        <f>(SUM(G296,I296,K296,M296,O296,Q296,S296,U296,W296,Y296,AA296)+IF(AND(G296&gt;0,I296&gt;0,K296&gt;0),100,0))*VLOOKUP(B296,variables!$A$2:$B$6,2,FALSE)</f>
        <v>80</v>
      </c>
      <c r="AD296" s="16" t="str">
        <f>IF($A296="","",INDEX(v_data!$B$2:$X$1000,MATCH($A296,v_data!$A$3:$A$1000,0)+1,MATCH(LOWER("hours"),v_data!$B$2:$X$2,0)))</f>
        <v/>
      </c>
    </row>
    <row r="297" spans="1:30" hidden="1" x14ac:dyDescent="0.25">
      <c r="A297" s="2" t="str">
        <f>IF(ISBLANK(v_data!A296),"",v_data!A296)</f>
        <v/>
      </c>
      <c r="B297" s="2" t="s">
        <v>22</v>
      </c>
      <c r="C297" s="2">
        <f>VLOOKUP(B297,variables!$A$2:$B$6,2,FALSE)</f>
        <v>0.8</v>
      </c>
      <c r="D297" s="4">
        <v>43826</v>
      </c>
      <c r="E297" s="4">
        <v>43431</v>
      </c>
      <c r="F297" s="2" t="str">
        <f>IF($A297="","",INDEX(v_data!$B$2:$L$1000,MATCH($A297,v_data!$A$3:$A$1000,0)+1,MATCH(LOWER(F$1),v_data!$B$2:$L$2,0)))</f>
        <v/>
      </c>
      <c r="G297" s="2" t="str">
        <f t="shared" si="232"/>
        <v/>
      </c>
      <c r="H297" s="2" t="str">
        <f>IF($A297="","",INDEX(v_data!$B$2:$L$1000,MATCH($A297,v_data!$A$3:$A$1000,0)+1,MATCH(LOWER(H$1),v_data!$B$2:$L$2,0)))</f>
        <v/>
      </c>
      <c r="I297" s="2" t="str">
        <f t="shared" si="233"/>
        <v/>
      </c>
      <c r="J297" s="2" t="str">
        <f>IF($A297="","",INDEX(v_data!$B$2:$L$1000,MATCH($A297,v_data!$A$3:$A$1000,0)+1,MATCH(LOWER(J$1),v_data!$B$2:$L$2,0)))</f>
        <v/>
      </c>
      <c r="K297" s="2" t="str">
        <f t="shared" si="234"/>
        <v/>
      </c>
      <c r="L297" s="2" t="str">
        <f>IF($A297="","",INDEX(v_data!$B$2:$L$1000,MATCH($A297,v_data!$A$3:$A$1000,0)+1,MATCH(LOWER(L$1),v_data!$B$2:$L$2,0)))</f>
        <v/>
      </c>
      <c r="M297" s="2" t="str">
        <f t="shared" si="235"/>
        <v/>
      </c>
      <c r="N297" s="2" t="str">
        <f>IF($A297="","",INDEX(v_data!$B$2:$L$1000,MATCH($A297,v_data!$A$3:$A$1000,0)+1,MATCH(LOWER(N$1),v_data!$B$2:$L$2,0)))</f>
        <v/>
      </c>
      <c r="O297" s="2" t="str">
        <f t="shared" si="236"/>
        <v/>
      </c>
      <c r="P297" s="2" t="str">
        <f>IF($A297="","",INDEX(v_data!$B$2:$L$1000,MATCH($A297,v_data!$A$3:$A$1000,0)+1,MATCH(LOWER(P$1),v_data!$B$2:$L$2,0)))</f>
        <v/>
      </c>
      <c r="Q297" s="2" t="str">
        <f t="shared" si="237"/>
        <v/>
      </c>
      <c r="R297" s="2" t="str">
        <f>IF($A297="","",INDEX(v_data!$B$2:$L$1000,MATCH($A297,v_data!$A$3:$A$1000,0)+1,MATCH(LOWER(R$1),v_data!$B$2:$L$2,0)))</f>
        <v/>
      </c>
      <c r="S297" s="2" t="str">
        <f t="shared" si="238"/>
        <v/>
      </c>
      <c r="T297" s="2" t="str">
        <f>IF($A297="","",INDEX(v_data!$B$2:$L$1000,MATCH($A297,v_data!$A$3:$A$1000,0)+1,MATCH(LOWER(T$1),v_data!$B$2:$L$2,0)))</f>
        <v/>
      </c>
      <c r="U297" s="2" t="str">
        <f t="shared" si="239"/>
        <v/>
      </c>
      <c r="V297" s="2" t="str">
        <f>IF($A297="","",INDEX(v_data!$B$2:$L$1000,MATCH($A297,v_data!$A$3:$A$1000,0)+1,MATCH(LOWER(V$1),v_data!$B$2:$L$2,0)))</f>
        <v/>
      </c>
      <c r="W297" s="2" t="str">
        <f t="shared" si="240"/>
        <v/>
      </c>
      <c r="X297" s="2" t="str">
        <f>IF($A297="","",INDEX(v_data!$B$2:$L$1000,MATCH($A297,v_data!$A$3:$A$1000,0)+1,MATCH(LOWER(X$1),v_data!$B$2:$L$2,0)))</f>
        <v/>
      </c>
      <c r="Y297" s="2" t="str">
        <f t="shared" si="241"/>
        <v/>
      </c>
      <c r="Z297" s="2" t="str">
        <f>IF($A297="","",INDEX(v_data!$B$2:$L$1000,MATCH($A297,v_data!$A$3:$A$1000,0)+1,MATCH(LOWER(Z$1),v_data!$B$2:$L$2,0)))</f>
        <v/>
      </c>
      <c r="AA297" s="2" t="str">
        <f t="shared" si="242"/>
        <v/>
      </c>
      <c r="AB297" s="2" t="str">
        <f t="shared" si="243"/>
        <v/>
      </c>
      <c r="AC297" s="2">
        <f>(SUM(G297,I297,K297,M297,O297,Q297,S297,U297,W297,Y297,AA297)+IF(AND(G297&gt;0,I297&gt;0,K297&gt;0),100,0))*VLOOKUP(B297,variables!$A$2:$B$6,2,FALSE)</f>
        <v>80</v>
      </c>
      <c r="AD297" s="16" t="str">
        <f>IF($A297="","",INDEX(v_data!$B$2:$X$1000,MATCH($A297,v_data!$A$3:$A$1000,0)+1,MATCH(LOWER("hours"),v_data!$B$2:$X$2,0)))</f>
        <v/>
      </c>
    </row>
    <row r="298" spans="1:30" hidden="1" x14ac:dyDescent="0.25">
      <c r="A298" s="2" t="str">
        <f>IF(ISBLANK(v_data!A297),"",v_data!A297)</f>
        <v/>
      </c>
      <c r="B298" s="2" t="s">
        <v>22</v>
      </c>
      <c r="C298" s="2">
        <f>VLOOKUP(B298,variables!$A$2:$B$6,2,FALSE)</f>
        <v>0.8</v>
      </c>
      <c r="D298" s="4">
        <v>43826</v>
      </c>
      <c r="E298" s="4">
        <v>43431</v>
      </c>
      <c r="F298" s="2" t="str">
        <f>IF($A298="","",INDEX(v_data!$B$2:$L$1000,MATCH($A298,v_data!$A$3:$A$1000,0)+1,MATCH(LOWER(F$1),v_data!$B$2:$L$2,0)))</f>
        <v/>
      </c>
      <c r="G298" s="2" t="str">
        <f t="shared" si="232"/>
        <v/>
      </c>
      <c r="H298" s="2" t="str">
        <f>IF($A298="","",INDEX(v_data!$B$2:$L$1000,MATCH($A298,v_data!$A$3:$A$1000,0)+1,MATCH(LOWER(H$1),v_data!$B$2:$L$2,0)))</f>
        <v/>
      </c>
      <c r="I298" s="2" t="str">
        <f t="shared" si="233"/>
        <v/>
      </c>
      <c r="J298" s="2" t="str">
        <f>IF($A298="","",INDEX(v_data!$B$2:$L$1000,MATCH($A298,v_data!$A$3:$A$1000,0)+1,MATCH(LOWER(J$1),v_data!$B$2:$L$2,0)))</f>
        <v/>
      </c>
      <c r="K298" s="2" t="str">
        <f t="shared" si="234"/>
        <v/>
      </c>
      <c r="L298" s="2" t="str">
        <f>IF($A298="","",INDEX(v_data!$B$2:$L$1000,MATCH($A298,v_data!$A$3:$A$1000,0)+1,MATCH(LOWER(L$1),v_data!$B$2:$L$2,0)))</f>
        <v/>
      </c>
      <c r="M298" s="2" t="str">
        <f t="shared" si="235"/>
        <v/>
      </c>
      <c r="N298" s="2" t="str">
        <f>IF($A298="","",INDEX(v_data!$B$2:$L$1000,MATCH($A298,v_data!$A$3:$A$1000,0)+1,MATCH(LOWER(N$1),v_data!$B$2:$L$2,0)))</f>
        <v/>
      </c>
      <c r="O298" s="2" t="str">
        <f t="shared" si="236"/>
        <v/>
      </c>
      <c r="P298" s="2" t="str">
        <f>IF($A298="","",INDEX(v_data!$B$2:$L$1000,MATCH($A298,v_data!$A$3:$A$1000,0)+1,MATCH(LOWER(P$1),v_data!$B$2:$L$2,0)))</f>
        <v/>
      </c>
      <c r="Q298" s="2" t="str">
        <f t="shared" si="237"/>
        <v/>
      </c>
      <c r="R298" s="2" t="str">
        <f>IF($A298="","",INDEX(v_data!$B$2:$L$1000,MATCH($A298,v_data!$A$3:$A$1000,0)+1,MATCH(LOWER(R$1),v_data!$B$2:$L$2,0)))</f>
        <v/>
      </c>
      <c r="S298" s="2" t="str">
        <f t="shared" si="238"/>
        <v/>
      </c>
      <c r="T298" s="2" t="str">
        <f>IF($A298="","",INDEX(v_data!$B$2:$L$1000,MATCH($A298,v_data!$A$3:$A$1000,0)+1,MATCH(LOWER(T$1),v_data!$B$2:$L$2,0)))</f>
        <v/>
      </c>
      <c r="U298" s="2" t="str">
        <f t="shared" si="239"/>
        <v/>
      </c>
      <c r="V298" s="2" t="str">
        <f>IF($A298="","",INDEX(v_data!$B$2:$L$1000,MATCH($A298,v_data!$A$3:$A$1000,0)+1,MATCH(LOWER(V$1),v_data!$B$2:$L$2,0)))</f>
        <v/>
      </c>
      <c r="W298" s="2" t="str">
        <f t="shared" si="240"/>
        <v/>
      </c>
      <c r="X298" s="2" t="str">
        <f>IF($A298="","",INDEX(v_data!$B$2:$L$1000,MATCH($A298,v_data!$A$3:$A$1000,0)+1,MATCH(LOWER(X$1),v_data!$B$2:$L$2,0)))</f>
        <v/>
      </c>
      <c r="Y298" s="2" t="str">
        <f t="shared" si="241"/>
        <v/>
      </c>
      <c r="Z298" s="2" t="str">
        <f>IF($A298="","",INDEX(v_data!$B$2:$L$1000,MATCH($A298,v_data!$A$3:$A$1000,0)+1,MATCH(LOWER(Z$1),v_data!$B$2:$L$2,0)))</f>
        <v/>
      </c>
      <c r="AA298" s="2" t="str">
        <f t="shared" si="242"/>
        <v/>
      </c>
      <c r="AB298" s="2" t="str">
        <f t="shared" si="243"/>
        <v/>
      </c>
      <c r="AC298" s="2">
        <f>(SUM(G298,I298,K298,M298,O298,Q298,S298,U298,W298,Y298,AA298)+IF(AND(G298&gt;0,I298&gt;0,K298&gt;0),100,0))*VLOOKUP(B298,variables!$A$2:$B$6,2,FALSE)</f>
        <v>80</v>
      </c>
      <c r="AD298" s="16" t="str">
        <f>IF($A298="","",INDEX(v_data!$B$2:$X$1000,MATCH($A298,v_data!$A$3:$A$1000,0)+1,MATCH(LOWER("hours"),v_data!$B$2:$X$2,0)))</f>
        <v/>
      </c>
    </row>
    <row r="299" spans="1:30" hidden="1" x14ac:dyDescent="0.25">
      <c r="A299" s="2" t="str">
        <f>IF(ISBLANK(v_data!A298),"",v_data!A298)</f>
        <v/>
      </c>
      <c r="B299" s="2" t="s">
        <v>22</v>
      </c>
      <c r="C299" s="2">
        <f>VLOOKUP(B299,variables!$A$2:$B$6,2,FALSE)</f>
        <v>0.8</v>
      </c>
      <c r="D299" s="4">
        <v>43826</v>
      </c>
      <c r="E299" s="4">
        <v>43431</v>
      </c>
      <c r="F299" s="2" t="str">
        <f>IF($A299="","",INDEX(v_data!$B$2:$L$1000,MATCH($A299,v_data!$A$3:$A$1000,0)+1,MATCH(LOWER(F$1),v_data!$B$2:$L$2,0)))</f>
        <v/>
      </c>
      <c r="G299" s="2" t="str">
        <f t="shared" si="232"/>
        <v/>
      </c>
      <c r="H299" s="2" t="str">
        <f>IF($A299="","",INDEX(v_data!$B$2:$L$1000,MATCH($A299,v_data!$A$3:$A$1000,0)+1,MATCH(LOWER(H$1),v_data!$B$2:$L$2,0)))</f>
        <v/>
      </c>
      <c r="I299" s="2" t="str">
        <f t="shared" si="233"/>
        <v/>
      </c>
      <c r="J299" s="2" t="str">
        <f>IF($A299="","",INDEX(v_data!$B$2:$L$1000,MATCH($A299,v_data!$A$3:$A$1000,0)+1,MATCH(LOWER(J$1),v_data!$B$2:$L$2,0)))</f>
        <v/>
      </c>
      <c r="K299" s="2" t="str">
        <f t="shared" si="234"/>
        <v/>
      </c>
      <c r="L299" s="2" t="str">
        <f>IF($A299="","",INDEX(v_data!$B$2:$L$1000,MATCH($A299,v_data!$A$3:$A$1000,0)+1,MATCH(LOWER(L$1),v_data!$B$2:$L$2,0)))</f>
        <v/>
      </c>
      <c r="M299" s="2" t="str">
        <f t="shared" si="235"/>
        <v/>
      </c>
      <c r="N299" s="2" t="str">
        <f>IF($A299="","",INDEX(v_data!$B$2:$L$1000,MATCH($A299,v_data!$A$3:$A$1000,0)+1,MATCH(LOWER(N$1),v_data!$B$2:$L$2,0)))</f>
        <v/>
      </c>
      <c r="O299" s="2" t="str">
        <f t="shared" si="236"/>
        <v/>
      </c>
      <c r="P299" s="2" t="str">
        <f>IF($A299="","",INDEX(v_data!$B$2:$L$1000,MATCH($A299,v_data!$A$3:$A$1000,0)+1,MATCH(LOWER(P$1),v_data!$B$2:$L$2,0)))</f>
        <v/>
      </c>
      <c r="Q299" s="2" t="str">
        <f t="shared" si="237"/>
        <v/>
      </c>
      <c r="R299" s="2" t="str">
        <f>IF($A299="","",INDEX(v_data!$B$2:$L$1000,MATCH($A299,v_data!$A$3:$A$1000,0)+1,MATCH(LOWER(R$1),v_data!$B$2:$L$2,0)))</f>
        <v/>
      </c>
      <c r="S299" s="2" t="str">
        <f t="shared" si="238"/>
        <v/>
      </c>
      <c r="T299" s="2" t="str">
        <f>IF($A299="","",INDEX(v_data!$B$2:$L$1000,MATCH($A299,v_data!$A$3:$A$1000,0)+1,MATCH(LOWER(T$1),v_data!$B$2:$L$2,0)))</f>
        <v/>
      </c>
      <c r="U299" s="2" t="str">
        <f t="shared" si="239"/>
        <v/>
      </c>
      <c r="V299" s="2" t="str">
        <f>IF($A299="","",INDEX(v_data!$B$2:$L$1000,MATCH($A299,v_data!$A$3:$A$1000,0)+1,MATCH(LOWER(V$1),v_data!$B$2:$L$2,0)))</f>
        <v/>
      </c>
      <c r="W299" s="2" t="str">
        <f t="shared" si="240"/>
        <v/>
      </c>
      <c r="X299" s="2" t="str">
        <f>IF($A299="","",INDEX(v_data!$B$2:$L$1000,MATCH($A299,v_data!$A$3:$A$1000,0)+1,MATCH(LOWER(X$1),v_data!$B$2:$L$2,0)))</f>
        <v/>
      </c>
      <c r="Y299" s="2" t="str">
        <f t="shared" si="241"/>
        <v/>
      </c>
      <c r="Z299" s="2" t="str">
        <f>IF($A299="","",INDEX(v_data!$B$2:$L$1000,MATCH($A299,v_data!$A$3:$A$1000,0)+1,MATCH(LOWER(Z$1),v_data!$B$2:$L$2,0)))</f>
        <v/>
      </c>
      <c r="AA299" s="2" t="str">
        <f t="shared" si="242"/>
        <v/>
      </c>
      <c r="AB299" s="2" t="str">
        <f t="shared" si="243"/>
        <v/>
      </c>
      <c r="AC299" s="2">
        <f>(SUM(G299,I299,K299,M299,O299,Q299,S299,U299,W299,Y299,AA299)+IF(AND(G299&gt;0,I299&gt;0,K299&gt;0),100,0))*VLOOKUP(B299,variables!$A$2:$B$6,2,FALSE)</f>
        <v>80</v>
      </c>
      <c r="AD299" s="16" t="str">
        <f>IF($A299="","",INDEX(v_data!$B$2:$X$1000,MATCH($A299,v_data!$A$3:$A$1000,0)+1,MATCH(LOWER("hours"),v_data!$B$2:$X$2,0)))</f>
        <v/>
      </c>
    </row>
    <row r="300" spans="1:30" hidden="1" x14ac:dyDescent="0.25">
      <c r="A300" s="2" t="str">
        <f>IF(ISBLANK(v_data!A299),"",v_data!A299)</f>
        <v/>
      </c>
      <c r="B300" s="2" t="s">
        <v>22</v>
      </c>
      <c r="C300" s="2">
        <f>VLOOKUP(B300,variables!$A$2:$B$6,2,FALSE)</f>
        <v>0.8</v>
      </c>
      <c r="D300" s="4">
        <v>43826</v>
      </c>
      <c r="E300" s="4">
        <v>43431</v>
      </c>
      <c r="F300" s="2" t="str">
        <f>IF($A300="","",INDEX(v_data!$B$2:$L$1000,MATCH($A300,v_data!$A$3:$A$1000,0)+1,MATCH(LOWER(F$1),v_data!$B$2:$L$2,0)))</f>
        <v/>
      </c>
      <c r="G300" s="2" t="str">
        <f t="shared" si="232"/>
        <v/>
      </c>
      <c r="H300" s="2" t="str">
        <f>IF($A300="","",INDEX(v_data!$B$2:$L$1000,MATCH($A300,v_data!$A$3:$A$1000,0)+1,MATCH(LOWER(H$1),v_data!$B$2:$L$2,0)))</f>
        <v/>
      </c>
      <c r="I300" s="2" t="str">
        <f t="shared" si="233"/>
        <v/>
      </c>
      <c r="J300" s="2" t="str">
        <f>IF($A300="","",INDEX(v_data!$B$2:$L$1000,MATCH($A300,v_data!$A$3:$A$1000,0)+1,MATCH(LOWER(J$1),v_data!$B$2:$L$2,0)))</f>
        <v/>
      </c>
      <c r="K300" s="2" t="str">
        <f t="shared" si="234"/>
        <v/>
      </c>
      <c r="L300" s="2" t="str">
        <f>IF($A300="","",INDEX(v_data!$B$2:$L$1000,MATCH($A300,v_data!$A$3:$A$1000,0)+1,MATCH(LOWER(L$1),v_data!$B$2:$L$2,0)))</f>
        <v/>
      </c>
      <c r="M300" s="2" t="str">
        <f t="shared" si="235"/>
        <v/>
      </c>
      <c r="N300" s="2" t="str">
        <f>IF($A300="","",INDEX(v_data!$B$2:$L$1000,MATCH($A300,v_data!$A$3:$A$1000,0)+1,MATCH(LOWER(N$1),v_data!$B$2:$L$2,0)))</f>
        <v/>
      </c>
      <c r="O300" s="2" t="str">
        <f t="shared" si="236"/>
        <v/>
      </c>
      <c r="P300" s="2" t="str">
        <f>IF($A300="","",INDEX(v_data!$B$2:$L$1000,MATCH($A300,v_data!$A$3:$A$1000,0)+1,MATCH(LOWER(P$1),v_data!$B$2:$L$2,0)))</f>
        <v/>
      </c>
      <c r="Q300" s="2" t="str">
        <f t="shared" si="237"/>
        <v/>
      </c>
      <c r="R300" s="2" t="str">
        <f>IF($A300="","",INDEX(v_data!$B$2:$L$1000,MATCH($A300,v_data!$A$3:$A$1000,0)+1,MATCH(LOWER(R$1),v_data!$B$2:$L$2,0)))</f>
        <v/>
      </c>
      <c r="S300" s="2" t="str">
        <f t="shared" si="238"/>
        <v/>
      </c>
      <c r="T300" s="2" t="str">
        <f>IF($A300="","",INDEX(v_data!$B$2:$L$1000,MATCH($A300,v_data!$A$3:$A$1000,0)+1,MATCH(LOWER(T$1),v_data!$B$2:$L$2,0)))</f>
        <v/>
      </c>
      <c r="U300" s="2" t="str">
        <f t="shared" si="239"/>
        <v/>
      </c>
      <c r="V300" s="2" t="str">
        <f>IF($A300="","",INDEX(v_data!$B$2:$L$1000,MATCH($A300,v_data!$A$3:$A$1000,0)+1,MATCH(LOWER(V$1),v_data!$B$2:$L$2,0)))</f>
        <v/>
      </c>
      <c r="W300" s="2" t="str">
        <f t="shared" si="240"/>
        <v/>
      </c>
      <c r="X300" s="2" t="str">
        <f>IF($A300="","",INDEX(v_data!$B$2:$L$1000,MATCH($A300,v_data!$A$3:$A$1000,0)+1,MATCH(LOWER(X$1),v_data!$B$2:$L$2,0)))</f>
        <v/>
      </c>
      <c r="Y300" s="2" t="str">
        <f t="shared" si="241"/>
        <v/>
      </c>
      <c r="Z300" s="2" t="str">
        <f>IF($A300="","",INDEX(v_data!$B$2:$L$1000,MATCH($A300,v_data!$A$3:$A$1000,0)+1,MATCH(LOWER(Z$1),v_data!$B$2:$L$2,0)))</f>
        <v/>
      </c>
      <c r="AA300" s="2" t="str">
        <f t="shared" si="242"/>
        <v/>
      </c>
      <c r="AB300" s="2" t="str">
        <f t="shared" si="243"/>
        <v/>
      </c>
      <c r="AC300" s="2">
        <f>(SUM(G300,I300,K300,M300,O300,Q300,S300,U300,W300,Y300,AA300)+IF(AND(G300&gt;0,I300&gt;0,K300&gt;0),100,0))*VLOOKUP(B300,variables!$A$2:$B$6,2,FALSE)</f>
        <v>80</v>
      </c>
      <c r="AD300" s="16" t="str">
        <f>IF($A300="","",INDEX(v_data!$B$2:$X$1000,MATCH($A300,v_data!$A$3:$A$1000,0)+1,MATCH(LOWER("hours"),v_data!$B$2:$X$2,0)))</f>
        <v/>
      </c>
    </row>
    <row r="301" spans="1:30" ht="26.25" customHeight="1" x14ac:dyDescent="0.25">
      <c r="A301" s="30" t="s">
        <v>50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5">
        <f>SUM(AB4:AB300)</f>
        <v>1062.5532266955563</v>
      </c>
      <c r="AC301" s="5">
        <f>SUM(AC4:AC39)</f>
        <v>978.96686605585808</v>
      </c>
      <c r="AD301" s="17">
        <f>SUM(AD4:AD300)</f>
        <v>1060.5</v>
      </c>
    </row>
    <row r="302" spans="1:30" s="1" customFormat="1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4"/>
      <c r="AC302" s="14"/>
      <c r="AD302" s="18"/>
    </row>
    <row r="303" spans="1:30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</row>
    <row r="304" spans="1:30" x14ac:dyDescent="0.25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</row>
    <row r="305" spans="1:30" x14ac:dyDescent="0.25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</row>
    <row r="306" spans="1:30" x14ac:dyDescent="0.25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</row>
  </sheetData>
  <mergeCells count="15">
    <mergeCell ref="A303:AD306"/>
    <mergeCell ref="R1:S1"/>
    <mergeCell ref="T1:U1"/>
    <mergeCell ref="AB1:AD2"/>
    <mergeCell ref="V1:W1"/>
    <mergeCell ref="X1:Y1"/>
    <mergeCell ref="A301:AA301"/>
    <mergeCell ref="A1:A3"/>
    <mergeCell ref="Z1:AA1"/>
    <mergeCell ref="F1:G1"/>
    <mergeCell ref="H1:I1"/>
    <mergeCell ref="J1:K1"/>
    <mergeCell ref="L1:M1"/>
    <mergeCell ref="N1:O1"/>
    <mergeCell ref="P1:Q1"/>
  </mergeCells>
  <conditionalFormatting sqref="AD4:AD30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4:AC30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4:AB30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set_coefficients">
                <anchor moveWithCells="1" sizeWithCells="1">
                  <from>
                    <xdr:col>6</xdr:col>
                    <xdr:colOff>476250</xdr:colOff>
                    <xdr:row>302</xdr:row>
                    <xdr:rowOff>180975</xdr:rowOff>
                  </from>
                  <to>
                    <xdr:col>15</xdr:col>
                    <xdr:colOff>457200</xdr:colOff>
                    <xdr:row>305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mmit_coefficients">
                <anchor moveWithCells="1" sizeWithCells="1">
                  <from>
                    <xdr:col>16</xdr:col>
                    <xdr:colOff>114300</xdr:colOff>
                    <xdr:row>302</xdr:row>
                    <xdr:rowOff>161925</xdr:rowOff>
                  </from>
                  <to>
                    <xdr:col>25</xdr:col>
                    <xdr:colOff>123825</xdr:colOff>
                    <xdr:row>305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5" x14ac:dyDescent="0.25"/>
  <cols>
    <col min="1" max="1" width="12.140625" customWidth="1"/>
    <col min="2" max="2" width="13.5703125" customWidth="1"/>
  </cols>
  <sheetData>
    <row r="1" spans="1:2" ht="27.75" customHeight="1" x14ac:dyDescent="0.25">
      <c r="A1" s="10" t="s">
        <v>642</v>
      </c>
      <c r="B1" s="10" t="s">
        <v>643</v>
      </c>
    </row>
    <row r="2" spans="1:2" x14ac:dyDescent="0.25">
      <c r="A2" s="11" t="s">
        <v>62</v>
      </c>
      <c r="B2" s="11">
        <v>1.88563782198456</v>
      </c>
    </row>
    <row r="3" spans="1:2" x14ac:dyDescent="0.25">
      <c r="A3" s="11" t="s">
        <v>63</v>
      </c>
      <c r="B3" s="11">
        <v>4.33219042477754</v>
      </c>
    </row>
    <row r="4" spans="1:2" x14ac:dyDescent="0.25">
      <c r="A4" s="11" t="s">
        <v>64</v>
      </c>
      <c r="B4" s="11">
        <v>18.023723845739799</v>
      </c>
    </row>
    <row r="5" spans="1:2" x14ac:dyDescent="0.25">
      <c r="A5" s="11" t="s">
        <v>65</v>
      </c>
      <c r="B5" s="11">
        <v>0</v>
      </c>
    </row>
    <row r="6" spans="1:2" x14ac:dyDescent="0.25">
      <c r="A6" s="11" t="s">
        <v>66</v>
      </c>
      <c r="B6" s="11">
        <v>9.6140786918237797</v>
      </c>
    </row>
    <row r="7" spans="1:2" x14ac:dyDescent="0.25">
      <c r="A7" s="11" t="s">
        <v>67</v>
      </c>
      <c r="B7" s="11">
        <v>-2.7990078936292302</v>
      </c>
    </row>
    <row r="8" spans="1:2" x14ac:dyDescent="0.25">
      <c r="A8" s="11" t="s">
        <v>68</v>
      </c>
      <c r="B8" s="11">
        <v>0.26642950707521101</v>
      </c>
    </row>
    <row r="9" spans="1:2" x14ac:dyDescent="0.25">
      <c r="A9" s="11" t="s">
        <v>69</v>
      </c>
      <c r="B9" s="11">
        <v>-3.7325022021383401</v>
      </c>
    </row>
    <row r="10" spans="1:2" x14ac:dyDescent="0.25">
      <c r="A10" s="11" t="s">
        <v>70</v>
      </c>
      <c r="B10" s="11">
        <v>-12.9599305108687</v>
      </c>
    </row>
    <row r="11" spans="1:2" x14ac:dyDescent="0.25">
      <c r="A11" s="11" t="s">
        <v>71</v>
      </c>
      <c r="B11" s="11">
        <v>13.365994303350799</v>
      </c>
    </row>
    <row r="12" spans="1:2" x14ac:dyDescent="0.25">
      <c r="A12" s="11" t="s">
        <v>72</v>
      </c>
      <c r="B12" s="11">
        <v>24.3031804679799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vdata_regressors</vt:lpstr>
      <vt:lpstr>variables</vt:lpstr>
      <vt:lpstr>vdata_hours</vt:lpstr>
      <vt:lpstr>export</vt:lpstr>
      <vt:lpstr>generated_coeffecients</vt:lpstr>
      <vt:lpstr>v_data</vt:lpstr>
      <vt:lpstr>visualization</vt:lpstr>
      <vt:lpstr>final_coeffecients</vt:lpstr>
    </vt:vector>
  </TitlesOfParts>
  <Company>University of Hawaii Cancer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Tabitha Carreira</dc:creator>
  <cp:lastModifiedBy>Robert Schuetz</cp:lastModifiedBy>
  <dcterms:created xsi:type="dcterms:W3CDTF">2019-11-01T23:55:04Z</dcterms:created>
  <dcterms:modified xsi:type="dcterms:W3CDTF">2020-04-03T01:47:23Z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9690f3b7-0969-4739-b780-209a2d0f3515</vt:lpwstr>
  </property>
</Properties>
</file>